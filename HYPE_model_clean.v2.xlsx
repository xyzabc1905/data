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Model" sheetId="1" state="visible" r:id="rId1"/>
    <sheet name="Quarterly Model" sheetId="2" state="visible" r:id="rId2"/>
    <sheet name="Sources" sheetId="3" state="visible" r:id="rId3"/>
  </sheets>
  <definedNames>
    <definedName name="_xlnm._FilterDatabase" localSheetId="0" hidden="1">'Daily Model'!$A$3:$BD$555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$#,##0;($#,##0);&quot;-&quot;"/>
    <numFmt numFmtId="166" formatCode="0.00;(0.00);&quot;-&quot;"/>
    <numFmt numFmtId="167" formatCode="#,##0;(#,##0);&quot;-&quot;"/>
    <numFmt numFmtId="168" formatCode="$#,##0.00"/>
    <numFmt numFmtId="169" formatCode="#,##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0000FF"/>
      <sz val="9"/>
    </font>
    <font>
      <name val="Arial"/>
      <color rgb="000B6E4F"/>
      <sz val="9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i val="1"/>
      <color rgb="00555555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0B6E4F"/>
      </patternFill>
    </fill>
    <fill>
      <patternFill patternType="solid">
        <fgColor rgb="001D4E89"/>
      </patternFill>
    </fill>
    <fill>
      <patternFill patternType="solid">
        <fgColor rgb="007A4FB8"/>
      </patternFill>
    </fill>
    <fill>
      <patternFill patternType="solid">
        <fgColor rgb="00B8460B"/>
      </patternFill>
    </fill>
    <fill>
      <patternFill patternType="solid">
        <fgColor rgb="001A1A1A"/>
      </patternFill>
    </fill>
    <fill>
      <patternFill patternType="solid">
        <fgColor rgb="00444444"/>
      </patternFill>
    </fill>
    <fill>
      <patternFill patternType="solid">
        <fgColor rgb="00FFF4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164" fontId="3" fillId="0" borderId="1" pivotButton="0" quotePrefix="0" xfId="0"/>
    <xf numFmtId="165" fontId="4" fillId="0" borderId="1" pivotButton="0" quotePrefix="0" xfId="0"/>
    <xf numFmtId="10" fontId="3" fillId="0" borderId="1" pivotButton="0" quotePrefix="0" xfId="0"/>
    <xf numFmtId="166" fontId="3" fillId="0" borderId="1" pivotButton="0" quotePrefix="0" xfId="0"/>
    <xf numFmtId="167" fontId="4" fillId="0" borderId="1" pivotButton="0" quotePrefix="0" xfId="0"/>
    <xf numFmtId="168" fontId="4" fillId="0" borderId="1" pivotButton="0" quotePrefix="0" xfId="0"/>
    <xf numFmtId="169" fontId="4" fillId="0" borderId="1" pivotButton="0" quotePrefix="0" xfId="0"/>
    <xf numFmtId="10" fontId="4" fillId="0" borderId="1" pivotButton="0" quotePrefix="0" xfId="0"/>
    <xf numFmtId="167" fontId="3" fillId="0" borderId="1" pivotButton="0" quotePrefix="0" xfId="0"/>
    <xf numFmtId="167" fontId="5" fillId="0" borderId="1" pivotButton="0" quotePrefix="0" xfId="0"/>
    <xf numFmtId="167" fontId="6" fillId="0" borderId="1" pivotButton="0" quotePrefix="0" xfId="0"/>
    <xf numFmtId="169" fontId="3" fillId="0" borderId="1" pivotButton="0" quotePrefix="0" xfId="0"/>
    <xf numFmtId="165" fontId="3" fillId="0" borderId="1" pivotButton="0" quotePrefix="0" xfId="0"/>
    <xf numFmtId="165" fontId="6" fillId="0" borderId="1" pivotButton="0" quotePrefix="0" xfId="0"/>
    <xf numFmtId="165" fontId="5" fillId="0" borderId="1" pivotButton="0" quotePrefix="0" xfId="0"/>
    <xf numFmtId="0" fontId="6" fillId="0" borderId="1" pivotButton="0" quotePrefix="0" xfId="0"/>
    <xf numFmtId="164" fontId="0" fillId="0" borderId="1" pivotButton="0" quotePrefix="0" xfId="0"/>
    <xf numFmtId="168" fontId="3" fillId="0" borderId="1" pivotButton="0" quotePrefix="0" xfId="0"/>
    <xf numFmtId="0" fontId="7" fillId="2" borderId="0" pivotButton="0" quotePrefix="0" xfId="0"/>
    <xf numFmtId="0" fontId="8" fillId="10" borderId="0" applyAlignment="1" pivotButton="0" quotePrefix="0" xfId="0">
      <alignment vertical="top" wrapText="1"/>
    </xf>
    <xf numFmtId="0" fontId="2" fillId="3" borderId="1" pivotButton="0" quotePrefix="0" xfId="0"/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Sources</author>
  </authors>
  <commentList>
    <comment ref="B3" authorId="0" shapeId="0">
      <text>
        <t>SOURCE: hyperscreener cloudfront/total_volume (all perp coins) MINUS HIP-3 volume (Loris).</t>
      </text>
    </comment>
    <comment ref="C3" authorId="0" shapeId="0">
      <text>
        <t>SOURCE: Loris timeseries.volume. Same source as HIP-3 fees -&gt; consistent take-rate.</t>
      </text>
    </comment>
    <comment ref="D3" authorId="0" shapeId="0">
      <text>
        <t>SOURCE: DefiLlama /summary/dexs/hyperliquid-spot-orderbook dailyVolume.</t>
      </text>
    </comment>
    <comment ref="E3" authorId="0" shapeId="0">
      <text>
        <t>SOURCE: hyperscreener outcome-coins/analytics/daily. Hyperscreener only publishes the current day for HIP-4, so history is sparse. Live 2026-05-02, zero-fee.</t>
      </text>
    </comment>
    <comment ref="F3" authorId="0" shapeId="0">
      <text>
        <t>SOURCE: hyperscreener categories/hip3-categories/historical category MIX, allocated to the Loris HIP-3 total (Loris has no asset-category split).</t>
      </text>
    </comment>
    <comment ref="G3" authorId="0" shapeId="0">
      <text>
        <t>SOURCE: hyperscreener category mix, allocated to Loris total.</t>
      </text>
    </comment>
    <comment ref="H3" authorId="0" shapeId="0">
      <text>
        <t>SOURCE: hyperscreener category mix, allocated to Loris total.</t>
      </text>
    </comment>
    <comment ref="I3" authorId="0" shapeId="0">
      <text>
        <t>SOURCE: hyperscreener category mix, allocated to Loris total.</t>
      </text>
    </comment>
    <comment ref="J3" authorId="0" shapeId="0">
      <text>
        <t>SOURCE: hyperscreener category mix, allocated to Loris total.</t>
      </text>
    </comment>
    <comment ref="K3" authorId="0" shapeId="0">
      <text>
        <t>SOURCE: hyperscreener category mix, allocated to Loris total.</t>
      </text>
    </comment>
    <comment ref="L3" authorId="0" shapeId="0">
      <text>
        <t>SOURCE: = sum of categories = HIP-3 Perp Vol (allocated to Loris total).</t>
      </text>
    </comment>
    <comment ref="M3" authorId="0" shapeId="0">
      <text>
        <t>SOURCE: = Core Crypto Perp Revenue / (1 - HLP). Residual segment (HyperCore - spot - HIP-3 - HIP-4).</t>
      </text>
    </comment>
    <comment ref="N3" authorId="0" shapeId="0">
      <text>
        <t>SOURCE: Loris timeseries.total_fees (user-paid HIP-3 trading fees, excl. builder).</t>
      </text>
    </comment>
    <comment ref="O3" authorId="0" shapeId="0">
      <text>
        <t>SOURCE: DefiLlama hyperliquid-spot-orderbook dailyFees (incl. Unit).</t>
      </text>
    </comment>
    <comment ref="P3" authorId="0" shapeId="0">
      <text>
        <t>SOURCE: hyperscreener outcome-coins total_fee_usdc. ~Zero (zero-fee to open).</t>
      </text>
    </comment>
    <comment ref="Q3" authorId="0" shapeId="0">
      <text>
        <t>SOURCE: = Core + HIP-3 + Spot + HIP-4 gross fees.</t>
      </text>
    </comment>
    <comment ref="R3" authorId="0" shapeId="0">
      <text>
        <t>SOURCE: 1% from 2025-08-30, else 3%. DefiLlama methodology.</t>
      </text>
    </comment>
    <comment ref="S3" authorId="0" shapeId="0">
      <text>
        <t>SOURCE: = Core Fees x HLP. To HLP vault.</t>
      </text>
    </comment>
    <comment ref="T3" authorId="0" shapeId="0">
      <text>
        <t>SOURCE: = HIP-3 Gross x HLP. To HLP vault.</t>
      </text>
    </comment>
    <comment ref="U3" authorId="0" shapeId="0">
      <text>
        <t>SOURCE: = (Spot Fees - Unit) x HLP. To HLP vault.</t>
      </text>
    </comment>
    <comment ref="V3" authorId="0" shapeId="0">
      <text>
        <t>SOURCE: DefiLlama /summary/fees/unit. Hyperunit deployer cut on spot tokens it deploys.</t>
      </text>
    </comment>
    <comment ref="W3" authorId="0" shapeId="0">
      <text>
        <t>SOURCE: Loris timeseries.total_deployer_fees. To HIP-3 market deployers. Zero until 2026-03-21.</t>
      </text>
    </comment>
    <comment ref="X3" authorId="0" shapeId="0">
      <text>
        <t>SOURCE: = sum of the five (-) lines above. Gross Fees - Deductions = HyperCore Revenue.</t>
      </text>
    </comment>
    <comment ref="Y3" authorId="0" shapeId="0">
      <text>
        <t>SOURCE: hyperscreener node/builders. ON-TOP pass-through paid by users to front-ends; NOT part of the bridge.</t>
      </text>
    </comment>
    <comment ref="Z3" authorId="0" shapeId="0">
      <text>
        <t>SOURCE: = Core Fees - HLP on Core. Residual = HyperCore - Spot - HIP-3 - HIP-4.</t>
      </text>
    </comment>
    <comment ref="AA3" authorId="0" shapeId="0">
      <text>
        <t>SOURCE: = HIP-3 Gross - HLP on HIP-3 - Deployer.</t>
      </text>
    </comment>
    <comment ref="AB3" authorId="0" shapeId="0">
      <text>
        <t>SOURCE: = Spot Fees - HLP on Spot - Unit.</t>
      </text>
    </comment>
    <comment ref="AC3" authorId="0" shapeId="0">
      <text>
        <t>SOURCE: = HIP-4 Fees (zero-fee, ~0).</t>
      </text>
    </comment>
    <comment ref="AD3" authorId="0" shapeId="0">
      <text>
        <t>SOURCE: = Core + HIP-3 + Spot + HIP-4 revenue.</t>
      </text>
    </comment>
    <comment ref="AE3" authorId="0" shapeId="0">
      <text>
        <t>SOURCE: hyperscreener buyback/revenues "HyperCore Buybacks" = actual AF buyback USD. NORTH STAR.</t>
      </text>
    </comment>
    <comment ref="AF3" authorId="0" shapeId="0">
      <text>
        <t>SOURCE: Should be ~0 (core is the plug that ties the bridge to the north star).</t>
      </text>
    </comment>
    <comment ref="AG3" authorId="0" shapeId="0">
      <text>
        <t>SOURCE: = Core Fees / Core Vol x 10000.</t>
      </text>
    </comment>
    <comment ref="AH3" authorId="0" shapeId="0">
      <text>
        <t>SOURCE: = HIP-3 Gross Fees / HIP-3 Vol x 10000.</t>
      </text>
    </comment>
    <comment ref="AI3" authorId="0" shapeId="0">
      <text>
        <t>SOURCE: = Spot Fees / Spot Vol x 10000.</t>
      </text>
    </comment>
    <comment ref="AJ3" authorId="0" shapeId="0">
      <text>
        <t>SOURCE: hyperscreener buyback/revenues "HyperEVM Burn".</t>
      </text>
    </comment>
    <comment ref="AK3" authorId="0" shapeId="0">
      <text>
        <t>SOURCE: hyperscreener buyback/revenues "Auction Burn".</t>
      </text>
    </comment>
    <comment ref="AL3" authorId="0" shapeId="0">
      <text>
        <t>SOURCE: = HyperCore Revenue + HyperEVM Burn + Auction Burn.</t>
      </text>
    </comment>
    <comment ref="AM3" authorId="0" shapeId="0">
      <text>
        <t>SOURCE: = HyperCore Revenue (100% funds AF buybacks).</t>
      </text>
    </comment>
    <comment ref="AN3" authorId="0" shapeId="0">
      <text>
        <t>SOURCE: hyperscreener buyback/hl-buybacks sz.</t>
      </text>
    </comment>
    <comment ref="AO3" authorId="0" shapeId="0">
      <text>
        <t>SOURCE: hyperscreener buyback/hl-buybacks average_price (quarterly = volume-weighted).</t>
      </text>
    </comment>
    <comment ref="AP3" authorId="0" shapeId="0">
      <text>
        <t>SOURCE: hyperscreener buyback/assistance-fund-holdings balance.</t>
      </text>
    </comment>
    <comment ref="AQ3" authorId="0" shapeId="0">
      <text>
        <t>SOURCE: hyperscreener validators/daily-emissions dailyEmission.</t>
      </text>
    </comment>
    <comment ref="AR3" authorId="0" shapeId="0">
      <text>
        <t>SOURCE: hyperscreener buyback/daily-burn dailyBurn.</t>
      </text>
    </comment>
    <comment ref="AS3" authorId="0" shapeId="0">
      <text>
        <t>SOURCE: Discretionary core-contributor claims (insights.unlocks.app / tokenomist).</t>
      </text>
    </comment>
    <comment ref="AT3" authorId="0" shapeId="0">
      <text>
        <t>SOURCE: hyperscreener validators/hype-staking/metrics totalStake.</t>
      </text>
    </comment>
    <comment ref="AU3" authorId="0" shapeId="0">
      <text>
        <t>SOURCE: hyperscreener validators/hype-staking/metrics yield (ASXN-computed APR).</t>
      </text>
    </comment>
    <comment ref="AV3" authorId="0" shapeId="0">
      <text>
        <t>SOURCE: hyperscreener validators/daily-emissions currentDayFutureEmission.</t>
      </text>
    </comment>
    <comment ref="AW3" authorId="0" shapeId="0">
      <text>
        <t>SOURCE: Fixed 60.1M (HL Strategies 29-Apr-2026).</t>
      </text>
    </comment>
    <comment ref="AX3" authorId="0" shapeId="0">
      <text>
        <t>SOURCE: hyperscreener AF balance (permanently removed per HL Strategies).</t>
      </text>
    </comment>
    <comment ref="AY3" authorId="0" shapeId="0">
      <text>
        <t>SOURCE: Fixed 3.1M (HL Strategies 29-Apr-2026).</t>
      </text>
    </comment>
    <comment ref="AZ3" authorId="0" shapeId="0">
      <text>
        <t>SOURCE: = 1,000,000,000 - total supply (hyperscreener buyback/daily-burn).</t>
      </text>
    </comment>
    <comment ref="BA3" authorId="0" shapeId="0">
      <text>
        <t>SOURCE: = 1B - FutureEmissions - HyperFoundation - AF - CommunityGrants - FeeBurns. Ties to HL Strategies 29-Apr (476.7M).</t>
      </text>
    </comment>
    <comment ref="BB3" authorId="0" shapeId="0">
      <text>
        <t>SOURCE: = (244.9M - cumulative team distributed)/1e6. Excludes tokens distributed to team.</t>
      </text>
    </comment>
    <comment ref="BC3" authorId="0" shapeId="0">
      <text>
        <t>SOURCE: = OTS/1e6 - Core Contributors Locked. Includes tokens distributed to team.</t>
      </text>
    </comment>
    <comment ref="BD3" authorId="0" shapeId="0">
      <text>
        <t>SOURCE: = OTS x HYPE price.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5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</cols>
  <sheetData>
    <row r="1" ht="46" customHeight="1">
      <c r="A1" s="1" t="inlineStr">
        <is>
          <t>HYPERLIQUID (HYPE) — DAILY MODEL.  Volumes -&gt; Gross Fees -&gt; Fee→Revenue bridge (−HLP, −Unit, −HIP-3 deployer; builder is on-top) -&gt; Revenue per segment (sum = HyperCore = hyperscreener) -&gt; + HyperEVM + Auction = Total Revenue.  Then AF/supply &amp; OTS.  Daily 2024-11-30 → 2026-06-04.  Hover headers for source.  blue=source · black=formula · green=cross-check</t>
        </is>
      </c>
    </row>
    <row r="2" ht="14" customHeight="1">
      <c r="B2" s="2" t="inlineStr">
        <is>
          <t>VOLUME ($)</t>
        </is>
      </c>
      <c r="F2" s="3" t="inlineStr">
        <is>
          <t>HIP-3 VOLUME BY CATEGORY ($)</t>
        </is>
      </c>
      <c r="M2" s="4" t="inlineStr">
        <is>
          <t>GROSS FEES ($)  [user-paid]</t>
        </is>
      </c>
      <c r="R2" s="5" t="inlineStr">
        <is>
          <t>FEE → REVENUE BRIDGE  [deductions, $]</t>
        </is>
      </c>
      <c r="Z2" s="6" t="inlineStr">
        <is>
          <t>REVENUE TO HYPERCORE ($)</t>
        </is>
      </c>
      <c r="AG2" s="5" t="inlineStr">
        <is>
          <t>IMPLIED TAKE-RATE (bps)</t>
        </is>
      </c>
      <c r="AJ2" s="7" t="inlineStr">
        <is>
          <t>OTHER REVENUE ($)</t>
        </is>
      </c>
      <c r="AM2" s="2" t="inlineStr">
        <is>
          <t>ASSISTANCE FUND &amp; SUPPLY</t>
        </is>
      </c>
      <c r="AV2" s="3" t="inlineStr">
        <is>
          <t>OTS (Hyperliquid Strategies basis)</t>
        </is>
      </c>
    </row>
    <row r="3" ht="62" customHeight="1">
      <c r="A3" s="8" t="inlineStr">
        <is>
          <t>Date</t>
        </is>
      </c>
      <c r="B3" s="9" t="inlineStr">
        <is>
          <t>Core Crypto Perp Vol ($)</t>
        </is>
      </c>
      <c r="C3" s="9" t="inlineStr">
        <is>
          <t>HIP-3 Perp Vol ($)</t>
        </is>
      </c>
      <c r="D3" s="9" t="inlineStr">
        <is>
          <t>Spot Vol ($)</t>
        </is>
      </c>
      <c r="E3" s="9" t="inlineStr">
        <is>
          <t>HIP-4 Vol ($)</t>
        </is>
      </c>
      <c r="F3" s="9" t="inlineStr">
        <is>
          <t>HIP-3 Commodities ($)</t>
        </is>
      </c>
      <c r="G3" s="9" t="inlineStr">
        <is>
          <t>HIP-3 Crypto ($)</t>
        </is>
      </c>
      <c r="H3" s="9" t="inlineStr">
        <is>
          <t>HIP-3 FX ($)</t>
        </is>
      </c>
      <c r="I3" s="9" t="inlineStr">
        <is>
          <t>HIP-3 Indices ($)</t>
        </is>
      </c>
      <c r="J3" s="9" t="inlineStr">
        <is>
          <t>HIP-3 Pre-IPO ($)</t>
        </is>
      </c>
      <c r="K3" s="9" t="inlineStr">
        <is>
          <t>HIP-3 Stocks ($)</t>
        </is>
      </c>
      <c r="L3" s="9" t="inlineStr">
        <is>
          <t>HIP-3 Cat Total ($)</t>
        </is>
      </c>
      <c r="M3" s="9" t="inlineStr">
        <is>
          <t>Core Crypto Perp Fees ($)</t>
        </is>
      </c>
      <c r="N3" s="9" t="inlineStr">
        <is>
          <t>HIP-3 Gross Fees ($)</t>
        </is>
      </c>
      <c r="O3" s="9" t="inlineStr">
        <is>
          <t>Spot Fees incl Unit ($)</t>
        </is>
      </c>
      <c r="P3" s="9" t="inlineStr">
        <is>
          <t>HIP-4 Fees ($)</t>
        </is>
      </c>
      <c r="Q3" s="9" t="inlineStr">
        <is>
          <t>Total Gross Fees ($)</t>
        </is>
      </c>
      <c r="R3" s="9" t="inlineStr">
        <is>
          <t>HLP Rate</t>
        </is>
      </c>
      <c r="S3" s="9" t="inlineStr">
        <is>
          <t>(-) HLP on Core Perp ($)</t>
        </is>
      </c>
      <c r="T3" s="9" t="inlineStr">
        <is>
          <t>(-) HLP on HIP-3 ($)</t>
        </is>
      </c>
      <c r="U3" s="9" t="inlineStr">
        <is>
          <t>(-) HLP on Spot ($)</t>
        </is>
      </c>
      <c r="V3" s="9" t="inlineStr">
        <is>
          <t>(-) Unit Protocol Fees ($)</t>
        </is>
      </c>
      <c r="W3" s="9" t="inlineStr">
        <is>
          <t>(-) HIP-3 Deployer Fees ($)</t>
        </is>
      </c>
      <c r="X3" s="9" t="inlineStr">
        <is>
          <t>Total Deductions ($)</t>
        </is>
      </c>
      <c r="Y3" s="9" t="inlineStr">
        <is>
          <t>Builder Code Fees [on-top, not deducted] ($)</t>
        </is>
      </c>
      <c r="Z3" s="9" t="inlineStr">
        <is>
          <t>Core Crypto Perp Revenue ($)</t>
        </is>
      </c>
      <c r="AA3" s="9" t="inlineStr">
        <is>
          <t>HIP-3 Revenue ($)</t>
        </is>
      </c>
      <c r="AB3" s="9" t="inlineStr">
        <is>
          <t>Spot Revenue ($)</t>
        </is>
      </c>
      <c r="AC3" s="9" t="inlineStr">
        <is>
          <t>HIP-4 Revenue ($)</t>
        </is>
      </c>
      <c r="AD3" s="9">
        <f> HyperCore Revenue (model) ($)</f>
        <v/>
      </c>
      <c r="AE3" s="9" t="inlineStr">
        <is>
          <t>HyperCore Revenue [hyperscreener] ($)</t>
        </is>
      </c>
      <c r="AF3" s="9" t="inlineStr">
        <is>
          <t>Check: model - hyperscreener ($)</t>
        </is>
      </c>
      <c r="AG3" s="9" t="inlineStr">
        <is>
          <t>Core Perp Take-Rate (bps)</t>
        </is>
      </c>
      <c r="AH3" s="9" t="inlineStr">
        <is>
          <t>HIP-3 Take-Rate (bps)</t>
        </is>
      </c>
      <c r="AI3" s="9" t="inlineStr">
        <is>
          <t>Spot Take-Rate (bps)</t>
        </is>
      </c>
      <c r="AJ3" s="9" t="inlineStr">
        <is>
          <t>HyperEVM Burn ($)</t>
        </is>
      </c>
      <c r="AK3" s="9" t="inlineStr">
        <is>
          <t>Auction Burn ($)</t>
        </is>
      </c>
      <c r="AL3" s="9" t="inlineStr">
        <is>
          <t>Total Revenue ($)</t>
        </is>
      </c>
      <c r="AM3" s="9" t="inlineStr">
        <is>
          <t>Revenue -&gt; AF ($)</t>
        </is>
      </c>
      <c r="AN3" s="9" t="inlineStr">
        <is>
          <t>Buyback HYPE</t>
        </is>
      </c>
      <c r="AO3" s="9" t="inlineStr">
        <is>
          <t>Buyback Avg Price ($)</t>
        </is>
      </c>
      <c r="AP3" s="9" t="inlineStr">
        <is>
          <t>AF HYPE Balance</t>
        </is>
      </c>
      <c r="AQ3" s="9" t="inlineStr">
        <is>
          <t>Staking Emissions (HYPE)</t>
        </is>
      </c>
      <c r="AR3" s="9" t="inlineStr">
        <is>
          <t>Fee Burn (HYPE)</t>
        </is>
      </c>
      <c r="AS3" s="9" t="inlineStr">
        <is>
          <t>Team Tokens Unlocked (HYPE)</t>
        </is>
      </c>
      <c r="AT3" s="9" t="inlineStr">
        <is>
          <t>HYPE Staked (M)</t>
        </is>
      </c>
      <c r="AU3" s="9" t="inlineStr">
        <is>
          <t>Implied Staking Yield</t>
        </is>
      </c>
      <c r="AV3" s="9" t="inlineStr">
        <is>
          <t>(-) Future Emissions &amp; CR (HYPE)</t>
        </is>
      </c>
      <c r="AW3" s="9" t="inlineStr">
        <is>
          <t>(-) Hyper Foundation (HYPE)</t>
        </is>
      </c>
      <c r="AX3" s="9" t="inlineStr">
        <is>
          <t>(-) Assistance Fund (HYPE)</t>
        </is>
      </c>
      <c r="AY3" s="9" t="inlineStr">
        <is>
          <t>(-) Community Grants (HYPE)</t>
        </is>
      </c>
      <c r="AZ3" s="9" t="inlineStr">
        <is>
          <t>(-) HC&amp;EVM Fee Burns (HYPE)</t>
        </is>
      </c>
      <c r="BA3" s="9">
        <f> OTS (HYPE)</f>
        <v/>
      </c>
      <c r="BB3" s="9" t="inlineStr">
        <is>
          <t>Core Contributors Locked (M)</t>
        </is>
      </c>
      <c r="BC3" s="9" t="inlineStr">
        <is>
          <t>Circulating Token Supply (M)</t>
        </is>
      </c>
      <c r="BD3" s="9" t="inlineStr">
        <is>
          <t>OTS Value ($)</t>
        </is>
      </c>
    </row>
    <row r="4">
      <c r="A4" s="10" t="n">
        <v>45626</v>
      </c>
      <c r="B4" s="11" t="n">
        <v>1927839626.834456</v>
      </c>
      <c r="C4" s="11" t="n"/>
      <c r="D4" s="11" t="n">
        <v>460835741</v>
      </c>
      <c r="E4" s="11" t="n"/>
      <c r="N4" s="11" t="n"/>
      <c r="O4" s="11" t="n"/>
      <c r="P4" s="11" t="n"/>
      <c r="R4" s="12" t="n">
        <v>0.03</v>
      </c>
      <c r="V4" s="11" t="n"/>
      <c r="W4" s="11" t="n"/>
      <c r="Y4" s="11" t="n"/>
      <c r="AE4" s="11" t="n"/>
      <c r="AG4" s="13">
        <f>IF(OR(B4="",B4=0,M4=""),"",M4/B4*10000)</f>
        <v/>
      </c>
      <c r="AH4" s="13">
        <f>IF(OR(C4="",C4=0),"",N4/C4*10000)</f>
        <v/>
      </c>
      <c r="AI4" s="13">
        <f>IF(OR(D4="",D4=0),"",O4/D4*10000)</f>
        <v/>
      </c>
      <c r="AJ4" s="11" t="n"/>
      <c r="AK4" s="11" t="n"/>
      <c r="AN4" s="14" t="n"/>
      <c r="AO4" s="15" t="n"/>
      <c r="AP4" s="14" t="n">
        <v>8714980.24</v>
      </c>
      <c r="AQ4" s="14" t="n">
        <v>0</v>
      </c>
      <c r="AR4" s="14" t="n">
        <v>32364.464</v>
      </c>
      <c r="AS4" s="14" t="n"/>
      <c r="AT4" s="16" t="n"/>
      <c r="AU4" s="17" t="n"/>
      <c r="AV4" s="14" t="n">
        <v>0</v>
      </c>
      <c r="AW4" s="18" t="n">
        <v>60100000</v>
      </c>
      <c r="AX4" s="19" t="n">
        <v>8714980.24</v>
      </c>
      <c r="AY4" s="18" t="n">
        <v>3100000</v>
      </c>
      <c r="AZ4" s="18">
        <f>1000000000-999967635.536</f>
        <v/>
      </c>
      <c r="BA4" s="20">
        <f>1000000000-AV4-AW4-AX4-AY4-AZ4</f>
        <v/>
      </c>
      <c r="BB4" s="21" t="n">
        <v>244.9</v>
      </c>
      <c r="BC4" s="21">
        <f>BA4/1000000-BB4</f>
        <v/>
      </c>
      <c r="BD4" s="22">
        <f>BA4*8.64</f>
        <v/>
      </c>
    </row>
    <row r="5">
      <c r="A5" s="10" t="n">
        <v>45627</v>
      </c>
      <c r="B5" s="11" t="n">
        <v>2230952304.391299</v>
      </c>
      <c r="C5" s="11" t="n"/>
      <c r="D5" s="11" t="n">
        <v>382137710</v>
      </c>
      <c r="E5" s="11" t="n"/>
      <c r="N5" s="11" t="n"/>
      <c r="O5" s="11" t="n"/>
      <c r="P5" s="11" t="n"/>
      <c r="R5" s="12" t="n">
        <v>0.03</v>
      </c>
      <c r="V5" s="11" t="n"/>
      <c r="W5" s="11" t="n"/>
      <c r="Y5" s="11" t="n"/>
      <c r="AE5" s="11" t="n"/>
      <c r="AG5" s="13">
        <f>IF(OR(B5="",B5=0,M5=""),"",M5/B5*10000)</f>
        <v/>
      </c>
      <c r="AH5" s="13">
        <f>IF(OR(C5="",C5=0),"",N5/C5*10000)</f>
        <v/>
      </c>
      <c r="AI5" s="13">
        <f>IF(OR(D5="",D5=0),"",O5/D5*10000)</f>
        <v/>
      </c>
      <c r="AJ5" s="11" t="n"/>
      <c r="AK5" s="11" t="n"/>
      <c r="AN5" s="14" t="n"/>
      <c r="AO5" s="15" t="n"/>
      <c r="AP5" s="14" t="n">
        <v>9336088.43</v>
      </c>
      <c r="AQ5" s="14" t="n">
        <v>0</v>
      </c>
      <c r="AR5" s="14" t="n">
        <v>10604.896</v>
      </c>
      <c r="AS5" s="14" t="n"/>
      <c r="AT5" s="16" t="n"/>
      <c r="AU5" s="17" t="n"/>
      <c r="AV5" s="14" t="n">
        <v>0</v>
      </c>
      <c r="AW5" s="18" t="n">
        <v>60100000</v>
      </c>
      <c r="AX5" s="19" t="n">
        <v>9336088.43</v>
      </c>
      <c r="AY5" s="18" t="n">
        <v>3100000</v>
      </c>
      <c r="AZ5" s="18">
        <f>1000000000-999957030.64</f>
        <v/>
      </c>
      <c r="BA5" s="20">
        <f>1000000000-AV5-AW5-AX5-AY5-AZ5</f>
        <v/>
      </c>
      <c r="BB5" s="21" t="n">
        <v>244.9</v>
      </c>
      <c r="BC5" s="21">
        <f>BA5/1000000-BB5</f>
        <v/>
      </c>
      <c r="BD5" s="22">
        <f>BA5*8.9</f>
        <v/>
      </c>
    </row>
    <row r="6">
      <c r="A6" s="10" t="n">
        <v>45628</v>
      </c>
      <c r="B6" s="11" t="n">
        <v>5333125840.958436</v>
      </c>
      <c r="C6" s="11" t="n"/>
      <c r="D6" s="11" t="n">
        <v>320571512</v>
      </c>
      <c r="E6" s="11" t="n"/>
      <c r="N6" s="11" t="n"/>
      <c r="O6" s="11" t="n"/>
      <c r="P6" s="11" t="n"/>
      <c r="R6" s="12" t="n">
        <v>0.03</v>
      </c>
      <c r="V6" s="11" t="n"/>
      <c r="W6" s="11" t="n"/>
      <c r="Y6" s="11" t="n"/>
      <c r="AE6" s="11" t="n"/>
      <c r="AG6" s="13">
        <f>IF(OR(B6="",B6=0,M6=""),"",M6/B6*10000)</f>
        <v/>
      </c>
      <c r="AH6" s="13">
        <f>IF(OR(C6="",C6=0),"",N6/C6*10000)</f>
        <v/>
      </c>
      <c r="AI6" s="13">
        <f>IF(OR(D6="",D6=0),"",O6/D6*10000)</f>
        <v/>
      </c>
      <c r="AJ6" s="11" t="n"/>
      <c r="AK6" s="11" t="n"/>
      <c r="AN6" s="14" t="n"/>
      <c r="AO6" s="15" t="n"/>
      <c r="AP6" s="14" t="n">
        <v>9336088.43</v>
      </c>
      <c r="AQ6" s="14" t="n">
        <v>0</v>
      </c>
      <c r="AR6" s="14" t="n">
        <v>2916.6523</v>
      </c>
      <c r="AS6" s="14" t="n"/>
      <c r="AT6" s="16" t="n"/>
      <c r="AU6" s="17" t="n"/>
      <c r="AV6" s="14" t="n">
        <v>0</v>
      </c>
      <c r="AW6" s="18" t="n">
        <v>60100000</v>
      </c>
      <c r="AX6" s="19" t="n">
        <v>9336088.43</v>
      </c>
      <c r="AY6" s="18" t="n">
        <v>3100000</v>
      </c>
      <c r="AZ6" s="18">
        <f>1000000000-999954113.9877</f>
        <v/>
      </c>
      <c r="BA6" s="20">
        <f>1000000000-AV6-AW6-AX6-AY6-AZ6</f>
        <v/>
      </c>
      <c r="BB6" s="21" t="n">
        <v>244.9</v>
      </c>
      <c r="BC6" s="21">
        <f>BA6/1000000-BB6</f>
        <v/>
      </c>
      <c r="BD6" s="22">
        <f>BA6*8.66</f>
        <v/>
      </c>
    </row>
    <row r="7">
      <c r="A7" s="10" t="n">
        <v>45629</v>
      </c>
      <c r="B7" s="11" t="n">
        <v>4881981857.211621</v>
      </c>
      <c r="C7" s="11" t="n"/>
      <c r="D7" s="11" t="n">
        <v>302890343</v>
      </c>
      <c r="E7" s="11" t="n"/>
      <c r="N7" s="11" t="n"/>
      <c r="O7" s="11" t="n"/>
      <c r="P7" s="11" t="n"/>
      <c r="R7" s="12" t="n">
        <v>0.03</v>
      </c>
      <c r="V7" s="11" t="n"/>
      <c r="W7" s="11" t="n"/>
      <c r="Y7" s="11" t="n"/>
      <c r="AE7" s="11" t="n"/>
      <c r="AG7" s="13">
        <f>IF(OR(B7="",B7=0,M7=""),"",M7/B7*10000)</f>
        <v/>
      </c>
      <c r="AH7" s="13">
        <f>IF(OR(C7="",C7=0),"",N7/C7*10000)</f>
        <v/>
      </c>
      <c r="AI7" s="13">
        <f>IF(OR(D7="",D7=0),"",O7/D7*10000)</f>
        <v/>
      </c>
      <c r="AJ7" s="11" t="n"/>
      <c r="AK7" s="11" t="n"/>
      <c r="AN7" s="14" t="n"/>
      <c r="AO7" s="15" t="n"/>
      <c r="AP7" s="14" t="n">
        <v>9933598.07</v>
      </c>
      <c r="AQ7" s="14" t="n">
        <v>0</v>
      </c>
      <c r="AR7" s="14" t="n">
        <v>3632.1998</v>
      </c>
      <c r="AS7" s="14" t="n"/>
      <c r="AT7" s="16" t="n"/>
      <c r="AU7" s="17" t="n"/>
      <c r="AV7" s="14" t="n">
        <v>0</v>
      </c>
      <c r="AW7" s="18" t="n">
        <v>60100000</v>
      </c>
      <c r="AX7" s="19" t="n">
        <v>9933598.07</v>
      </c>
      <c r="AY7" s="18" t="n">
        <v>3100000</v>
      </c>
      <c r="AZ7" s="18">
        <f>1000000000-999950481.7879</f>
        <v/>
      </c>
      <c r="BA7" s="20">
        <f>1000000000-AV7-AW7-AX7-AY7-AZ7</f>
        <v/>
      </c>
      <c r="BB7" s="21" t="n">
        <v>244.9</v>
      </c>
      <c r="BC7" s="21">
        <f>BA7/1000000-BB7</f>
        <v/>
      </c>
      <c r="BD7" s="22">
        <f>BA7*8.96</f>
        <v/>
      </c>
    </row>
    <row r="8">
      <c r="A8" s="10" t="n">
        <v>45630</v>
      </c>
      <c r="B8" s="11" t="n">
        <v>6225918535.259997</v>
      </c>
      <c r="C8" s="11" t="n"/>
      <c r="D8" s="11" t="n">
        <v>318696984</v>
      </c>
      <c r="E8" s="11" t="n"/>
      <c r="N8" s="11" t="n"/>
      <c r="O8" s="11" t="n"/>
      <c r="P8" s="11" t="n"/>
      <c r="R8" s="12" t="n">
        <v>0.03</v>
      </c>
      <c r="V8" s="11" t="n"/>
      <c r="W8" s="11" t="n"/>
      <c r="Y8" s="11" t="n"/>
      <c r="AE8" s="11" t="n"/>
      <c r="AG8" s="13">
        <f>IF(OR(B8="",B8=0,M8=""),"",M8/B8*10000)</f>
        <v/>
      </c>
      <c r="AH8" s="13">
        <f>IF(OR(C8="",C8=0),"",N8/C8*10000)</f>
        <v/>
      </c>
      <c r="AI8" s="13">
        <f>IF(OR(D8="",D8=0),"",O8/D8*10000)</f>
        <v/>
      </c>
      <c r="AJ8" s="11" t="n"/>
      <c r="AK8" s="11" t="n"/>
      <c r="AN8" s="14" t="n"/>
      <c r="AO8" s="15" t="n"/>
      <c r="AP8" s="14" t="n">
        <v>10009959.56</v>
      </c>
      <c r="AQ8" s="14" t="n">
        <v>0</v>
      </c>
      <c r="AR8" s="14" t="n">
        <v>3743.7999</v>
      </c>
      <c r="AS8" s="14" t="n"/>
      <c r="AT8" s="16" t="n"/>
      <c r="AU8" s="17" t="n"/>
      <c r="AV8" s="14" t="n">
        <v>0</v>
      </c>
      <c r="AW8" s="18" t="n">
        <v>60100000</v>
      </c>
      <c r="AX8" s="19" t="n">
        <v>10009959.56</v>
      </c>
      <c r="AY8" s="18" t="n">
        <v>3100000</v>
      </c>
      <c r="AZ8" s="18">
        <f>1000000000-999946737.988</f>
        <v/>
      </c>
      <c r="BA8" s="20">
        <f>1000000000-AV8-AW8-AX8-AY8-AZ8</f>
        <v/>
      </c>
      <c r="BB8" s="21" t="n">
        <v>244.9</v>
      </c>
      <c r="BC8" s="21">
        <f>BA8/1000000-BB8</f>
        <v/>
      </c>
      <c r="BD8" s="22">
        <f>BA8*11.08</f>
        <v/>
      </c>
    </row>
    <row r="9">
      <c r="A9" s="10" t="n">
        <v>45631</v>
      </c>
      <c r="B9" s="11" t="n">
        <v>9789562819.468</v>
      </c>
      <c r="C9" s="11" t="n"/>
      <c r="D9" s="11" t="n">
        <v>323114172</v>
      </c>
      <c r="E9" s="11" t="n"/>
      <c r="N9" s="11" t="n"/>
      <c r="O9" s="11" t="n"/>
      <c r="P9" s="11" t="n"/>
      <c r="R9" s="12" t="n">
        <v>0.03</v>
      </c>
      <c r="V9" s="11" t="n"/>
      <c r="W9" s="11" t="n"/>
      <c r="Y9" s="11" t="n"/>
      <c r="AE9" s="11" t="n"/>
      <c r="AG9" s="13">
        <f>IF(OR(B9="",B9=0,M9=""),"",M9/B9*10000)</f>
        <v/>
      </c>
      <c r="AH9" s="13">
        <f>IF(OR(C9="",C9=0),"",N9/C9*10000)</f>
        <v/>
      </c>
      <c r="AI9" s="13">
        <f>IF(OR(D9="",D9=0),"",O9/D9*10000)</f>
        <v/>
      </c>
      <c r="AJ9" s="11" t="n"/>
      <c r="AK9" s="11" t="n"/>
      <c r="AN9" s="14" t="n"/>
      <c r="AO9" s="15" t="n"/>
      <c r="AP9" s="14" t="n">
        <v>10009959.56</v>
      </c>
      <c r="AQ9" s="14" t="n">
        <v>0</v>
      </c>
      <c r="AR9" s="14" t="n">
        <v>4041.2964</v>
      </c>
      <c r="AS9" s="14" t="n"/>
      <c r="AT9" s="16" t="n"/>
      <c r="AU9" s="17" t="n"/>
      <c r="AV9" s="14" t="n">
        <v>0</v>
      </c>
      <c r="AW9" s="18" t="n">
        <v>60100000</v>
      </c>
      <c r="AX9" s="19" t="n">
        <v>10009959.56</v>
      </c>
      <c r="AY9" s="18" t="n">
        <v>3100000</v>
      </c>
      <c r="AZ9" s="18">
        <f>1000000000-999942696.6916</f>
        <v/>
      </c>
      <c r="BA9" s="20">
        <f>1000000000-AV9-AW9-AX9-AY9-AZ9</f>
        <v/>
      </c>
      <c r="BB9" s="21" t="n">
        <v>244.9</v>
      </c>
      <c r="BC9" s="21">
        <f>BA9/1000000-BB9</f>
        <v/>
      </c>
      <c r="BD9" s="22">
        <f>BA9*11.4</f>
        <v/>
      </c>
    </row>
    <row r="10">
      <c r="A10" s="10" t="n">
        <v>45632</v>
      </c>
      <c r="B10" s="11" t="n">
        <v>7811474439.542698</v>
      </c>
      <c r="C10" s="11" t="n"/>
      <c r="D10" s="11" t="n">
        <v>218646771</v>
      </c>
      <c r="E10" s="11" t="n"/>
      <c r="N10" s="11" t="n"/>
      <c r="O10" s="11" t="n"/>
      <c r="P10" s="11" t="n"/>
      <c r="R10" s="12" t="n">
        <v>0.03</v>
      </c>
      <c r="V10" s="11" t="n"/>
      <c r="W10" s="11" t="n"/>
      <c r="Y10" s="11" t="n"/>
      <c r="AE10" s="11" t="n"/>
      <c r="AG10" s="13">
        <f>IF(OR(B10="",B10=0,M10=""),"",M10/B10*10000)</f>
        <v/>
      </c>
      <c r="AH10" s="13">
        <f>IF(OR(C10="",C10=0),"",N10/C10*10000)</f>
        <v/>
      </c>
      <c r="AI10" s="13">
        <f>IF(OR(D10="",D10=0),"",O10/D10*10000)</f>
        <v/>
      </c>
      <c r="AJ10" s="11" t="n"/>
      <c r="AK10" s="11" t="n"/>
      <c r="AN10" s="14" t="n"/>
      <c r="AO10" s="15" t="n"/>
      <c r="AP10" s="14" t="n">
        <v>10428490.65</v>
      </c>
      <c r="AQ10" s="14" t="n">
        <v>0</v>
      </c>
      <c r="AR10" s="14" t="n">
        <v>3472.5047</v>
      </c>
      <c r="AS10" s="14" t="n"/>
      <c r="AT10" s="16" t="n"/>
      <c r="AU10" s="17" t="n"/>
      <c r="AV10" s="14" t="n">
        <v>0</v>
      </c>
      <c r="AW10" s="18" t="n">
        <v>60100000</v>
      </c>
      <c r="AX10" s="19" t="n">
        <v>10428490.65</v>
      </c>
      <c r="AY10" s="18" t="n">
        <v>3100000</v>
      </c>
      <c r="AZ10" s="18">
        <f>1000000000-999939224.1869</f>
        <v/>
      </c>
      <c r="BA10" s="20">
        <f>1000000000-AV10-AW10-AX10-AY10-AZ10</f>
        <v/>
      </c>
      <c r="BB10" s="21" t="n">
        <v>244.9</v>
      </c>
      <c r="BC10" s="21">
        <f>BA10/1000000-BB10</f>
        <v/>
      </c>
      <c r="BD10" s="22">
        <f>BA10*12.69</f>
        <v/>
      </c>
    </row>
    <row r="11">
      <c r="A11" s="10" t="n">
        <v>45633</v>
      </c>
      <c r="B11" s="11" t="n">
        <v>2862437941.096829</v>
      </c>
      <c r="C11" s="11" t="n"/>
      <c r="D11" s="11" t="n">
        <v>182104753</v>
      </c>
      <c r="E11" s="11" t="n"/>
      <c r="N11" s="11" t="n"/>
      <c r="O11" s="11" t="n"/>
      <c r="P11" s="11" t="n"/>
      <c r="R11" s="12" t="n">
        <v>0.03</v>
      </c>
      <c r="V11" s="11" t="n"/>
      <c r="W11" s="11" t="n"/>
      <c r="Y11" s="11" t="n"/>
      <c r="AE11" s="11" t="n"/>
      <c r="AG11" s="13">
        <f>IF(OR(B11="",B11=0,M11=""),"",M11/B11*10000)</f>
        <v/>
      </c>
      <c r="AH11" s="13">
        <f>IF(OR(C11="",C11=0),"",N11/C11*10000)</f>
        <v/>
      </c>
      <c r="AI11" s="13">
        <f>IF(OR(D11="",D11=0),"",O11/D11*10000)</f>
        <v/>
      </c>
      <c r="AJ11" s="11" t="n"/>
      <c r="AK11" s="11" t="n"/>
      <c r="AN11" s="14" t="n"/>
      <c r="AO11" s="15" t="n"/>
      <c r="AP11" s="14" t="n">
        <v>10428490.65</v>
      </c>
      <c r="AQ11" s="14" t="n">
        <v>0</v>
      </c>
      <c r="AR11" s="14" t="n">
        <v>2255.2254</v>
      </c>
      <c r="AS11" s="14" t="n"/>
      <c r="AT11" s="16" t="n"/>
      <c r="AU11" s="17" t="n"/>
      <c r="AV11" s="14" t="n">
        <v>0</v>
      </c>
      <c r="AW11" s="18" t="n">
        <v>60100000</v>
      </c>
      <c r="AX11" s="19" t="n">
        <v>10428490.65</v>
      </c>
      <c r="AY11" s="18" t="n">
        <v>3100000</v>
      </c>
      <c r="AZ11" s="18">
        <f>1000000000-999936968.9615</f>
        <v/>
      </c>
      <c r="BA11" s="20">
        <f>1000000000-AV11-AW11-AX11-AY11-AZ11</f>
        <v/>
      </c>
      <c r="BB11" s="21" t="n">
        <v>244.9</v>
      </c>
      <c r="BC11" s="21">
        <f>BA11/1000000-BB11</f>
        <v/>
      </c>
      <c r="BD11" s="22">
        <f>BA11*13.83</f>
        <v/>
      </c>
    </row>
    <row r="12">
      <c r="A12" s="10" t="n">
        <v>45634</v>
      </c>
      <c r="B12" s="11" t="n">
        <v>3252798817.793281</v>
      </c>
      <c r="C12" s="11" t="n"/>
      <c r="D12" s="11" t="n">
        <v>136064768</v>
      </c>
      <c r="E12" s="11" t="n"/>
      <c r="N12" s="11" t="n"/>
      <c r="O12" s="11" t="n"/>
      <c r="P12" s="11" t="n"/>
      <c r="R12" s="12" t="n">
        <v>0.03</v>
      </c>
      <c r="V12" s="11" t="n"/>
      <c r="W12" s="11" t="n"/>
      <c r="Y12" s="11" t="n"/>
      <c r="AE12" s="11" t="n"/>
      <c r="AG12" s="13">
        <f>IF(OR(B12="",B12=0,M12=""),"",M12/B12*10000)</f>
        <v/>
      </c>
      <c r="AH12" s="13">
        <f>IF(OR(C12="",C12=0),"",N12/C12*10000)</f>
        <v/>
      </c>
      <c r="AI12" s="13">
        <f>IF(OR(D12="",D12=0),"",O12/D12*10000)</f>
        <v/>
      </c>
      <c r="AJ12" s="11" t="n"/>
      <c r="AK12" s="11" t="n"/>
      <c r="AN12" s="14" t="n"/>
      <c r="AO12" s="15" t="n"/>
      <c r="AP12" s="14" t="n">
        <v>10428490.65</v>
      </c>
      <c r="AQ12" s="14" t="n">
        <v>0</v>
      </c>
      <c r="AR12" s="14" t="n">
        <v>1897.8347</v>
      </c>
      <c r="AS12" s="14" t="n"/>
      <c r="AT12" s="16" t="n"/>
      <c r="AU12" s="17" t="n"/>
      <c r="AV12" s="14" t="n">
        <v>0</v>
      </c>
      <c r="AW12" s="18" t="n">
        <v>60100000</v>
      </c>
      <c r="AX12" s="19" t="n">
        <v>10428490.65</v>
      </c>
      <c r="AY12" s="18" t="n">
        <v>3100000</v>
      </c>
      <c r="AZ12" s="18">
        <f>1000000000-999935071.1268</f>
        <v/>
      </c>
      <c r="BA12" s="20">
        <f>1000000000-AV12-AW12-AX12-AY12-AZ12</f>
        <v/>
      </c>
      <c r="BB12" s="21" t="n">
        <v>244.9</v>
      </c>
      <c r="BC12" s="21">
        <f>BA12/1000000-BB12</f>
        <v/>
      </c>
      <c r="BD12" s="22">
        <f>BA12*14.12</f>
        <v/>
      </c>
    </row>
    <row r="13">
      <c r="A13" s="10" t="n">
        <v>45635</v>
      </c>
      <c r="B13" s="11" t="n">
        <v>5306358931.682057</v>
      </c>
      <c r="C13" s="11" t="n"/>
      <c r="D13" s="11" t="n">
        <v>270676721</v>
      </c>
      <c r="E13" s="11" t="n"/>
      <c r="N13" s="11" t="n"/>
      <c r="O13" s="11" t="n"/>
      <c r="P13" s="11" t="n"/>
      <c r="R13" s="12" t="n">
        <v>0.03</v>
      </c>
      <c r="V13" s="11" t="n"/>
      <c r="W13" s="11" t="n"/>
      <c r="Y13" s="11" t="n"/>
      <c r="AE13" s="11" t="n"/>
      <c r="AG13" s="13">
        <f>IF(OR(B13="",B13=0,M13=""),"",M13/B13*10000)</f>
        <v/>
      </c>
      <c r="AH13" s="13">
        <f>IF(OR(C13="",C13=0),"",N13/C13*10000)</f>
        <v/>
      </c>
      <c r="AI13" s="13">
        <f>IF(OR(D13="",D13=0),"",O13/D13*10000)</f>
        <v/>
      </c>
      <c r="AJ13" s="11" t="n"/>
      <c r="AK13" s="11" t="n"/>
      <c r="AN13" s="14" t="n"/>
      <c r="AO13" s="15" t="n"/>
      <c r="AP13" s="14" t="n">
        <v>10654299.17</v>
      </c>
      <c r="AQ13" s="14" t="n">
        <v>0</v>
      </c>
      <c r="AR13" s="14" t="n">
        <v>1284.1908</v>
      </c>
      <c r="AS13" s="14" t="n"/>
      <c r="AT13" s="16" t="n"/>
      <c r="AU13" s="17" t="n"/>
      <c r="AV13" s="14" t="n">
        <v>0</v>
      </c>
      <c r="AW13" s="18" t="n">
        <v>60100000</v>
      </c>
      <c r="AX13" s="19" t="n">
        <v>10654299.17</v>
      </c>
      <c r="AY13" s="18" t="n">
        <v>3100000</v>
      </c>
      <c r="AZ13" s="18">
        <f>1000000000-999933786.9361</f>
        <v/>
      </c>
      <c r="BA13" s="20">
        <f>1000000000-AV13-AW13-AX13-AY13-AZ13</f>
        <v/>
      </c>
      <c r="BB13" s="21" t="n">
        <v>244.9</v>
      </c>
      <c r="BC13" s="21">
        <f>BA13/1000000-BB13</f>
        <v/>
      </c>
      <c r="BD13" s="22">
        <f>BA13*14.02</f>
        <v/>
      </c>
    </row>
    <row r="14">
      <c r="A14" s="10" t="n">
        <v>45636</v>
      </c>
      <c r="B14" s="11" t="n">
        <v>10009953606.92171</v>
      </c>
      <c r="C14" s="11" t="n"/>
      <c r="D14" s="11" t="n">
        <v>208129108</v>
      </c>
      <c r="E14" s="11" t="n"/>
      <c r="N14" s="11" t="n"/>
      <c r="O14" s="11" t="n"/>
      <c r="P14" s="11" t="n"/>
      <c r="R14" s="12" t="n">
        <v>0.03</v>
      </c>
      <c r="V14" s="11" t="n"/>
      <c r="W14" s="11" t="n"/>
      <c r="Y14" s="11" t="n"/>
      <c r="AE14" s="11" t="n"/>
      <c r="AG14" s="13">
        <f>IF(OR(B14="",B14=0,M14=""),"",M14/B14*10000)</f>
        <v/>
      </c>
      <c r="AH14" s="13">
        <f>IF(OR(C14="",C14=0),"",N14/C14*10000)</f>
        <v/>
      </c>
      <c r="AI14" s="13">
        <f>IF(OR(D14="",D14=0),"",O14/D14*10000)</f>
        <v/>
      </c>
      <c r="AJ14" s="11" t="n"/>
      <c r="AK14" s="11" t="n"/>
      <c r="AN14" s="14" t="n"/>
      <c r="AO14" s="15" t="n"/>
      <c r="AP14" s="14" t="n">
        <v>10654299.17</v>
      </c>
      <c r="AQ14" s="14" t="n">
        <v>0</v>
      </c>
      <c r="AR14" s="14" t="n">
        <v>2527.2104</v>
      </c>
      <c r="AS14" s="14" t="n"/>
      <c r="AT14" s="16" t="n"/>
      <c r="AU14" s="17" t="n"/>
      <c r="AV14" s="14" t="n">
        <v>0</v>
      </c>
      <c r="AW14" s="18" t="n">
        <v>60100000</v>
      </c>
      <c r="AX14" s="19" t="n">
        <v>10654299.17</v>
      </c>
      <c r="AY14" s="18" t="n">
        <v>3100000</v>
      </c>
      <c r="AZ14" s="18">
        <f>1000000000-999931259.7256</f>
        <v/>
      </c>
      <c r="BA14" s="20">
        <f>1000000000-AV14-AW14-AX14-AY14-AZ14</f>
        <v/>
      </c>
      <c r="BB14" s="21" t="n">
        <v>244.9</v>
      </c>
      <c r="BC14" s="21">
        <f>BA14/1000000-BB14</f>
        <v/>
      </c>
      <c r="BD14" s="22">
        <f>BA14*13.54</f>
        <v/>
      </c>
    </row>
    <row r="15">
      <c r="A15" s="10" t="n">
        <v>45637</v>
      </c>
      <c r="B15" s="11" t="n">
        <v>3979399218.478518</v>
      </c>
      <c r="C15" s="11" t="n"/>
      <c r="D15" s="11" t="n">
        <v>211797447</v>
      </c>
      <c r="E15" s="11" t="n"/>
      <c r="N15" s="11" t="n"/>
      <c r="O15" s="11" t="n"/>
      <c r="P15" s="11" t="n"/>
      <c r="R15" s="12" t="n">
        <v>0.03</v>
      </c>
      <c r="V15" s="11" t="n"/>
      <c r="W15" s="11" t="n"/>
      <c r="Y15" s="11" t="n"/>
      <c r="AE15" s="11" t="n"/>
      <c r="AG15" s="13">
        <f>IF(OR(B15="",B15=0,M15=""),"",M15/B15*10000)</f>
        <v/>
      </c>
      <c r="AH15" s="13">
        <f>IF(OR(C15="",C15=0),"",N15/C15*10000)</f>
        <v/>
      </c>
      <c r="AI15" s="13">
        <f>IF(OR(D15="",D15=0),"",O15/D15*10000)</f>
        <v/>
      </c>
      <c r="AJ15" s="11" t="n"/>
      <c r="AK15" s="11" t="n"/>
      <c r="AN15" s="14" t="n"/>
      <c r="AO15" s="15" t="n"/>
      <c r="AP15" s="14" t="n">
        <v>10654299.17</v>
      </c>
      <c r="AQ15" s="14" t="n">
        <v>0</v>
      </c>
      <c r="AR15" s="14" t="n">
        <v>2003.998</v>
      </c>
      <c r="AS15" s="14" t="n"/>
      <c r="AT15" s="16" t="n"/>
      <c r="AU15" s="17" t="n"/>
      <c r="AV15" s="14" t="n">
        <v>0</v>
      </c>
      <c r="AW15" s="18" t="n">
        <v>60100000</v>
      </c>
      <c r="AX15" s="19" t="n">
        <v>10654299.17</v>
      </c>
      <c r="AY15" s="18" t="n">
        <v>3100000</v>
      </c>
      <c r="AZ15" s="18">
        <f>1000000000-999929255.7277</f>
        <v/>
      </c>
      <c r="BA15" s="20">
        <f>1000000000-AV15-AW15-AX15-AY15-AZ15</f>
        <v/>
      </c>
      <c r="BB15" s="21" t="n">
        <v>244.9</v>
      </c>
      <c r="BC15" s="21">
        <f>BA15/1000000-BB15</f>
        <v/>
      </c>
      <c r="BD15" s="22">
        <f>BA15*13.56</f>
        <v/>
      </c>
    </row>
    <row r="16">
      <c r="A16" s="10" t="n">
        <v>45638</v>
      </c>
      <c r="B16" s="11" t="n">
        <v>4839045908.118066</v>
      </c>
      <c r="C16" s="11" t="n"/>
      <c r="D16" s="11" t="n">
        <v>324908474</v>
      </c>
      <c r="E16" s="11" t="n"/>
      <c r="N16" s="11" t="n"/>
      <c r="O16" s="11" t="n"/>
      <c r="P16" s="11" t="n"/>
      <c r="R16" s="12" t="n">
        <v>0.03</v>
      </c>
      <c r="V16" s="11" t="n"/>
      <c r="W16" s="11" t="n"/>
      <c r="Y16" s="11" t="n"/>
      <c r="AE16" s="11" t="n"/>
      <c r="AG16" s="13">
        <f>IF(OR(B16="",B16=0,M16=""),"",M16/B16*10000)</f>
        <v/>
      </c>
      <c r="AH16" s="13">
        <f>IF(OR(C16="",C16=0),"",N16/C16*10000)</f>
        <v/>
      </c>
      <c r="AI16" s="13">
        <f>IF(OR(D16="",D16=0),"",O16/D16*10000)</f>
        <v/>
      </c>
      <c r="AJ16" s="11" t="n"/>
      <c r="AK16" s="11" t="n"/>
      <c r="AN16" s="14" t="n"/>
      <c r="AO16" s="15" t="n"/>
      <c r="AP16" s="14" t="n">
        <v>10654299.17</v>
      </c>
      <c r="AQ16" s="14" t="n">
        <v>0</v>
      </c>
      <c r="AR16" s="14" t="n">
        <v>1932.7073</v>
      </c>
      <c r="AS16" s="14" t="n"/>
      <c r="AT16" s="16" t="n"/>
      <c r="AU16" s="17" t="n"/>
      <c r="AV16" s="14" t="n">
        <v>0</v>
      </c>
      <c r="AW16" s="18" t="n">
        <v>60100000</v>
      </c>
      <c r="AX16" s="19" t="n">
        <v>10654299.17</v>
      </c>
      <c r="AY16" s="18" t="n">
        <v>3100000</v>
      </c>
      <c r="AZ16" s="18">
        <f>1000000000-999927323.0204</f>
        <v/>
      </c>
      <c r="BA16" s="20">
        <f>1000000000-AV16-AW16-AX16-AY16-AZ16</f>
        <v/>
      </c>
      <c r="BB16" s="21" t="n">
        <v>244.9</v>
      </c>
      <c r="BC16" s="21">
        <f>BA16/1000000-BB16</f>
        <v/>
      </c>
      <c r="BD16" s="22">
        <f>BA16*16.11</f>
        <v/>
      </c>
    </row>
    <row r="17">
      <c r="A17" s="10" t="n">
        <v>45639</v>
      </c>
      <c r="B17" s="11" t="n">
        <v>4253319332.016101</v>
      </c>
      <c r="C17" s="11" t="n"/>
      <c r="D17" s="11" t="n">
        <v>334237923</v>
      </c>
      <c r="E17" s="11" t="n"/>
      <c r="N17" s="11" t="n"/>
      <c r="O17" s="11" t="n"/>
      <c r="P17" s="11" t="n"/>
      <c r="R17" s="12" t="n">
        <v>0.03</v>
      </c>
      <c r="V17" s="11" t="n"/>
      <c r="W17" s="11" t="n"/>
      <c r="Y17" s="11" t="n"/>
      <c r="AE17" s="11" t="n"/>
      <c r="AG17" s="13">
        <f>IF(OR(B17="",B17=0,M17=""),"",M17/B17*10000)</f>
        <v/>
      </c>
      <c r="AH17" s="13">
        <f>IF(OR(C17="",C17=0),"",N17/C17*10000)</f>
        <v/>
      </c>
      <c r="AI17" s="13">
        <f>IF(OR(D17="",D17=0),"",O17/D17*10000)</f>
        <v/>
      </c>
      <c r="AJ17" s="11" t="n"/>
      <c r="AK17" s="11" t="n"/>
      <c r="AN17" s="14" t="n"/>
      <c r="AO17" s="15" t="n"/>
      <c r="AP17" s="14" t="n">
        <v>10662921.63</v>
      </c>
      <c r="AQ17" s="14" t="n">
        <v>0</v>
      </c>
      <c r="AR17" s="14" t="n">
        <v>2435.2699</v>
      </c>
      <c r="AS17" s="14" t="n"/>
      <c r="AT17" s="16" t="n"/>
      <c r="AU17" s="17" t="n"/>
      <c r="AV17" s="14" t="n">
        <v>0</v>
      </c>
      <c r="AW17" s="18" t="n">
        <v>60100000</v>
      </c>
      <c r="AX17" s="19" t="n">
        <v>10662921.63</v>
      </c>
      <c r="AY17" s="18" t="n">
        <v>3100000</v>
      </c>
      <c r="AZ17" s="18">
        <f>1000000000-999924887.7505</f>
        <v/>
      </c>
      <c r="BA17" s="20">
        <f>1000000000-AV17-AW17-AX17-AY17-AZ17</f>
        <v/>
      </c>
      <c r="BB17" s="21" t="n">
        <v>244.9</v>
      </c>
      <c r="BC17" s="21">
        <f>BA17/1000000-BB17</f>
        <v/>
      </c>
      <c r="BD17" s="22">
        <f>BA17*18.04</f>
        <v/>
      </c>
    </row>
    <row r="18">
      <c r="A18" s="10" t="n">
        <v>45640</v>
      </c>
      <c r="B18" s="11" t="n">
        <v>3170522123.293099</v>
      </c>
      <c r="C18" s="11" t="n"/>
      <c r="D18" s="11" t="n">
        <v>546075604</v>
      </c>
      <c r="E18" s="11" t="n"/>
      <c r="N18" s="11" t="n"/>
      <c r="O18" s="11" t="n"/>
      <c r="P18" s="11" t="n"/>
      <c r="R18" s="12" t="n">
        <v>0.03</v>
      </c>
      <c r="V18" s="11" t="n"/>
      <c r="W18" s="11" t="n"/>
      <c r="Y18" s="11" t="n"/>
      <c r="AE18" s="11" t="n"/>
      <c r="AG18" s="13">
        <f>IF(OR(B18="",B18=0,M18=""),"",M18/B18*10000)</f>
        <v/>
      </c>
      <c r="AH18" s="13">
        <f>IF(OR(C18="",C18=0),"",N18/C18*10000)</f>
        <v/>
      </c>
      <c r="AI18" s="13">
        <f>IF(OR(D18="",D18=0),"",O18/D18*10000)</f>
        <v/>
      </c>
      <c r="AJ18" s="11" t="n"/>
      <c r="AK18" s="11" t="n"/>
      <c r="AN18" s="14" t="n"/>
      <c r="AO18" s="15" t="n"/>
      <c r="AP18" s="14" t="n">
        <v>10761181.28</v>
      </c>
      <c r="AQ18" s="14" t="n">
        <v>0</v>
      </c>
      <c r="AR18" s="14" t="n">
        <v>1602.2514</v>
      </c>
      <c r="AS18" s="14" t="n"/>
      <c r="AT18" s="16" t="n"/>
      <c r="AU18" s="17" t="n"/>
      <c r="AV18" s="14" t="n">
        <v>0</v>
      </c>
      <c r="AW18" s="18" t="n">
        <v>60100000</v>
      </c>
      <c r="AX18" s="19" t="n">
        <v>10761181.28</v>
      </c>
      <c r="AY18" s="18" t="n">
        <v>3100000</v>
      </c>
      <c r="AZ18" s="18">
        <f>1000000000-999923285.4991</f>
        <v/>
      </c>
      <c r="BA18" s="20">
        <f>1000000000-AV18-AW18-AX18-AY18-AZ18</f>
        <v/>
      </c>
      <c r="BB18" s="21" t="n">
        <v>244.9</v>
      </c>
      <c r="BC18" s="21">
        <f>BA18/1000000-BB18</f>
        <v/>
      </c>
      <c r="BD18" s="22">
        <f>BA18*19.49</f>
        <v/>
      </c>
    </row>
    <row r="19">
      <c r="A19" s="10" t="n">
        <v>45641</v>
      </c>
      <c r="B19" s="11" t="n">
        <v>3786628958.91193</v>
      </c>
      <c r="C19" s="11" t="n"/>
      <c r="D19" s="11" t="n">
        <v>517821521</v>
      </c>
      <c r="E19" s="11" t="n"/>
      <c r="N19" s="11" t="n"/>
      <c r="O19" s="11" t="n"/>
      <c r="P19" s="11" t="n"/>
      <c r="R19" s="12" t="n">
        <v>0.03</v>
      </c>
      <c r="V19" s="11" t="n"/>
      <c r="W19" s="11" t="n"/>
      <c r="Y19" s="11" t="n"/>
      <c r="AE19" s="11" t="n"/>
      <c r="AG19" s="13">
        <f>IF(OR(B19="",B19=0,M19=""),"",M19/B19*10000)</f>
        <v/>
      </c>
      <c r="AH19" s="13">
        <f>IF(OR(C19="",C19=0),"",N19/C19*10000)</f>
        <v/>
      </c>
      <c r="AI19" s="13">
        <f>IF(OR(D19="",D19=0),"",O19/D19*10000)</f>
        <v/>
      </c>
      <c r="AJ19" s="11" t="n"/>
      <c r="AK19" s="11" t="n"/>
      <c r="AN19" s="14" t="n"/>
      <c r="AO19" s="15" t="n"/>
      <c r="AP19" s="14" t="n">
        <v>10761181.28</v>
      </c>
      <c r="AQ19" s="14" t="n">
        <v>0</v>
      </c>
      <c r="AR19" s="14" t="n">
        <v>2857.882</v>
      </c>
      <c r="AS19" s="14" t="n"/>
      <c r="AT19" s="16" t="n"/>
      <c r="AU19" s="17" t="n"/>
      <c r="AV19" s="14" t="n">
        <v>0</v>
      </c>
      <c r="AW19" s="18" t="n">
        <v>60100000</v>
      </c>
      <c r="AX19" s="19" t="n">
        <v>10761181.28</v>
      </c>
      <c r="AY19" s="18" t="n">
        <v>3100000</v>
      </c>
      <c r="AZ19" s="18">
        <f>1000000000-999920427.6171</f>
        <v/>
      </c>
      <c r="BA19" s="20">
        <f>1000000000-AV19-AW19-AX19-AY19-AZ19</f>
        <v/>
      </c>
      <c r="BB19" s="21" t="n">
        <v>244.9</v>
      </c>
      <c r="BC19" s="21">
        <f>BA19/1000000-BB19</f>
        <v/>
      </c>
      <c r="BD19" s="22">
        <f>BA19*24.15</f>
        <v/>
      </c>
    </row>
    <row r="20">
      <c r="A20" s="10" t="n">
        <v>45642</v>
      </c>
      <c r="B20" s="11" t="n">
        <v>6267294832.557244</v>
      </c>
      <c r="C20" s="11" t="n"/>
      <c r="D20" s="11" t="n">
        <v>552491542</v>
      </c>
      <c r="E20" s="11" t="n"/>
      <c r="N20" s="11" t="n"/>
      <c r="O20" s="11" t="n"/>
      <c r="P20" s="11" t="n"/>
      <c r="R20" s="12" t="n">
        <v>0.03</v>
      </c>
      <c r="V20" s="11" t="n"/>
      <c r="W20" s="11" t="n"/>
      <c r="Y20" s="11" t="n"/>
      <c r="AE20" s="11" t="n"/>
      <c r="AG20" s="13">
        <f>IF(OR(B20="",B20=0,M20=""),"",M20/B20*10000)</f>
        <v/>
      </c>
      <c r="AH20" s="13">
        <f>IF(OR(C20="",C20=0),"",N20/C20*10000)</f>
        <v/>
      </c>
      <c r="AI20" s="13">
        <f>IF(OR(D20="",D20=0),"",O20/D20*10000)</f>
        <v/>
      </c>
      <c r="AJ20" s="11" t="n"/>
      <c r="AK20" s="11" t="n"/>
      <c r="AN20" s="14" t="n"/>
      <c r="AO20" s="15" t="n"/>
      <c r="AP20" s="14" t="n">
        <v>10761181.28</v>
      </c>
      <c r="AQ20" s="14" t="n">
        <v>0</v>
      </c>
      <c r="AR20" s="14" t="n">
        <v>2419.5935</v>
      </c>
      <c r="AS20" s="14" t="n"/>
      <c r="AT20" s="16" t="n"/>
      <c r="AU20" s="17" t="n"/>
      <c r="AV20" s="14" t="n">
        <v>0</v>
      </c>
      <c r="AW20" s="18" t="n">
        <v>60100000</v>
      </c>
      <c r="AX20" s="19" t="n">
        <v>10761181.28</v>
      </c>
      <c r="AY20" s="18" t="n">
        <v>3100000</v>
      </c>
      <c r="AZ20" s="18">
        <f>1000000000-999918008.0235</f>
        <v/>
      </c>
      <c r="BA20" s="20">
        <f>1000000000-AV20-AW20-AX20-AY20-AZ20</f>
        <v/>
      </c>
      <c r="BB20" s="21" t="n">
        <v>244.9</v>
      </c>
      <c r="BC20" s="21">
        <f>BA20/1000000-BB20</f>
        <v/>
      </c>
      <c r="BD20" s="22">
        <f>BA20*23.88</f>
        <v/>
      </c>
    </row>
    <row r="21">
      <c r="A21" s="10" t="n">
        <v>45643</v>
      </c>
      <c r="B21" s="11" t="n">
        <v>5593864857.267532</v>
      </c>
      <c r="C21" s="11" t="n"/>
      <c r="D21" s="11" t="n">
        <v>533018011</v>
      </c>
      <c r="E21" s="11" t="n"/>
      <c r="N21" s="11" t="n"/>
      <c r="O21" s="11" t="n"/>
      <c r="P21" s="11" t="n"/>
      <c r="R21" s="12" t="n">
        <v>0.03</v>
      </c>
      <c r="V21" s="11" t="n"/>
      <c r="W21" s="11" t="n"/>
      <c r="Y21" s="11" t="n"/>
      <c r="AE21" s="11" t="n"/>
      <c r="AG21" s="13">
        <f>IF(OR(B21="",B21=0,M21=""),"",M21/B21*10000)</f>
        <v/>
      </c>
      <c r="AH21" s="13">
        <f>IF(OR(C21="",C21=0),"",N21/C21*10000)</f>
        <v/>
      </c>
      <c r="AI21" s="13">
        <f>IF(OR(D21="",D21=0),"",O21/D21*10000)</f>
        <v/>
      </c>
      <c r="AJ21" s="11" t="n"/>
      <c r="AK21" s="11" t="n"/>
      <c r="AN21" s="14" t="n"/>
      <c r="AO21" s="15" t="n"/>
      <c r="AP21" s="14" t="n">
        <v>10789059.15</v>
      </c>
      <c r="AQ21" s="14" t="n">
        <v>0</v>
      </c>
      <c r="AR21" s="14" t="n">
        <v>2278.9176</v>
      </c>
      <c r="AS21" s="14" t="n"/>
      <c r="AT21" s="16" t="n"/>
      <c r="AU21" s="17" t="n"/>
      <c r="AV21" s="14" t="n">
        <v>0</v>
      </c>
      <c r="AW21" s="18" t="n">
        <v>60100000</v>
      </c>
      <c r="AX21" s="19" t="n">
        <v>10789059.15</v>
      </c>
      <c r="AY21" s="18" t="n">
        <v>3100000</v>
      </c>
      <c r="AZ21" s="18">
        <f>1000000000-999915729.1059</f>
        <v/>
      </c>
      <c r="BA21" s="20">
        <f>1000000000-AV21-AW21-AX21-AY21-AZ21</f>
        <v/>
      </c>
      <c r="BB21" s="21" t="n">
        <v>244.9</v>
      </c>
      <c r="BC21" s="21">
        <f>BA21/1000000-BB21</f>
        <v/>
      </c>
      <c r="BD21" s="22">
        <f>BA21*27.24</f>
        <v/>
      </c>
    </row>
    <row r="22">
      <c r="A22" s="10" t="n">
        <v>45644</v>
      </c>
      <c r="B22" s="11" t="n">
        <v>8540539048.422064</v>
      </c>
      <c r="C22" s="11" t="n"/>
      <c r="D22" s="11" t="n">
        <v>472394527</v>
      </c>
      <c r="E22" s="11" t="n"/>
      <c r="N22" s="11" t="n"/>
      <c r="O22" s="11" t="n"/>
      <c r="P22" s="11" t="n"/>
      <c r="R22" s="12" t="n">
        <v>0.03</v>
      </c>
      <c r="V22" s="11" t="n"/>
      <c r="W22" s="11" t="n"/>
      <c r="Y22" s="11" t="n"/>
      <c r="AE22" s="11" t="n"/>
      <c r="AG22" s="13">
        <f>IF(OR(B22="",B22=0,M22=""),"",M22/B22*10000)</f>
        <v/>
      </c>
      <c r="AH22" s="13">
        <f>IF(OR(C22="",C22=0),"",N22/C22*10000)</f>
        <v/>
      </c>
      <c r="AI22" s="13">
        <f>IF(OR(D22="",D22=0),"",O22/D22*10000)</f>
        <v/>
      </c>
      <c r="AJ22" s="11" t="n"/>
      <c r="AK22" s="11" t="n"/>
      <c r="AN22" s="14" t="n"/>
      <c r="AO22" s="15" t="n"/>
      <c r="AP22" s="14" t="n">
        <v>10927484.59</v>
      </c>
      <c r="AQ22" s="14" t="n">
        <v>0</v>
      </c>
      <c r="AR22" s="14" t="n">
        <v>2263.4293</v>
      </c>
      <c r="AS22" s="14" t="n"/>
      <c r="AT22" s="16" t="n"/>
      <c r="AU22" s="17" t="n"/>
      <c r="AV22" s="14" t="n">
        <v>0</v>
      </c>
      <c r="AW22" s="18" t="n">
        <v>60100000</v>
      </c>
      <c r="AX22" s="19" t="n">
        <v>10927484.59</v>
      </c>
      <c r="AY22" s="18" t="n">
        <v>3100000</v>
      </c>
      <c r="AZ22" s="18">
        <f>1000000000-999913465.6766</f>
        <v/>
      </c>
      <c r="BA22" s="20">
        <f>1000000000-AV22-AW22-AX22-AY22-AZ22</f>
        <v/>
      </c>
      <c r="BB22" s="21" t="n">
        <v>244.9</v>
      </c>
      <c r="BC22" s="21">
        <f>BA22/1000000-BB22</f>
        <v/>
      </c>
      <c r="BD22" s="22">
        <f>BA22*25.57</f>
        <v/>
      </c>
    </row>
    <row r="23">
      <c r="A23" s="10" t="n">
        <v>45645</v>
      </c>
      <c r="B23" s="11" t="n">
        <v>11512982470.22535</v>
      </c>
      <c r="C23" s="11" t="n"/>
      <c r="D23" s="11" t="n">
        <v>564194362</v>
      </c>
      <c r="E23" s="11" t="n"/>
      <c r="N23" s="11" t="n"/>
      <c r="O23" s="11" t="n"/>
      <c r="P23" s="11" t="n"/>
      <c r="R23" s="12" t="n">
        <v>0.03</v>
      </c>
      <c r="V23" s="11" t="n"/>
      <c r="W23" s="11" t="n"/>
      <c r="Y23" s="11" t="n"/>
      <c r="AE23" s="11" t="n"/>
      <c r="AG23" s="13">
        <f>IF(OR(B23="",B23=0,M23=""),"",M23/B23*10000)</f>
        <v/>
      </c>
      <c r="AH23" s="13">
        <f>IF(OR(C23="",C23=0),"",N23/C23*10000)</f>
        <v/>
      </c>
      <c r="AI23" s="13">
        <f>IF(OR(D23="",D23=0),"",O23/D23*10000)</f>
        <v/>
      </c>
      <c r="AJ23" s="11" t="n"/>
      <c r="AK23" s="11" t="n"/>
      <c r="AN23" s="14" t="n"/>
      <c r="AO23" s="15" t="n"/>
      <c r="AP23" s="14" t="n">
        <v>11039805.54</v>
      </c>
      <c r="AQ23" s="14" t="n">
        <v>0</v>
      </c>
      <c r="AR23" s="14" t="n">
        <v>2427.0823</v>
      </c>
      <c r="AS23" s="14" t="n"/>
      <c r="AT23" s="16" t="n"/>
      <c r="AU23" s="17" t="n"/>
      <c r="AV23" s="14" t="n">
        <v>0</v>
      </c>
      <c r="AW23" s="18" t="n">
        <v>60100000</v>
      </c>
      <c r="AX23" s="19" t="n">
        <v>11039805.54</v>
      </c>
      <c r="AY23" s="18" t="n">
        <v>3100000</v>
      </c>
      <c r="AZ23" s="18">
        <f>1000000000-999911038.5943</f>
        <v/>
      </c>
      <c r="BA23" s="20">
        <f>1000000000-AV23-AW23-AX23-AY23-AZ23</f>
        <v/>
      </c>
      <c r="BB23" s="21" t="n">
        <v>244.9</v>
      </c>
      <c r="BC23" s="21">
        <f>BA23/1000000-BB23</f>
        <v/>
      </c>
      <c r="BD23" s="22">
        <f>BA23*23.22</f>
        <v/>
      </c>
    </row>
    <row r="24">
      <c r="A24" s="10" t="n">
        <v>45646</v>
      </c>
      <c r="B24" s="11" t="n">
        <v>9878521130.986139</v>
      </c>
      <c r="C24" s="11" t="n"/>
      <c r="D24" s="11" t="n">
        <v>703781781</v>
      </c>
      <c r="E24" s="11" t="n"/>
      <c r="N24" s="11" t="n"/>
      <c r="O24" s="11" t="n"/>
      <c r="P24" s="11" t="n"/>
      <c r="R24" s="12" t="n">
        <v>0.03</v>
      </c>
      <c r="V24" s="11" t="n"/>
      <c r="W24" s="11" t="n"/>
      <c r="Y24" s="11" t="n"/>
      <c r="AE24" s="11" t="n"/>
      <c r="AG24" s="13">
        <f>IF(OR(B24="",B24=0,M24=""),"",M24/B24*10000)</f>
        <v/>
      </c>
      <c r="AH24" s="13">
        <f>IF(OR(C24="",C24=0),"",N24/C24*10000)</f>
        <v/>
      </c>
      <c r="AI24" s="13">
        <f>IF(OR(D24="",D24=0),"",O24/D24*10000)</f>
        <v/>
      </c>
      <c r="AJ24" s="11" t="n"/>
      <c r="AK24" s="11" t="n"/>
      <c r="AN24" s="14" t="n"/>
      <c r="AO24" s="15" t="n"/>
      <c r="AP24" s="14" t="n">
        <v>11180483.87</v>
      </c>
      <c r="AQ24" s="14" t="n">
        <v>0</v>
      </c>
      <c r="AR24" s="14" t="n">
        <v>2863.6836</v>
      </c>
      <c r="AS24" s="14" t="n"/>
      <c r="AT24" s="16" t="n"/>
      <c r="AU24" s="17" t="n"/>
      <c r="AV24" s="14" t="n">
        <v>0</v>
      </c>
      <c r="AW24" s="18" t="n">
        <v>60100000</v>
      </c>
      <c r="AX24" s="19" t="n">
        <v>11180483.87</v>
      </c>
      <c r="AY24" s="18" t="n">
        <v>3100000</v>
      </c>
      <c r="AZ24" s="18">
        <f>1000000000-999908174.9107</f>
        <v/>
      </c>
      <c r="BA24" s="20">
        <f>1000000000-AV24-AW24-AX24-AY24-AZ24</f>
        <v/>
      </c>
      <c r="BB24" s="21" t="n">
        <v>244.9</v>
      </c>
      <c r="BC24" s="21">
        <f>BA24/1000000-BB24</f>
        <v/>
      </c>
      <c r="BD24" s="22">
        <f>BA24*24.92</f>
        <v/>
      </c>
    </row>
    <row r="25">
      <c r="A25" s="10" t="n">
        <v>45647</v>
      </c>
      <c r="B25" s="11" t="n">
        <v>5203028237.289838</v>
      </c>
      <c r="C25" s="11" t="n"/>
      <c r="D25" s="11" t="n">
        <v>527191283</v>
      </c>
      <c r="E25" s="11" t="n"/>
      <c r="N25" s="11" t="n"/>
      <c r="O25" s="11" t="n"/>
      <c r="P25" s="11" t="n"/>
      <c r="R25" s="12" t="n">
        <v>0.03</v>
      </c>
      <c r="V25" s="11" t="n"/>
      <c r="W25" s="11" t="n"/>
      <c r="Y25" s="11" t="n"/>
      <c r="AE25" s="11" t="n"/>
      <c r="AG25" s="13">
        <f>IF(OR(B25="",B25=0,M25=""),"",M25/B25*10000)</f>
        <v/>
      </c>
      <c r="AH25" s="13">
        <f>IF(OR(C25="",C25=0),"",N25/C25*10000)</f>
        <v/>
      </c>
      <c r="AI25" s="13">
        <f>IF(OR(D25="",D25=0),"",O25/D25*10000)</f>
        <v/>
      </c>
      <c r="AJ25" s="11" t="n"/>
      <c r="AK25" s="11" t="n"/>
      <c r="AN25" s="14" t="n"/>
      <c r="AO25" s="15" t="n"/>
      <c r="AP25" s="14" t="n">
        <v>11244814.05</v>
      </c>
      <c r="AQ25" s="14" t="n">
        <v>0</v>
      </c>
      <c r="AR25" s="14" t="n">
        <v>3033.9608</v>
      </c>
      <c r="AS25" s="14" t="n"/>
      <c r="AT25" s="16" t="n"/>
      <c r="AU25" s="17" t="n"/>
      <c r="AV25" s="14" t="n">
        <v>0</v>
      </c>
      <c r="AW25" s="18" t="n">
        <v>60100000</v>
      </c>
      <c r="AX25" s="19" t="n">
        <v>11244814.05</v>
      </c>
      <c r="AY25" s="18" t="n">
        <v>3100000</v>
      </c>
      <c r="AZ25" s="18">
        <f>1000000000-999905140.9499</f>
        <v/>
      </c>
      <c r="BA25" s="20">
        <f>1000000000-AV25-AW25-AX25-AY25-AZ25</f>
        <v/>
      </c>
      <c r="BB25" s="21" t="n">
        <v>244.9</v>
      </c>
      <c r="BC25" s="21">
        <f>BA25/1000000-BB25</f>
        <v/>
      </c>
      <c r="BD25" s="22">
        <f>BA25*29.74</f>
        <v/>
      </c>
    </row>
    <row r="26">
      <c r="A26" s="10" t="n">
        <v>45648</v>
      </c>
      <c r="B26" s="11" t="n">
        <v>4686731737.847057</v>
      </c>
      <c r="C26" s="11" t="n"/>
      <c r="D26" s="11" t="n">
        <v>471634786</v>
      </c>
      <c r="E26" s="11" t="n"/>
      <c r="N26" s="11" t="n"/>
      <c r="O26" s="11" t="n"/>
      <c r="P26" s="11" t="n"/>
      <c r="R26" s="12" t="n">
        <v>0.03</v>
      </c>
      <c r="V26" s="11" t="n"/>
      <c r="W26" s="11" t="n"/>
      <c r="Y26" s="11" t="n"/>
      <c r="AE26" s="11" t="n"/>
      <c r="AG26" s="13">
        <f>IF(OR(B26="",B26=0,M26=""),"",M26/B26*10000)</f>
        <v/>
      </c>
      <c r="AH26" s="13">
        <f>IF(OR(C26="",C26=0),"",N26/C26*10000)</f>
        <v/>
      </c>
      <c r="AI26" s="13">
        <f>IF(OR(D26="",D26=0),"",O26/D26*10000)</f>
        <v/>
      </c>
      <c r="AJ26" s="11" t="n"/>
      <c r="AK26" s="11" t="n"/>
      <c r="AN26" s="14" t="n"/>
      <c r="AO26" s="15" t="n"/>
      <c r="AP26" s="14" t="n">
        <v>11290999.18</v>
      </c>
      <c r="AQ26" s="14" t="n">
        <v>0</v>
      </c>
      <c r="AR26" s="14" t="n">
        <v>2044.5791</v>
      </c>
      <c r="AS26" s="14" t="n"/>
      <c r="AT26" s="16" t="n"/>
      <c r="AU26" s="17" t="n"/>
      <c r="AV26" s="14" t="n">
        <v>0</v>
      </c>
      <c r="AW26" s="18" t="n">
        <v>60100000</v>
      </c>
      <c r="AX26" s="19" t="n">
        <v>11290999.18</v>
      </c>
      <c r="AY26" s="18" t="n">
        <v>3100000</v>
      </c>
      <c r="AZ26" s="18">
        <f>1000000000-999903096.3708</f>
        <v/>
      </c>
      <c r="BA26" s="20">
        <f>1000000000-AV26-AW26-AX26-AY26-AZ26</f>
        <v/>
      </c>
      <c r="BB26" s="21" t="n">
        <v>244.9</v>
      </c>
      <c r="BC26" s="21">
        <f>BA26/1000000-BB26</f>
        <v/>
      </c>
      <c r="BD26" s="22">
        <f>BA26*32.02</f>
        <v/>
      </c>
    </row>
    <row r="27">
      <c r="A27" s="10" t="n">
        <v>45649</v>
      </c>
      <c r="B27" s="11" t="n">
        <v>6168463521.777985</v>
      </c>
      <c r="C27" s="11" t="n"/>
      <c r="D27" s="11" t="n">
        <v>375034673</v>
      </c>
      <c r="E27" s="11" t="n"/>
      <c r="N27" s="11" t="n"/>
      <c r="O27" s="11" t="n">
        <v>96254</v>
      </c>
      <c r="P27" s="11" t="n"/>
      <c r="R27" s="12" t="n">
        <v>0.03</v>
      </c>
      <c r="V27" s="11" t="n"/>
      <c r="W27" s="11" t="n"/>
      <c r="Y27" s="11" t="n"/>
      <c r="AE27" s="11" t="n"/>
      <c r="AG27" s="13">
        <f>IF(OR(B27="",B27=0,M27=""),"",M27/B27*10000)</f>
        <v/>
      </c>
      <c r="AH27" s="13">
        <f>IF(OR(C27="",C27=0),"",N27/C27*10000)</f>
        <v/>
      </c>
      <c r="AI27" s="13">
        <f>IF(OR(D27="",D27=0),"",O27/D27*10000)</f>
        <v/>
      </c>
      <c r="AJ27" s="11" t="n"/>
      <c r="AK27" s="11" t="n"/>
      <c r="AN27" s="14" t="n"/>
      <c r="AO27" s="15" t="n"/>
      <c r="AP27" s="14" t="n">
        <v>11346521.31</v>
      </c>
      <c r="AQ27" s="14" t="n">
        <v>0</v>
      </c>
      <c r="AR27" s="14" t="n">
        <v>2041.5641</v>
      </c>
      <c r="AS27" s="14" t="n"/>
      <c r="AT27" s="16" t="n"/>
      <c r="AU27" s="17" t="n"/>
      <c r="AV27" s="14" t="n">
        <v>0</v>
      </c>
      <c r="AW27" s="18" t="n">
        <v>60100000</v>
      </c>
      <c r="AX27" s="19" t="n">
        <v>11346521.31</v>
      </c>
      <c r="AY27" s="18" t="n">
        <v>3100000</v>
      </c>
      <c r="AZ27" s="18">
        <f>1000000000-999901054.8066</f>
        <v/>
      </c>
      <c r="BA27" s="20">
        <f>1000000000-AV27-AW27-AX27-AY27-AZ27</f>
        <v/>
      </c>
      <c r="BB27" s="21" t="n">
        <v>244.9</v>
      </c>
      <c r="BC27" s="21">
        <f>BA27/1000000-BB27</f>
        <v/>
      </c>
      <c r="BD27" s="22">
        <f>BA27*28.47</f>
        <v/>
      </c>
    </row>
    <row r="28">
      <c r="A28" s="10" t="n">
        <v>45650</v>
      </c>
      <c r="B28" s="11" t="n">
        <v>4401565232.734298</v>
      </c>
      <c r="C28" s="11" t="n"/>
      <c r="D28" s="11" t="n">
        <v>319403848</v>
      </c>
      <c r="E28" s="11" t="n"/>
      <c r="N28" s="11" t="n"/>
      <c r="O28" s="11" t="n">
        <v>47315</v>
      </c>
      <c r="P28" s="11" t="n"/>
      <c r="R28" s="12" t="n">
        <v>0.03</v>
      </c>
      <c r="V28" s="11" t="n"/>
      <c r="W28" s="11" t="n"/>
      <c r="Y28" s="11" t="n"/>
      <c r="AE28" s="11" t="n"/>
      <c r="AG28" s="13">
        <f>IF(OR(B28="",B28=0,M28=""),"",M28/B28*10000)</f>
        <v/>
      </c>
      <c r="AH28" s="13">
        <f>IF(OR(C28="",C28=0),"",N28/C28*10000)</f>
        <v/>
      </c>
      <c r="AI28" s="13">
        <f>IF(OR(D28="",D28=0),"",O28/D28*10000)</f>
        <v/>
      </c>
      <c r="AJ28" s="11" t="n"/>
      <c r="AK28" s="11" t="n"/>
      <c r="AN28" s="14" t="n"/>
      <c r="AO28" s="15" t="n"/>
      <c r="AP28" s="14" t="n">
        <v>11396462.95</v>
      </c>
      <c r="AQ28" s="14" t="n">
        <v>0</v>
      </c>
      <c r="AR28" s="14" t="n">
        <v>3190.5125</v>
      </c>
      <c r="AS28" s="14" t="n"/>
      <c r="AT28" s="16" t="n"/>
      <c r="AU28" s="17" t="n"/>
      <c r="AV28" s="14" t="n">
        <v>0</v>
      </c>
      <c r="AW28" s="18" t="n">
        <v>60100000</v>
      </c>
      <c r="AX28" s="19" t="n">
        <v>11396462.95</v>
      </c>
      <c r="AY28" s="18" t="n">
        <v>3100000</v>
      </c>
      <c r="AZ28" s="18">
        <f>1000000000-999897864.2941</f>
        <v/>
      </c>
      <c r="BA28" s="20">
        <f>1000000000-AV28-AW28-AX28-AY28-AZ28</f>
        <v/>
      </c>
      <c r="BB28" s="21" t="n">
        <v>244.9</v>
      </c>
      <c r="BC28" s="21">
        <f>BA28/1000000-BB28</f>
        <v/>
      </c>
      <c r="BD28" s="22">
        <f>BA28*28.6</f>
        <v/>
      </c>
    </row>
    <row r="29">
      <c r="A29" s="10" t="n">
        <v>45651</v>
      </c>
      <c r="B29" s="11" t="n">
        <v>3090026719.559011</v>
      </c>
      <c r="C29" s="11" t="n"/>
      <c r="D29" s="11" t="n">
        <v>310480616</v>
      </c>
      <c r="E29" s="11" t="n"/>
      <c r="N29" s="11" t="n"/>
      <c r="O29" s="11" t="n">
        <v>43561</v>
      </c>
      <c r="P29" s="11" t="n"/>
      <c r="R29" s="12" t="n">
        <v>0.03</v>
      </c>
      <c r="V29" s="11" t="n"/>
      <c r="W29" s="11" t="n"/>
      <c r="Y29" s="11" t="n"/>
      <c r="AE29" s="11" t="n"/>
      <c r="AG29" s="13">
        <f>IF(OR(B29="",B29=0,M29=""),"",M29/B29*10000)</f>
        <v/>
      </c>
      <c r="AH29" s="13">
        <f>IF(OR(C29="",C29=0),"",N29/C29*10000)</f>
        <v/>
      </c>
      <c r="AI29" s="13">
        <f>IF(OR(D29="",D29=0),"",O29/D29*10000)</f>
        <v/>
      </c>
      <c r="AJ29" s="11" t="n"/>
      <c r="AK29" s="11" t="n"/>
      <c r="AN29" s="14" t="n"/>
      <c r="AO29" s="15" t="n"/>
      <c r="AP29" s="14" t="n">
        <v>11439369.76</v>
      </c>
      <c r="AQ29" s="14" t="n">
        <v>0</v>
      </c>
      <c r="AR29" s="14" t="n">
        <v>1832.8323</v>
      </c>
      <c r="AS29" s="14" t="n"/>
      <c r="AT29" s="16" t="n"/>
      <c r="AU29" s="17" t="n"/>
      <c r="AV29" s="14" t="n">
        <v>0</v>
      </c>
      <c r="AW29" s="18" t="n">
        <v>60100000</v>
      </c>
      <c r="AX29" s="19" t="n">
        <v>11439369.76</v>
      </c>
      <c r="AY29" s="18" t="n">
        <v>3100000</v>
      </c>
      <c r="AZ29" s="18">
        <f>1000000000-999896031.4618</f>
        <v/>
      </c>
      <c r="BA29" s="20">
        <f>1000000000-AV29-AW29-AX29-AY29-AZ29</f>
        <v/>
      </c>
      <c r="BB29" s="21" t="n">
        <v>244.9</v>
      </c>
      <c r="BC29" s="21">
        <f>BA29/1000000-BB29</f>
        <v/>
      </c>
      <c r="BD29" s="22">
        <f>BA29*29.78</f>
        <v/>
      </c>
    </row>
    <row r="30">
      <c r="A30" s="10" t="n">
        <v>45652</v>
      </c>
      <c r="B30" s="11" t="n">
        <v>3897465234.443472</v>
      </c>
      <c r="C30" s="11" t="n"/>
      <c r="D30" s="11" t="n">
        <v>214091088</v>
      </c>
      <c r="E30" s="11" t="n"/>
      <c r="N30" s="11" t="n"/>
      <c r="O30" s="11" t="n">
        <v>44254</v>
      </c>
      <c r="P30" s="11" t="n"/>
      <c r="R30" s="12" t="n">
        <v>0.03</v>
      </c>
      <c r="V30" s="11" t="n"/>
      <c r="W30" s="11" t="n"/>
      <c r="Y30" s="11" t="n"/>
      <c r="AE30" s="11" t="n"/>
      <c r="AG30" s="13">
        <f>IF(OR(B30="",B30=0,M30=""),"",M30/B30*10000)</f>
        <v/>
      </c>
      <c r="AH30" s="13">
        <f>IF(OR(C30="",C30=0),"",N30/C30*10000)</f>
        <v/>
      </c>
      <c r="AI30" s="13">
        <f>IF(OR(D30="",D30=0),"",O30/D30*10000)</f>
        <v/>
      </c>
      <c r="AJ30" s="11" t="n"/>
      <c r="AK30" s="11" t="n"/>
      <c r="AN30" s="14" t="n"/>
      <c r="AO30" s="15" t="n"/>
      <c r="AP30" s="14" t="n">
        <v>11468142.63</v>
      </c>
      <c r="AQ30" s="14" t="n">
        <v>0</v>
      </c>
      <c r="AR30" s="14" t="n">
        <v>1373.0965</v>
      </c>
      <c r="AS30" s="14" t="n"/>
      <c r="AT30" s="16" t="n"/>
      <c r="AU30" s="17" t="n"/>
      <c r="AV30" s="14" t="n">
        <v>0</v>
      </c>
      <c r="AW30" s="18" t="n">
        <v>60100000</v>
      </c>
      <c r="AX30" s="19" t="n">
        <v>11468142.63</v>
      </c>
      <c r="AY30" s="18" t="n">
        <v>3100000</v>
      </c>
      <c r="AZ30" s="18">
        <f>1000000000-999894658.3653</f>
        <v/>
      </c>
      <c r="BA30" s="20">
        <f>1000000000-AV30-AW30-AX30-AY30-AZ30</f>
        <v/>
      </c>
      <c r="BB30" s="21" t="n">
        <v>244.9</v>
      </c>
      <c r="BC30" s="21">
        <f>BA30/1000000-BB30</f>
        <v/>
      </c>
      <c r="BD30" s="22">
        <f>BA30*26.55</f>
        <v/>
      </c>
    </row>
    <row r="31">
      <c r="A31" s="10" t="n">
        <v>45653</v>
      </c>
      <c r="B31" s="11" t="n">
        <v>3889473140.943127</v>
      </c>
      <c r="C31" s="11" t="n"/>
      <c r="D31" s="11" t="n">
        <v>216391282</v>
      </c>
      <c r="E31" s="11" t="n"/>
      <c r="N31" s="11" t="n"/>
      <c r="O31" s="11" t="n">
        <v>28523</v>
      </c>
      <c r="P31" s="11" t="n"/>
      <c r="R31" s="12" t="n">
        <v>0.03</v>
      </c>
      <c r="V31" s="11" t="n"/>
      <c r="W31" s="11" t="n"/>
      <c r="Y31" s="11" t="n"/>
      <c r="AE31" s="11" t="n"/>
      <c r="AG31" s="13">
        <f>IF(OR(B31="",B31=0,M31=""),"",M31/B31*10000)</f>
        <v/>
      </c>
      <c r="AH31" s="13">
        <f>IF(OR(C31="",C31=0),"",N31/C31*10000)</f>
        <v/>
      </c>
      <c r="AI31" s="13">
        <f>IF(OR(D31="",D31=0),"",O31/D31*10000)</f>
        <v/>
      </c>
      <c r="AJ31" s="11" t="n"/>
      <c r="AK31" s="11" t="n"/>
      <c r="AN31" s="14" t="n"/>
      <c r="AO31" s="15" t="n"/>
      <c r="AP31" s="14" t="n">
        <v>11513536.58</v>
      </c>
      <c r="AQ31" s="14" t="n">
        <v>0</v>
      </c>
      <c r="AR31" s="14" t="n">
        <v>1476.4802</v>
      </c>
      <c r="AS31" s="14" t="n"/>
      <c r="AT31" s="16" t="n"/>
      <c r="AU31" s="17" t="n"/>
      <c r="AV31" s="14" t="n">
        <v>0</v>
      </c>
      <c r="AW31" s="18" t="n">
        <v>60100000</v>
      </c>
      <c r="AX31" s="19" t="n">
        <v>11513536.58</v>
      </c>
      <c r="AY31" s="18" t="n">
        <v>3100000</v>
      </c>
      <c r="AZ31" s="18">
        <f>1000000000-999893181.8852</f>
        <v/>
      </c>
      <c r="BA31" s="20">
        <f>1000000000-AV31-AW31-AX31-AY31-AZ31</f>
        <v/>
      </c>
      <c r="BB31" s="21" t="n">
        <v>244.9</v>
      </c>
      <c r="BC31" s="21">
        <f>BA31/1000000-BB31</f>
        <v/>
      </c>
      <c r="BD31" s="22">
        <f>BA31*27.22</f>
        <v/>
      </c>
    </row>
    <row r="32">
      <c r="A32" s="10" t="n">
        <v>45654</v>
      </c>
      <c r="B32" s="11" t="n">
        <v>2077191362.012582</v>
      </c>
      <c r="C32" s="11" t="n"/>
      <c r="D32" s="11" t="n">
        <v>212391739</v>
      </c>
      <c r="E32" s="11" t="n"/>
      <c r="N32" s="11" t="n"/>
      <c r="O32" s="11" t="n">
        <v>28430</v>
      </c>
      <c r="P32" s="11" t="n"/>
      <c r="R32" s="12" t="n">
        <v>0.03</v>
      </c>
      <c r="V32" s="11" t="n"/>
      <c r="W32" s="11" t="n"/>
      <c r="Y32" s="11" t="n"/>
      <c r="AE32" s="11" t="n"/>
      <c r="AG32" s="13">
        <f>IF(OR(B32="",B32=0,M32=""),"",M32/B32*10000)</f>
        <v/>
      </c>
      <c r="AH32" s="13">
        <f>IF(OR(C32="",C32=0),"",N32/C32*10000)</f>
        <v/>
      </c>
      <c r="AI32" s="13">
        <f>IF(OR(D32="",D32=0),"",O32/D32*10000)</f>
        <v/>
      </c>
      <c r="AJ32" s="11" t="n"/>
      <c r="AK32" s="11" t="n"/>
      <c r="AN32" s="14" t="n"/>
      <c r="AO32" s="15" t="n"/>
      <c r="AP32" s="14" t="n">
        <v>11560234.21</v>
      </c>
      <c r="AQ32" s="14" t="n">
        <v>0</v>
      </c>
      <c r="AR32" s="14" t="n">
        <v>1019.7076</v>
      </c>
      <c r="AS32" s="14" t="n"/>
      <c r="AT32" s="16" t="n">
        <v>301.0012182534487</v>
      </c>
      <c r="AU32" s="17" t="n"/>
      <c r="AV32" s="14" t="n">
        <v>0</v>
      </c>
      <c r="AW32" s="18" t="n">
        <v>60100000</v>
      </c>
      <c r="AX32" s="19" t="n">
        <v>11560234.21</v>
      </c>
      <c r="AY32" s="18" t="n">
        <v>3100000</v>
      </c>
      <c r="AZ32" s="18">
        <f>1000000000-999892162.1776</f>
        <v/>
      </c>
      <c r="BA32" s="20">
        <f>1000000000-AV32-AW32-AX32-AY32-AZ32</f>
        <v/>
      </c>
      <c r="BB32" s="21" t="n">
        <v>244.9</v>
      </c>
      <c r="BC32" s="21">
        <f>BA32/1000000-BB32</f>
        <v/>
      </c>
      <c r="BD32" s="22">
        <f>BA32*27.11</f>
        <v/>
      </c>
    </row>
    <row r="33">
      <c r="A33" s="10" t="n">
        <v>45655</v>
      </c>
      <c r="B33" s="11" t="n">
        <v>1965931599.671829</v>
      </c>
      <c r="C33" s="11" t="n"/>
      <c r="D33" s="11" t="n">
        <v>342862746</v>
      </c>
      <c r="E33" s="11" t="n"/>
      <c r="N33" s="11" t="n"/>
      <c r="O33" s="11" t="n">
        <v>31496</v>
      </c>
      <c r="P33" s="11" t="n"/>
      <c r="R33" s="12" t="n">
        <v>0.03</v>
      </c>
      <c r="V33" s="11" t="n"/>
      <c r="W33" s="11" t="n"/>
      <c r="Y33" s="11" t="n"/>
      <c r="AE33" s="11" t="n"/>
      <c r="AG33" s="13">
        <f>IF(OR(B33="",B33=0,M33=""),"",M33/B33*10000)</f>
        <v/>
      </c>
      <c r="AH33" s="13">
        <f>IF(OR(C33="",C33=0),"",N33/C33*10000)</f>
        <v/>
      </c>
      <c r="AI33" s="13">
        <f>IF(OR(D33="",D33=0),"",O33/D33*10000)</f>
        <v/>
      </c>
      <c r="AJ33" s="11" t="n"/>
      <c r="AK33" s="11" t="n"/>
      <c r="AN33" s="14" t="n"/>
      <c r="AO33" s="15" t="n"/>
      <c r="AP33" s="14" t="n">
        <v>11594186.75</v>
      </c>
      <c r="AQ33" s="14" t="n">
        <v>0</v>
      </c>
      <c r="AR33" s="14" t="n">
        <v>774.4857</v>
      </c>
      <c r="AS33" s="14" t="n"/>
      <c r="AT33" s="16" t="n">
        <v>301.0243938010069</v>
      </c>
      <c r="AU33" s="17" t="n"/>
      <c r="AV33" s="14" t="n">
        <v>428050035.7424</v>
      </c>
      <c r="AW33" s="18" t="n">
        <v>60100000</v>
      </c>
      <c r="AX33" s="19" t="n">
        <v>11594186.75</v>
      </c>
      <c r="AY33" s="18" t="n">
        <v>3100000</v>
      </c>
      <c r="AZ33" s="18">
        <f>1000000000-999891387.692</f>
        <v/>
      </c>
      <c r="BA33" s="20">
        <f>1000000000-AV33-AW33-AX33-AY33-AZ33</f>
        <v/>
      </c>
      <c r="BB33" s="21" t="n">
        <v>244.9</v>
      </c>
      <c r="BC33" s="21">
        <f>BA33/1000000-BB33</f>
        <v/>
      </c>
      <c r="BD33" s="22">
        <f>BA33*29.26</f>
        <v/>
      </c>
    </row>
    <row r="34">
      <c r="A34" s="10" t="n">
        <v>45656</v>
      </c>
      <c r="B34" s="11" t="n">
        <v>4697171101.977116</v>
      </c>
      <c r="C34" s="11" t="n"/>
      <c r="D34" s="11" t="n">
        <v>267028183</v>
      </c>
      <c r="E34" s="11" t="n"/>
      <c r="N34" s="11" t="n"/>
      <c r="O34" s="11" t="n">
        <v>49113</v>
      </c>
      <c r="P34" s="11" t="n"/>
      <c r="R34" s="12" t="n">
        <v>0.03</v>
      </c>
      <c r="V34" s="11" t="n"/>
      <c r="W34" s="11" t="n"/>
      <c r="Y34" s="11" t="n"/>
      <c r="AE34" s="11" t="n"/>
      <c r="AG34" s="13">
        <f>IF(OR(B34="",B34=0,M34=""),"",M34/B34*10000)</f>
        <v/>
      </c>
      <c r="AH34" s="13">
        <f>IF(OR(C34="",C34=0),"",N34/C34*10000)</f>
        <v/>
      </c>
      <c r="AI34" s="13">
        <f>IF(OR(D34="",D34=0),"",O34/D34*10000)</f>
        <v/>
      </c>
      <c r="AJ34" s="11" t="n"/>
      <c r="AK34" s="11" t="n"/>
      <c r="AN34" s="14" t="n"/>
      <c r="AO34" s="15" t="n"/>
      <c r="AP34" s="14" t="n">
        <v>11626218.73</v>
      </c>
      <c r="AQ34" s="14" t="n">
        <v>22225.3623</v>
      </c>
      <c r="AR34" s="14" t="n">
        <v>611.8805</v>
      </c>
      <c r="AS34" s="14" t="n"/>
      <c r="AT34" s="16" t="n">
        <v>301.1072786232656</v>
      </c>
      <c r="AU34" s="17" t="n">
        <v>0.02518994</v>
      </c>
      <c r="AV34" s="14" t="n">
        <v>428027810.3801</v>
      </c>
      <c r="AW34" s="18" t="n">
        <v>60100000</v>
      </c>
      <c r="AX34" s="19" t="n">
        <v>11626218.73</v>
      </c>
      <c r="AY34" s="18" t="n">
        <v>3100000</v>
      </c>
      <c r="AZ34" s="18">
        <f>1000000000-999890775.8115</f>
        <v/>
      </c>
      <c r="BA34" s="20">
        <f>1000000000-AV34-AW34-AX34-AY34-AZ34</f>
        <v/>
      </c>
      <c r="BB34" s="21" t="n">
        <v>244.9</v>
      </c>
      <c r="BC34" s="21">
        <f>BA34/1000000-BB34</f>
        <v/>
      </c>
      <c r="BD34" s="22">
        <f>BA34*27.44</f>
        <v/>
      </c>
    </row>
    <row r="35">
      <c r="A35" s="10" t="n">
        <v>45657</v>
      </c>
      <c r="B35" s="11" t="n">
        <v>3450514508.281977</v>
      </c>
      <c r="C35" s="11" t="n"/>
      <c r="D35" s="11" t="n">
        <v>225503235</v>
      </c>
      <c r="E35" s="11" t="n"/>
      <c r="N35" s="11" t="n"/>
      <c r="O35" s="11" t="n">
        <v>42962</v>
      </c>
      <c r="P35" s="11" t="n"/>
      <c r="R35" s="12" t="n">
        <v>0.03</v>
      </c>
      <c r="V35" s="11" t="n"/>
      <c r="W35" s="11" t="n"/>
      <c r="Y35" s="11" t="n"/>
      <c r="AE35" s="11" t="n"/>
      <c r="AG35" s="13">
        <f>IF(OR(B35="",B35=0,M35=""),"",M35/B35*10000)</f>
        <v/>
      </c>
      <c r="AH35" s="13">
        <f>IF(OR(C35="",C35=0),"",N35/C35*10000)</f>
        <v/>
      </c>
      <c r="AI35" s="13">
        <f>IF(OR(D35="",D35=0),"",O35/D35*10000)</f>
        <v/>
      </c>
      <c r="AJ35" s="11" t="n"/>
      <c r="AK35" s="11" t="n"/>
      <c r="AN35" s="14" t="n"/>
      <c r="AO35" s="15" t="n"/>
      <c r="AP35" s="14" t="n">
        <v>11670797.46</v>
      </c>
      <c r="AQ35" s="14" t="n">
        <v>23028.5883</v>
      </c>
      <c r="AR35" s="14" t="n">
        <v>870.4787</v>
      </c>
      <c r="AS35" s="14" t="n"/>
      <c r="AT35" s="16" t="n">
        <v>352.7985608376088</v>
      </c>
      <c r="AU35" s="17" t="n">
        <v>0.02334773</v>
      </c>
      <c r="AV35" s="14" t="n">
        <v>428004781.7919</v>
      </c>
      <c r="AW35" s="18" t="n">
        <v>60100000</v>
      </c>
      <c r="AX35" s="19" t="n">
        <v>11670797.46</v>
      </c>
      <c r="AY35" s="18" t="n">
        <v>3100000</v>
      </c>
      <c r="AZ35" s="18">
        <f>1000000000-999889905.3328</f>
        <v/>
      </c>
      <c r="BA35" s="20">
        <f>1000000000-AV35-AW35-AX35-AY35-AZ35</f>
        <v/>
      </c>
      <c r="BB35" s="21" t="n">
        <v>244.9</v>
      </c>
      <c r="BC35" s="21">
        <f>BA35/1000000-BB35</f>
        <v/>
      </c>
      <c r="BD35" s="22">
        <f>BA35*26.95</f>
        <v/>
      </c>
    </row>
    <row r="36">
      <c r="A36" s="10" t="n">
        <v>45658</v>
      </c>
      <c r="B36" s="11" t="n">
        <v>2157256818.437762</v>
      </c>
      <c r="C36" s="11" t="n"/>
      <c r="D36" s="11" t="n">
        <v>256438336</v>
      </c>
      <c r="E36" s="11" t="n"/>
      <c r="N36" s="11" t="n"/>
      <c r="O36" s="11" t="n">
        <v>30141</v>
      </c>
      <c r="P36" s="11" t="n"/>
      <c r="R36" s="12" t="n">
        <v>0.03</v>
      </c>
      <c r="V36" s="11" t="n"/>
      <c r="W36" s="11" t="n"/>
      <c r="Y36" s="11" t="n"/>
      <c r="AE36" s="11" t="n"/>
      <c r="AG36" s="13">
        <f>IF(OR(B36="",B36=0,M36=""),"",M36/B36*10000)</f>
        <v/>
      </c>
      <c r="AH36" s="13">
        <f>IF(OR(C36="",C36=0),"",N36/C36*10000)</f>
        <v/>
      </c>
      <c r="AI36" s="13">
        <f>IF(OR(D36="",D36=0),"",O36/D36*10000)</f>
        <v/>
      </c>
      <c r="AJ36" s="11" t="n"/>
      <c r="AK36" s="11" t="n"/>
      <c r="AN36" s="14" t="n"/>
      <c r="AO36" s="15" t="n"/>
      <c r="AP36" s="14" t="n">
        <v>11719550.93</v>
      </c>
      <c r="AQ36" s="14" t="n">
        <v>24499.3537</v>
      </c>
      <c r="AR36" s="14" t="n">
        <v>941.1022</v>
      </c>
      <c r="AS36" s="14" t="n"/>
      <c r="AT36" s="16" t="n">
        <v>372.9855327802365</v>
      </c>
      <c r="AU36" s="17" t="n">
        <v>0.02271528</v>
      </c>
      <c r="AV36" s="14" t="n">
        <v>427980282.4381</v>
      </c>
      <c r="AW36" s="18" t="n">
        <v>60100000</v>
      </c>
      <c r="AX36" s="19" t="n">
        <v>11719550.93</v>
      </c>
      <c r="AY36" s="18" t="n">
        <v>3100000</v>
      </c>
      <c r="AZ36" s="18">
        <f>1000000000-999888964.2307</f>
        <v/>
      </c>
      <c r="BA36" s="20">
        <f>1000000000-AV36-AW36-AX36-AY36-AZ36</f>
        <v/>
      </c>
      <c r="BB36" s="21" t="n">
        <v>244.9</v>
      </c>
      <c r="BC36" s="21">
        <f>BA36/1000000-BB36</f>
        <v/>
      </c>
      <c r="BD36" s="22">
        <f>BA36*24</f>
        <v/>
      </c>
    </row>
    <row r="37">
      <c r="A37" s="10" t="n">
        <v>45659</v>
      </c>
      <c r="B37" s="11" t="n">
        <v>3645816158.632274</v>
      </c>
      <c r="C37" s="11" t="n"/>
      <c r="D37" s="11" t="n">
        <v>267239456</v>
      </c>
      <c r="E37" s="11" t="n"/>
      <c r="N37" s="11" t="n"/>
      <c r="O37" s="11" t="n">
        <v>41666</v>
      </c>
      <c r="P37" s="11" t="n"/>
      <c r="R37" s="12" t="n">
        <v>0.03</v>
      </c>
      <c r="V37" s="11" t="n"/>
      <c r="W37" s="11" t="n"/>
      <c r="Y37" s="11" t="n"/>
      <c r="AE37" s="11" t="n"/>
      <c r="AG37" s="13">
        <f>IF(OR(B37="",B37=0,M37=""),"",M37/B37*10000)</f>
        <v/>
      </c>
      <c r="AH37" s="13">
        <f>IF(OR(C37="",C37=0),"",N37/C37*10000)</f>
        <v/>
      </c>
      <c r="AI37" s="13">
        <f>IF(OR(D37="",D37=0),"",O37/D37*10000)</f>
        <v/>
      </c>
      <c r="AJ37" s="11" t="n"/>
      <c r="AK37" s="11" t="n"/>
      <c r="AN37" s="14" t="n"/>
      <c r="AO37" s="15" t="n"/>
      <c r="AP37" s="14" t="n">
        <v>11756780.96</v>
      </c>
      <c r="AQ37" s="14" t="n">
        <v>24851.902</v>
      </c>
      <c r="AR37" s="14" t="n">
        <v>920.9016</v>
      </c>
      <c r="AS37" s="14" t="n"/>
      <c r="AT37" s="16" t="n">
        <v>380.752784809323</v>
      </c>
      <c r="AU37" s="17" t="n">
        <v>0.02249743</v>
      </c>
      <c r="AV37" s="14" t="n">
        <v>427955430.5361</v>
      </c>
      <c r="AW37" s="18" t="n">
        <v>60100000</v>
      </c>
      <c r="AX37" s="19" t="n">
        <v>11756780.96</v>
      </c>
      <c r="AY37" s="18" t="n">
        <v>3100000</v>
      </c>
      <c r="AZ37" s="18">
        <f>1000000000-999888043.3291</f>
        <v/>
      </c>
      <c r="BA37" s="20">
        <f>1000000000-AV37-AW37-AX37-AY37-AZ37</f>
        <v/>
      </c>
      <c r="BB37" s="21" t="n">
        <v>244.9</v>
      </c>
      <c r="BC37" s="21">
        <f>BA37/1000000-BB37</f>
        <v/>
      </c>
      <c r="BD37" s="22">
        <f>BA37*26.31</f>
        <v/>
      </c>
    </row>
    <row r="38">
      <c r="A38" s="10" t="n">
        <v>45660</v>
      </c>
      <c r="B38" s="11" t="n">
        <v>3573160271.399251</v>
      </c>
      <c r="C38" s="11" t="n"/>
      <c r="D38" s="11" t="n">
        <v>176550030</v>
      </c>
      <c r="E38" s="11" t="n"/>
      <c r="N38" s="11" t="n"/>
      <c r="O38" s="11" t="n">
        <v>37005</v>
      </c>
      <c r="P38" s="11" t="n"/>
      <c r="R38" s="12" t="n">
        <v>0.03</v>
      </c>
      <c r="V38" s="11" t="n"/>
      <c r="W38" s="11" t="n"/>
      <c r="Y38" s="11" t="n"/>
      <c r="AE38" s="11" t="n"/>
      <c r="AG38" s="13">
        <f>IF(OR(B38="",B38=0,M38=""),"",M38/B38*10000)</f>
        <v/>
      </c>
      <c r="AH38" s="13">
        <f>IF(OR(C38="",C38=0),"",N38/C38*10000)</f>
        <v/>
      </c>
      <c r="AI38" s="13">
        <f>IF(OR(D38="",D38=0),"",O38/D38*10000)</f>
        <v/>
      </c>
      <c r="AJ38" s="11" t="n"/>
      <c r="AK38" s="11" t="n"/>
      <c r="AN38" s="14" t="n"/>
      <c r="AO38" s="15" t="n"/>
      <c r="AP38" s="14" t="n">
        <v>11812512.97</v>
      </c>
      <c r="AQ38" s="14" t="n">
        <v>25219.868</v>
      </c>
      <c r="AR38" s="14" t="n">
        <v>905.5316</v>
      </c>
      <c r="AS38" s="14" t="n"/>
      <c r="AT38" s="16" t="n">
        <v>390.3893636559309</v>
      </c>
      <c r="AU38" s="17" t="n">
        <v>0.02223263</v>
      </c>
      <c r="AV38" s="14" t="n">
        <v>427930210.6681</v>
      </c>
      <c r="AW38" s="18" t="n">
        <v>60100000</v>
      </c>
      <c r="AX38" s="19" t="n">
        <v>11812512.97</v>
      </c>
      <c r="AY38" s="18" t="n">
        <v>3100000</v>
      </c>
      <c r="AZ38" s="18">
        <f>1000000000-999887137.7975</f>
        <v/>
      </c>
      <c r="BA38" s="20">
        <f>1000000000-AV38-AW38-AX38-AY38-AZ38</f>
        <v/>
      </c>
      <c r="BB38" s="21" t="n">
        <v>244.9</v>
      </c>
      <c r="BC38" s="21">
        <f>BA38/1000000-BB38</f>
        <v/>
      </c>
      <c r="BD38" s="22">
        <f>BA38*23.15</f>
        <v/>
      </c>
    </row>
    <row r="39">
      <c r="A39" s="10" t="n">
        <v>45661</v>
      </c>
      <c r="B39" s="11" t="n">
        <v>2506267603.423615</v>
      </c>
      <c r="C39" s="11" t="n"/>
      <c r="D39" s="11" t="n">
        <v>119410641</v>
      </c>
      <c r="E39" s="11" t="n"/>
      <c r="N39" s="11" t="n"/>
      <c r="O39" s="11" t="n">
        <v>25377</v>
      </c>
      <c r="P39" s="11" t="n"/>
      <c r="R39" s="12" t="n">
        <v>0.03</v>
      </c>
      <c r="V39" s="11" t="n"/>
      <c r="W39" s="11" t="n"/>
      <c r="Y39" s="11" t="n"/>
      <c r="AE39" s="11" t="n"/>
      <c r="AG39" s="13">
        <f>IF(OR(B39="",B39=0,M39=""),"",M39/B39*10000)</f>
        <v/>
      </c>
      <c r="AH39" s="13">
        <f>IF(OR(C39="",C39=0),"",N39/C39*10000)</f>
        <v/>
      </c>
      <c r="AI39" s="13">
        <f>IF(OR(D39="",D39=0),"",O39/D39*10000)</f>
        <v/>
      </c>
      <c r="AJ39" s="11" t="n"/>
      <c r="AK39" s="11" t="n"/>
      <c r="AN39" s="14" t="n"/>
      <c r="AO39" s="15" t="n"/>
      <c r="AP39" s="14" t="n">
        <v>11846794.38</v>
      </c>
      <c r="AQ39" s="14" t="n">
        <v>25452.7777</v>
      </c>
      <c r="AR39" s="14" t="n">
        <v>1232.8801</v>
      </c>
      <c r="AS39" s="14" t="n"/>
      <c r="AT39" s="16" t="n">
        <v>395.4041557137575</v>
      </c>
      <c r="AU39" s="17" t="n">
        <v>0.02224488</v>
      </c>
      <c r="AV39" s="14" t="n">
        <v>427904757.8904</v>
      </c>
      <c r="AW39" s="18" t="n">
        <v>60100000</v>
      </c>
      <c r="AX39" s="19" t="n">
        <v>11846794.38</v>
      </c>
      <c r="AY39" s="18" t="n">
        <v>3100000</v>
      </c>
      <c r="AZ39" s="18">
        <f>1000000000-999885904.9174</f>
        <v/>
      </c>
      <c r="BA39" s="20">
        <f>1000000000-AV39-AW39-AX39-AY39-AZ39</f>
        <v/>
      </c>
      <c r="BB39" s="21" t="n">
        <v>244.9</v>
      </c>
      <c r="BC39" s="21">
        <f>BA39/1000000-BB39</f>
        <v/>
      </c>
      <c r="BD39" s="22">
        <f>BA39*24.43</f>
        <v/>
      </c>
    </row>
    <row r="40">
      <c r="A40" s="10" t="n">
        <v>45662</v>
      </c>
      <c r="B40" s="11" t="n">
        <v>2149149006.151282</v>
      </c>
      <c r="C40" s="11" t="n"/>
      <c r="D40" s="11" t="n">
        <v>174388254</v>
      </c>
      <c r="E40" s="11" t="n"/>
      <c r="N40" s="11" t="n"/>
      <c r="O40" s="11" t="n">
        <v>19262</v>
      </c>
      <c r="P40" s="11" t="n"/>
      <c r="R40" s="12" t="n">
        <v>0.03</v>
      </c>
      <c r="V40" s="11" t="n"/>
      <c r="W40" s="11" t="n"/>
      <c r="Y40" s="11" t="n"/>
      <c r="AE40" s="11" t="n"/>
      <c r="AG40" s="13">
        <f>IF(OR(B40="",B40=0,M40=""),"",M40/B40*10000)</f>
        <v/>
      </c>
      <c r="AH40" s="13">
        <f>IF(OR(C40="",C40=0),"",N40/C40*10000)</f>
        <v/>
      </c>
      <c r="AI40" s="13">
        <f>IF(OR(D40="",D40=0),"",O40/D40*10000)</f>
        <v/>
      </c>
      <c r="AJ40" s="11" t="n"/>
      <c r="AK40" s="11" t="n"/>
      <c r="AN40" s="14" t="n"/>
      <c r="AO40" s="15" t="n"/>
      <c r="AP40" s="14" t="n">
        <v>11889347.85</v>
      </c>
      <c r="AQ40" s="14" t="n">
        <v>25665.1115</v>
      </c>
      <c r="AR40" s="14" t="n">
        <v>617.3145</v>
      </c>
      <c r="AS40" s="14" t="n"/>
      <c r="AT40" s="16" t="n">
        <v>401.892512385937</v>
      </c>
      <c r="AU40" s="17" t="n">
        <v>0.02206674</v>
      </c>
      <c r="AV40" s="14" t="n">
        <v>427879092.7789</v>
      </c>
      <c r="AW40" s="18" t="n">
        <v>60100000</v>
      </c>
      <c r="AX40" s="19" t="n">
        <v>11889347.85</v>
      </c>
      <c r="AY40" s="18" t="n">
        <v>3100000</v>
      </c>
      <c r="AZ40" s="18">
        <f>1000000000-999885287.603</f>
        <v/>
      </c>
      <c r="BA40" s="20">
        <f>1000000000-AV40-AW40-AX40-AY40-AZ40</f>
        <v/>
      </c>
      <c r="BB40" s="21" t="n">
        <v>244.9</v>
      </c>
      <c r="BC40" s="21">
        <f>BA40/1000000-BB40</f>
        <v/>
      </c>
      <c r="BD40" s="22">
        <f>BA40*25.02</f>
        <v/>
      </c>
    </row>
    <row r="41">
      <c r="A41" s="10" t="n">
        <v>45663</v>
      </c>
      <c r="B41" s="11" t="n">
        <v>4404918704.09836</v>
      </c>
      <c r="C41" s="11" t="n"/>
      <c r="D41" s="11" t="n">
        <v>194364069</v>
      </c>
      <c r="E41" s="11" t="n"/>
      <c r="N41" s="11" t="n"/>
      <c r="O41" s="11" t="n">
        <v>23453</v>
      </c>
      <c r="P41" s="11" t="n"/>
      <c r="R41" s="12" t="n">
        <v>0.03</v>
      </c>
      <c r="V41" s="11" t="n"/>
      <c r="W41" s="11" t="n"/>
      <c r="Y41" s="11" t="n"/>
      <c r="AE41" s="11" t="n"/>
      <c r="AG41" s="13">
        <f>IF(OR(B41="",B41=0,M41=""),"",M41/B41*10000)</f>
        <v/>
      </c>
      <c r="AH41" s="13">
        <f>IF(OR(C41="",C41=0),"",N41/C41*10000)</f>
        <v/>
      </c>
      <c r="AI41" s="13">
        <f>IF(OR(D41="",D41=0),"",O41/D41*10000)</f>
        <v/>
      </c>
      <c r="AJ41" s="11" t="n"/>
      <c r="AK41" s="11" t="n"/>
      <c r="AN41" s="14" t="n"/>
      <c r="AO41" s="15" t="n"/>
      <c r="AP41" s="14" t="n">
        <v>11933135.19</v>
      </c>
      <c r="AQ41" s="14" t="n">
        <v>25789.8854</v>
      </c>
      <c r="AR41" s="14" t="n">
        <v>447.5855</v>
      </c>
      <c r="AS41" s="14" t="n"/>
      <c r="AT41" s="16" t="n">
        <v>404.4952507568109</v>
      </c>
      <c r="AU41" s="17" t="n">
        <v>0.02199648</v>
      </c>
      <c r="AV41" s="14" t="n">
        <v>427853302.8935</v>
      </c>
      <c r="AW41" s="18" t="n">
        <v>60100000</v>
      </c>
      <c r="AX41" s="19" t="n">
        <v>11933135.19</v>
      </c>
      <c r="AY41" s="18" t="n">
        <v>3100000</v>
      </c>
      <c r="AZ41" s="18">
        <f>1000000000-999884840.0175</f>
        <v/>
      </c>
      <c r="BA41" s="20">
        <f>1000000000-AV41-AW41-AX41-AY41-AZ41</f>
        <v/>
      </c>
      <c r="BB41" s="21" t="n">
        <v>244.9</v>
      </c>
      <c r="BC41" s="21">
        <f>BA41/1000000-BB41</f>
        <v/>
      </c>
      <c r="BD41" s="22">
        <f>BA41*24.4</f>
        <v/>
      </c>
    </row>
    <row r="42">
      <c r="A42" s="10" t="n">
        <v>45664</v>
      </c>
      <c r="B42" s="11" t="n">
        <v>7004545546.809596</v>
      </c>
      <c r="C42" s="11" t="n"/>
      <c r="D42" s="11" t="n">
        <v>298520602</v>
      </c>
      <c r="E42" s="11" t="n"/>
      <c r="N42" s="11" t="n"/>
      <c r="O42" s="11" t="n">
        <v>30214</v>
      </c>
      <c r="P42" s="11" t="n"/>
      <c r="R42" s="12" t="n">
        <v>0.03</v>
      </c>
      <c r="V42" s="11" t="n"/>
      <c r="W42" s="11" t="n"/>
      <c r="Y42" s="11" t="n"/>
      <c r="AE42" s="11" t="n"/>
      <c r="AG42" s="13">
        <f>IF(OR(B42="",B42=0,M42=""),"",M42/B42*10000)</f>
        <v/>
      </c>
      <c r="AH42" s="13">
        <f>IF(OR(C42="",C42=0),"",N42/C42*10000)</f>
        <v/>
      </c>
      <c r="AI42" s="13">
        <f>IF(OR(D42="",D42=0),"",O42/D42*10000)</f>
        <v/>
      </c>
      <c r="AJ42" s="11" t="n"/>
      <c r="AK42" s="11" t="n"/>
      <c r="AN42" s="14" t="n"/>
      <c r="AO42" s="15" t="n"/>
      <c r="AP42" s="14" t="n">
        <v>11991786.89</v>
      </c>
      <c r="AQ42" s="14" t="n">
        <v>25854.6111</v>
      </c>
      <c r="AR42" s="14" t="n">
        <v>718.7295</v>
      </c>
      <c r="AS42" s="14" t="n"/>
      <c r="AT42" s="16" t="n">
        <v>407.4001487176104</v>
      </c>
      <c r="AU42" s="17" t="n">
        <v>0.02191885</v>
      </c>
      <c r="AV42" s="14" t="n">
        <v>427827448.2823</v>
      </c>
      <c r="AW42" s="18" t="n">
        <v>60100000</v>
      </c>
      <c r="AX42" s="19" t="n">
        <v>11991786.89</v>
      </c>
      <c r="AY42" s="18" t="n">
        <v>3100000</v>
      </c>
      <c r="AZ42" s="18">
        <f>1000000000-999884121.288</f>
        <v/>
      </c>
      <c r="BA42" s="20">
        <f>1000000000-AV42-AW42-AX42-AY42-AZ42</f>
        <v/>
      </c>
      <c r="BB42" s="21" t="n">
        <v>244.9</v>
      </c>
      <c r="BC42" s="21">
        <f>BA42/1000000-BB42</f>
        <v/>
      </c>
      <c r="BD42" s="22">
        <f>BA42*25.23</f>
        <v/>
      </c>
    </row>
    <row r="43">
      <c r="A43" s="10" t="n">
        <v>45665</v>
      </c>
      <c r="B43" s="11" t="n">
        <v>6019784666.991272</v>
      </c>
      <c r="C43" s="11" t="n"/>
      <c r="D43" s="11" t="n">
        <v>325463853</v>
      </c>
      <c r="E43" s="11" t="n"/>
      <c r="N43" s="11" t="n"/>
      <c r="O43" s="11" t="n">
        <v>45273</v>
      </c>
      <c r="P43" s="11" t="n"/>
      <c r="R43" s="12" t="n">
        <v>0.03</v>
      </c>
      <c r="V43" s="11" t="n"/>
      <c r="W43" s="11" t="n"/>
      <c r="Y43" s="11" t="n"/>
      <c r="AE43" s="11" t="n"/>
      <c r="AG43" s="13">
        <f>IF(OR(B43="",B43=0,M43=""),"",M43/B43*10000)</f>
        <v/>
      </c>
      <c r="AH43" s="13">
        <f>IF(OR(C43="",C43=0),"",N43/C43*10000)</f>
        <v/>
      </c>
      <c r="AI43" s="13">
        <f>IF(OR(D43="",D43=0),"",O43/D43*10000)</f>
        <v/>
      </c>
      <c r="AJ43" s="11" t="n"/>
      <c r="AK43" s="11" t="n"/>
      <c r="AN43" s="14" t="n"/>
      <c r="AO43" s="15" t="n"/>
      <c r="AP43" s="14" t="n">
        <v>12076330.36</v>
      </c>
      <c r="AQ43" s="14" t="n">
        <v>25924.4198</v>
      </c>
      <c r="AR43" s="14" t="n">
        <v>744.9065000000001</v>
      </c>
      <c r="AS43" s="14" t="n"/>
      <c r="AT43" s="16" t="n">
        <v>409.0659266344634</v>
      </c>
      <c r="AU43" s="17" t="n">
        <v>0.02187471</v>
      </c>
      <c r="AV43" s="14" t="n">
        <v>427801523.8626</v>
      </c>
      <c r="AW43" s="18" t="n">
        <v>60100000</v>
      </c>
      <c r="AX43" s="19" t="n">
        <v>12076330.36</v>
      </c>
      <c r="AY43" s="18" t="n">
        <v>3100000</v>
      </c>
      <c r="AZ43" s="18">
        <f>1000000000-999883376.3815</f>
        <v/>
      </c>
      <c r="BA43" s="20">
        <f>1000000000-AV43-AW43-AX43-AY43-AZ43</f>
        <v/>
      </c>
      <c r="BB43" s="21" t="n">
        <v>244.9</v>
      </c>
      <c r="BC43" s="21">
        <f>BA43/1000000-BB43</f>
        <v/>
      </c>
      <c r="BD43" s="22">
        <f>BA43*23.5</f>
        <v/>
      </c>
    </row>
    <row r="44">
      <c r="A44" s="10" t="n">
        <v>45666</v>
      </c>
      <c r="B44" s="11" t="n">
        <v>7123327274.12612</v>
      </c>
      <c r="C44" s="11" t="n"/>
      <c r="D44" s="11" t="n">
        <v>194078337</v>
      </c>
      <c r="E44" s="11" t="n"/>
      <c r="N44" s="11" t="n"/>
      <c r="O44" s="11" t="n">
        <v>47391</v>
      </c>
      <c r="P44" s="11" t="n"/>
      <c r="R44" s="12" t="n">
        <v>0.03</v>
      </c>
      <c r="V44" s="11" t="n"/>
      <c r="W44" s="11" t="n"/>
      <c r="Y44" s="11" t="n"/>
      <c r="AE44" s="11" t="n"/>
      <c r="AG44" s="13">
        <f>IF(OR(B44="",B44=0,M44=""),"",M44/B44*10000)</f>
        <v/>
      </c>
      <c r="AH44" s="13">
        <f>IF(OR(C44="",C44=0),"",N44/C44*10000)</f>
        <v/>
      </c>
      <c r="AI44" s="13">
        <f>IF(OR(D44="",D44=0),"",O44/D44*10000)</f>
        <v/>
      </c>
      <c r="AJ44" s="11" t="n"/>
      <c r="AK44" s="11" t="n"/>
      <c r="AN44" s="14" t="n"/>
      <c r="AO44" s="15" t="n"/>
      <c r="AP44" s="14" t="n">
        <v>12156974.88</v>
      </c>
      <c r="AQ44" s="14" t="n">
        <v>25984.3451</v>
      </c>
      <c r="AR44" s="14" t="n">
        <v>1579.5356</v>
      </c>
      <c r="AS44" s="14" t="n"/>
      <c r="AT44" s="16" t="n">
        <v>410.2462988477998</v>
      </c>
      <c r="AU44" s="17" t="n">
        <v>0.02184359</v>
      </c>
      <c r="AV44" s="14" t="n">
        <v>427775539.5175</v>
      </c>
      <c r="AW44" s="18" t="n">
        <v>60100000</v>
      </c>
      <c r="AX44" s="19" t="n">
        <v>12156974.88</v>
      </c>
      <c r="AY44" s="18" t="n">
        <v>3100000</v>
      </c>
      <c r="AZ44" s="18">
        <f>1000000000-999881796.8459</f>
        <v/>
      </c>
      <c r="BA44" s="20">
        <f>1000000000-AV44-AW44-AX44-AY44-AZ44</f>
        <v/>
      </c>
      <c r="BB44" s="21" t="n">
        <v>244.9</v>
      </c>
      <c r="BC44" s="21">
        <f>BA44/1000000-BB44</f>
        <v/>
      </c>
      <c r="BD44" s="22">
        <f>BA44*22.51</f>
        <v/>
      </c>
    </row>
    <row r="45">
      <c r="A45" s="10" t="n">
        <v>45667</v>
      </c>
      <c r="B45" s="11" t="n">
        <v>5110006119.872235</v>
      </c>
      <c r="C45" s="11" t="n"/>
      <c r="D45" s="11" t="n">
        <v>104484914</v>
      </c>
      <c r="E45" s="11" t="n"/>
      <c r="N45" s="11" t="n"/>
      <c r="O45" s="11" t="n">
        <v>27771</v>
      </c>
      <c r="P45" s="11" t="n"/>
      <c r="R45" s="12" t="n">
        <v>0.03</v>
      </c>
      <c r="V45" s="11" t="n"/>
      <c r="W45" s="11" t="n"/>
      <c r="Y45" s="11" t="n"/>
      <c r="AE45" s="11" t="n"/>
      <c r="AG45" s="13">
        <f>IF(OR(B45="",B45=0,M45=""),"",M45/B45*10000)</f>
        <v/>
      </c>
      <c r="AH45" s="13">
        <f>IF(OR(C45="",C45=0),"",N45/C45*10000)</f>
        <v/>
      </c>
      <c r="AI45" s="13">
        <f>IF(OR(D45="",D45=0),"",O45/D45*10000)</f>
        <v/>
      </c>
      <c r="AJ45" s="11" t="n"/>
      <c r="AK45" s="11" t="n"/>
      <c r="AN45" s="14" t="n"/>
      <c r="AO45" s="15" t="n"/>
      <c r="AP45" s="14" t="n">
        <v>12241033.24</v>
      </c>
      <c r="AQ45" s="14" t="n">
        <v>26008.9029</v>
      </c>
      <c r="AR45" s="14" t="n">
        <v>1664.9046</v>
      </c>
      <c r="AS45" s="14" t="n"/>
      <c r="AT45" s="16" t="n">
        <v>410.5551738649137</v>
      </c>
      <c r="AU45" s="17" t="n">
        <v>0.0218538</v>
      </c>
      <c r="AV45" s="14" t="n">
        <v>427749530.6146</v>
      </c>
      <c r="AW45" s="18" t="n">
        <v>60100000</v>
      </c>
      <c r="AX45" s="19" t="n">
        <v>12241033.24</v>
      </c>
      <c r="AY45" s="18" t="n">
        <v>3100000</v>
      </c>
      <c r="AZ45" s="18">
        <f>1000000000-999880131.9413</f>
        <v/>
      </c>
      <c r="BA45" s="20">
        <f>1000000000-AV45-AW45-AX45-AY45-AZ45</f>
        <v/>
      </c>
      <c r="BB45" s="21" t="n">
        <v>244.9</v>
      </c>
      <c r="BC45" s="21">
        <f>BA45/1000000-BB45</f>
        <v/>
      </c>
      <c r="BD45" s="22">
        <f>BA45*20.28</f>
        <v/>
      </c>
    </row>
    <row r="46">
      <c r="A46" s="10" t="n">
        <v>45668</v>
      </c>
      <c r="B46" s="11" t="n">
        <v>1975220110.645682</v>
      </c>
      <c r="C46" s="11" t="n"/>
      <c r="D46" s="11" t="n">
        <v>104729289</v>
      </c>
      <c r="E46" s="11" t="n"/>
      <c r="N46" s="11" t="n"/>
      <c r="O46" s="11" t="n">
        <v>14961</v>
      </c>
      <c r="P46" s="11" t="n"/>
      <c r="R46" s="12" t="n">
        <v>0.03</v>
      </c>
      <c r="V46" s="11" t="n"/>
      <c r="W46" s="11" t="n"/>
      <c r="Y46" s="11" t="n"/>
      <c r="AE46" s="11" t="n"/>
      <c r="AG46" s="13">
        <f>IF(OR(B46="",B46=0,M46=""),"",M46/B46*10000)</f>
        <v/>
      </c>
      <c r="AH46" s="13">
        <f>IF(OR(C46="",C46=0),"",N46/C46*10000)</f>
        <v/>
      </c>
      <c r="AI46" s="13">
        <f>IF(OR(D46="",D46=0),"",O46/D46*10000)</f>
        <v/>
      </c>
      <c r="AJ46" s="11" t="n"/>
      <c r="AK46" s="11" t="n"/>
      <c r="AN46" s="14" t="n"/>
      <c r="AO46" s="15" t="n"/>
      <c r="AP46" s="14" t="n">
        <v>12305408.94</v>
      </c>
      <c r="AQ46" s="14" t="n">
        <v>26032.7188</v>
      </c>
      <c r="AR46" s="14" t="n">
        <v>984.8383</v>
      </c>
      <c r="AS46" s="14" t="n"/>
      <c r="AT46" s="16" t="n">
        <v>411.8932673291108</v>
      </c>
      <c r="AU46" s="17" t="n">
        <v>0.0218187</v>
      </c>
      <c r="AV46" s="14" t="n">
        <v>427723497.8958</v>
      </c>
      <c r="AW46" s="18" t="n">
        <v>60100000</v>
      </c>
      <c r="AX46" s="19" t="n">
        <v>12305408.94</v>
      </c>
      <c r="AY46" s="18" t="n">
        <v>3100000</v>
      </c>
      <c r="AZ46" s="18">
        <f>1000000000-999879147.103</f>
        <v/>
      </c>
      <c r="BA46" s="20">
        <f>1000000000-AV46-AW46-AX46-AY46-AZ46</f>
        <v/>
      </c>
      <c r="BB46" s="21" t="n">
        <v>244.9</v>
      </c>
      <c r="BC46" s="21">
        <f>BA46/1000000-BB46</f>
        <v/>
      </c>
      <c r="BD46" s="22">
        <f>BA46*20.65</f>
        <v/>
      </c>
    </row>
    <row r="47">
      <c r="A47" s="10" t="n">
        <v>45669</v>
      </c>
      <c r="B47" s="11" t="n">
        <v>1868823313.52282</v>
      </c>
      <c r="C47" s="11" t="n"/>
      <c r="D47" s="11" t="n">
        <v>230154418</v>
      </c>
      <c r="E47" s="11" t="n"/>
      <c r="N47" s="11" t="n"/>
      <c r="O47" s="11" t="n"/>
      <c r="P47" s="11" t="n"/>
      <c r="R47" s="12" t="n">
        <v>0.03</v>
      </c>
      <c r="V47" s="11" t="n"/>
      <c r="W47" s="11" t="n"/>
      <c r="Y47" s="11" t="n"/>
      <c r="AE47" s="11" t="n"/>
      <c r="AG47" s="13">
        <f>IF(OR(B47="",B47=0,M47=""),"",M47/B47*10000)</f>
        <v/>
      </c>
      <c r="AH47" s="13">
        <f>IF(OR(C47="",C47=0),"",N47/C47*10000)</f>
        <v/>
      </c>
      <c r="AI47" s="13">
        <f>IF(OR(D47="",D47=0),"",O47/D47*10000)</f>
        <v/>
      </c>
      <c r="AJ47" s="11" t="n"/>
      <c r="AK47" s="11" t="n"/>
      <c r="AN47" s="14" t="n"/>
      <c r="AO47" s="15" t="n"/>
      <c r="AP47" s="14" t="n">
        <v>12323093.09</v>
      </c>
      <c r="AQ47" s="14" t="n">
        <v>26062.989</v>
      </c>
      <c r="AR47" s="14" t="n">
        <v>555.3528</v>
      </c>
      <c r="AS47" s="14" t="n"/>
      <c r="AT47" s="16" t="n">
        <v>412.6303567007362</v>
      </c>
      <c r="AU47" s="17" t="n">
        <v>0.02179943</v>
      </c>
      <c r="AV47" s="14" t="n">
        <v>427697434.9067</v>
      </c>
      <c r="AW47" s="18" t="n">
        <v>60100000</v>
      </c>
      <c r="AX47" s="19" t="n">
        <v>12323093.09</v>
      </c>
      <c r="AY47" s="18" t="n">
        <v>3100000</v>
      </c>
      <c r="AZ47" s="18">
        <f>1000000000-999878591.7502</f>
        <v/>
      </c>
      <c r="BA47" s="20">
        <f>1000000000-AV47-AW47-AX47-AY47-AZ47</f>
        <v/>
      </c>
      <c r="BB47" s="21" t="n">
        <v>244.9</v>
      </c>
      <c r="BC47" s="21">
        <f>BA47/1000000-BB47</f>
        <v/>
      </c>
      <c r="BD47" s="22">
        <f>BA47*20.88</f>
        <v/>
      </c>
    </row>
    <row r="48">
      <c r="A48" s="10" t="n">
        <v>45670</v>
      </c>
      <c r="B48" s="11" t="n">
        <v>7614889367.89616</v>
      </c>
      <c r="C48" s="11" t="n"/>
      <c r="D48" s="11" t="n">
        <v>195123318</v>
      </c>
      <c r="E48" s="11" t="n"/>
      <c r="N48" s="11" t="n"/>
      <c r="O48" s="11" t="n"/>
      <c r="P48" s="11" t="n"/>
      <c r="R48" s="12" t="n">
        <v>0.03</v>
      </c>
      <c r="V48" s="11" t="n"/>
      <c r="W48" s="11" t="n"/>
      <c r="Y48" s="11" t="n"/>
      <c r="AE48" s="11" t="n"/>
      <c r="AG48" s="13">
        <f>IF(OR(B48="",B48=0,M48=""),"",M48/B48*10000)</f>
        <v/>
      </c>
      <c r="AH48" s="13">
        <f>IF(OR(C48="",C48=0),"",N48/C48*10000)</f>
        <v/>
      </c>
      <c r="AI48" s="13">
        <f>IF(OR(D48="",D48=0),"",O48/D48*10000)</f>
        <v/>
      </c>
      <c r="AJ48" s="11" t="n"/>
      <c r="AK48" s="11" t="n"/>
      <c r="AN48" s="14" t="n"/>
      <c r="AO48" s="15" t="n"/>
      <c r="AP48" s="14" t="n">
        <v>12366458.05</v>
      </c>
      <c r="AQ48" s="14" t="n">
        <v>26085.5853</v>
      </c>
      <c r="AR48" s="14" t="n">
        <v>490.8274</v>
      </c>
      <c r="AS48" s="14" t="n"/>
      <c r="AT48" s="16" t="n">
        <v>414.403528356777</v>
      </c>
      <c r="AU48" s="17" t="n">
        <v>0.02175025</v>
      </c>
      <c r="AV48" s="14" t="n">
        <v>427671349.3214</v>
      </c>
      <c r="AW48" s="18" t="n">
        <v>60100000</v>
      </c>
      <c r="AX48" s="19" t="n">
        <v>12366458.05</v>
      </c>
      <c r="AY48" s="18" t="n">
        <v>3100000</v>
      </c>
      <c r="AZ48" s="18">
        <f>1000000000-999878100.9228</f>
        <v/>
      </c>
      <c r="BA48" s="20">
        <f>1000000000-AV48-AW48-AX48-AY48-AZ48</f>
        <v/>
      </c>
      <c r="BB48" s="21" t="n">
        <v>244.9</v>
      </c>
      <c r="BC48" s="21">
        <f>BA48/1000000-BB48</f>
        <v/>
      </c>
      <c r="BD48" s="22">
        <f>BA48*21.12</f>
        <v/>
      </c>
    </row>
    <row r="49">
      <c r="A49" s="10" t="n">
        <v>45671</v>
      </c>
      <c r="B49" s="11" t="n">
        <v>4164534612.205659</v>
      </c>
      <c r="C49" s="11" t="n"/>
      <c r="D49" s="11" t="n">
        <v>186174573</v>
      </c>
      <c r="E49" s="11" t="n"/>
      <c r="N49" s="11" t="n"/>
      <c r="O49" s="11" t="n">
        <v>24324</v>
      </c>
      <c r="P49" s="11" t="n"/>
      <c r="R49" s="12" t="n">
        <v>0.03</v>
      </c>
      <c r="V49" s="11" t="n"/>
      <c r="W49" s="11" t="n"/>
      <c r="Y49" s="11" t="n"/>
      <c r="AE49" s="11" t="n"/>
      <c r="AG49" s="13">
        <f>IF(OR(B49="",B49=0,M49=""),"",M49/B49*10000)</f>
        <v/>
      </c>
      <c r="AH49" s="13">
        <f>IF(OR(C49="",C49=0),"",N49/C49*10000)</f>
        <v/>
      </c>
      <c r="AI49" s="13">
        <f>IF(OR(D49="",D49=0),"",O49/D49*10000)</f>
        <v/>
      </c>
      <c r="AJ49" s="11" t="n"/>
      <c r="AK49" s="11" t="n"/>
      <c r="AN49" s="14" t="n"/>
      <c r="AO49" s="15" t="n"/>
      <c r="AP49" s="14" t="n">
        <v>12467820.96</v>
      </c>
      <c r="AQ49" s="14" t="n">
        <v>26275.62</v>
      </c>
      <c r="AR49" s="14" t="n">
        <v>1292.8946</v>
      </c>
      <c r="AS49" s="14" t="n"/>
      <c r="AT49" s="16" t="n">
        <v>422.3981909318112</v>
      </c>
      <c r="AU49" s="17" t="n">
        <v>0.02154585</v>
      </c>
      <c r="AV49" s="14" t="n">
        <v>427645073.7014</v>
      </c>
      <c r="AW49" s="18" t="n">
        <v>60100000</v>
      </c>
      <c r="AX49" s="19" t="n">
        <v>12467820.96</v>
      </c>
      <c r="AY49" s="18" t="n">
        <v>3100000</v>
      </c>
      <c r="AZ49" s="18">
        <f>1000000000-999876808.0282</f>
        <v/>
      </c>
      <c r="BA49" s="20">
        <f>1000000000-AV49-AW49-AX49-AY49-AZ49</f>
        <v/>
      </c>
      <c r="BB49" s="21" t="n">
        <v>244.9</v>
      </c>
      <c r="BC49" s="21">
        <f>BA49/1000000-BB49</f>
        <v/>
      </c>
      <c r="BD49" s="22">
        <f>BA49*21.63</f>
        <v/>
      </c>
    </row>
    <row r="50">
      <c r="A50" s="10" t="n">
        <v>45672</v>
      </c>
      <c r="B50" s="11" t="n">
        <v>5315407561.347315</v>
      </c>
      <c r="C50" s="11" t="n"/>
      <c r="D50" s="11" t="n">
        <v>125668891</v>
      </c>
      <c r="E50" s="11" t="n"/>
      <c r="N50" s="11" t="n"/>
      <c r="O50" s="11" t="n">
        <v>23915</v>
      </c>
      <c r="P50" s="11" t="n"/>
      <c r="R50" s="12" t="n">
        <v>0.03</v>
      </c>
      <c r="V50" s="11" t="n"/>
      <c r="W50" s="11" t="n"/>
      <c r="Y50" s="11" t="n"/>
      <c r="AE50" s="11" t="n"/>
      <c r="AG50" s="13">
        <f>IF(OR(B50="",B50=0,M50=""),"",M50/B50*10000)</f>
        <v/>
      </c>
      <c r="AH50" s="13">
        <f>IF(OR(C50="",C50=0),"",N50/C50*10000)</f>
        <v/>
      </c>
      <c r="AI50" s="13">
        <f>IF(OR(D50="",D50=0),"",O50/D50*10000)</f>
        <v/>
      </c>
      <c r="AJ50" s="11" t="n"/>
      <c r="AK50" s="11" t="n"/>
      <c r="AN50" s="14" t="n"/>
      <c r="AO50" s="15" t="n"/>
      <c r="AP50" s="14" t="n">
        <v>12522774.12</v>
      </c>
      <c r="AQ50" s="14" t="n">
        <v>26404.1858</v>
      </c>
      <c r="AR50" s="14" t="n">
        <v>1035.8599</v>
      </c>
      <c r="AS50" s="14" t="n"/>
      <c r="AT50" s="16" t="n">
        <v>425.1178651578688</v>
      </c>
      <c r="AU50" s="17" t="n">
        <v>0.02147762</v>
      </c>
      <c r="AV50" s="14" t="n">
        <v>427618669.5156</v>
      </c>
      <c r="AW50" s="18" t="n">
        <v>60100000</v>
      </c>
      <c r="AX50" s="19" t="n">
        <v>12522774.12</v>
      </c>
      <c r="AY50" s="18" t="n">
        <v>3100000</v>
      </c>
      <c r="AZ50" s="18">
        <f>1000000000-999875772.1684</f>
        <v/>
      </c>
      <c r="BA50" s="20">
        <f>1000000000-AV50-AW50-AX50-AY50-AZ50</f>
        <v/>
      </c>
      <c r="BB50" s="21" t="n">
        <v>244.9</v>
      </c>
      <c r="BC50" s="21">
        <f>BA50/1000000-BB50</f>
        <v/>
      </c>
      <c r="BD50" s="22">
        <f>BA50*23</f>
        <v/>
      </c>
    </row>
    <row r="51">
      <c r="A51" s="10" t="n">
        <v>45673</v>
      </c>
      <c r="B51" s="11" t="n">
        <v>5713611240.033678</v>
      </c>
      <c r="C51" s="11" t="n"/>
      <c r="D51" s="11" t="n">
        <v>148144621</v>
      </c>
      <c r="E51" s="11" t="n"/>
      <c r="N51" s="11" t="n"/>
      <c r="O51" s="11" t="n">
        <v>18602</v>
      </c>
      <c r="P51" s="11" t="n"/>
      <c r="R51" s="12" t="n">
        <v>0.03</v>
      </c>
      <c r="V51" s="11" t="n"/>
      <c r="W51" s="11" t="n"/>
      <c r="Y51" s="11" t="n"/>
      <c r="AE51" s="11" t="n"/>
      <c r="AG51" s="13">
        <f>IF(OR(B51="",B51=0,M51=""),"",M51/B51*10000)</f>
        <v/>
      </c>
      <c r="AH51" s="13">
        <f>IF(OR(C51="",C51=0),"",N51/C51*10000)</f>
        <v/>
      </c>
      <c r="AI51" s="13">
        <f>IF(OR(D51="",D51=0),"",O51/D51*10000)</f>
        <v/>
      </c>
      <c r="AJ51" s="11" t="n"/>
      <c r="AK51" s="11" t="n"/>
      <c r="AN51" s="14" t="n"/>
      <c r="AO51" s="15" t="n"/>
      <c r="AP51" s="14" t="n">
        <v>12591916.98</v>
      </c>
      <c r="AQ51" s="14" t="n">
        <v>26508.232</v>
      </c>
      <c r="AR51" s="14" t="n">
        <v>883.4029</v>
      </c>
      <c r="AS51" s="14" t="n"/>
      <c r="AT51" s="16" t="n">
        <v>427.001468740961</v>
      </c>
      <c r="AU51" s="17" t="n">
        <v>0.02143074999999999</v>
      </c>
      <c r="AV51" s="14" t="n">
        <v>427592161.2836</v>
      </c>
      <c r="AW51" s="18" t="n">
        <v>60100000</v>
      </c>
      <c r="AX51" s="19" t="n">
        <v>12591916.98</v>
      </c>
      <c r="AY51" s="18" t="n">
        <v>3100000</v>
      </c>
      <c r="AZ51" s="18">
        <f>1000000000-999874888.7655</f>
        <v/>
      </c>
      <c r="BA51" s="20">
        <f>1000000000-AV51-AW51-AX51-AY51-AZ51</f>
        <v/>
      </c>
      <c r="BB51" s="21" t="n">
        <v>244.9</v>
      </c>
      <c r="BC51" s="21">
        <f>BA51/1000000-BB51</f>
        <v/>
      </c>
      <c r="BD51" s="22">
        <f>BA51*24.38</f>
        <v/>
      </c>
    </row>
    <row r="52">
      <c r="A52" s="10" t="n">
        <v>45674</v>
      </c>
      <c r="B52" s="11" t="n">
        <v>5461277249.166445</v>
      </c>
      <c r="C52" s="11" t="n"/>
      <c r="D52" s="11" t="n">
        <v>342126938</v>
      </c>
      <c r="E52" s="11" t="n"/>
      <c r="N52" s="11" t="n"/>
      <c r="O52" s="11" t="n">
        <v>20485</v>
      </c>
      <c r="P52" s="11" t="n"/>
      <c r="R52" s="12" t="n">
        <v>0.03</v>
      </c>
      <c r="V52" s="11" t="n"/>
      <c r="W52" s="11" t="n"/>
      <c r="Y52" s="11" t="n"/>
      <c r="AE52" s="11" t="n"/>
      <c r="AG52" s="13">
        <f>IF(OR(B52="",B52=0,M52=""),"",M52/B52*10000)</f>
        <v/>
      </c>
      <c r="AH52" s="13">
        <f>IF(OR(C52="",C52=0),"",N52/C52*10000)</f>
        <v/>
      </c>
      <c r="AI52" s="13">
        <f>IF(OR(D52="",D52=0),"",O52/D52*10000)</f>
        <v/>
      </c>
      <c r="AJ52" s="11" t="n"/>
      <c r="AK52" s="11" t="n"/>
      <c r="AN52" s="14" t="n"/>
      <c r="AO52" s="15" t="n"/>
      <c r="AP52" s="14" t="n">
        <v>12657481.55</v>
      </c>
      <c r="AQ52" s="14" t="n">
        <v>26562.754</v>
      </c>
      <c r="AR52" s="14" t="n">
        <v>560.1256</v>
      </c>
      <c r="AS52" s="14" t="n"/>
      <c r="AT52" s="16" t="n">
        <v>429.3350711777932</v>
      </c>
      <c r="AU52" s="17" t="n">
        <v>0.0213731</v>
      </c>
      <c r="AV52" s="14" t="n">
        <v>427565598.5296</v>
      </c>
      <c r="AW52" s="18" t="n">
        <v>60100000</v>
      </c>
      <c r="AX52" s="19" t="n">
        <v>12657481.55</v>
      </c>
      <c r="AY52" s="18" t="n">
        <v>3100000</v>
      </c>
      <c r="AZ52" s="18">
        <f>1000000000-999874328.6399</f>
        <v/>
      </c>
      <c r="BA52" s="20">
        <f>1000000000-AV52-AW52-AX52-AY52-AZ52</f>
        <v/>
      </c>
      <c r="BB52" s="21" t="n">
        <v>244.9</v>
      </c>
      <c r="BC52" s="21">
        <f>BA52/1000000-BB52</f>
        <v/>
      </c>
      <c r="BD52" s="22">
        <f>BA52*23.47</f>
        <v/>
      </c>
    </row>
    <row r="53">
      <c r="A53" s="10" t="n">
        <v>45675</v>
      </c>
      <c r="B53" s="11" t="n">
        <v>9678960134.805155</v>
      </c>
      <c r="C53" s="11" t="n"/>
      <c r="D53" s="11" t="n">
        <v>452915269</v>
      </c>
      <c r="E53" s="11" t="n"/>
      <c r="N53" s="11" t="n"/>
      <c r="O53" s="11" t="n">
        <v>52413</v>
      </c>
      <c r="P53" s="11" t="n"/>
      <c r="R53" s="12" t="n">
        <v>0.03</v>
      </c>
      <c r="V53" s="11" t="n"/>
      <c r="W53" s="11" t="n"/>
      <c r="Y53" s="11" t="n"/>
      <c r="AE53" s="11" t="n"/>
      <c r="AG53" s="13">
        <f>IF(OR(B53="",B53=0,M53=""),"",M53/B53*10000)</f>
        <v/>
      </c>
      <c r="AH53" s="13">
        <f>IF(OR(C53="",C53=0),"",N53/C53*10000)</f>
        <v/>
      </c>
      <c r="AI53" s="13">
        <f>IF(OR(D53="",D53=0),"",O53/D53*10000)</f>
        <v/>
      </c>
      <c r="AJ53" s="11" t="n"/>
      <c r="AK53" s="11" t="n"/>
      <c r="AN53" s="14" t="n"/>
      <c r="AO53" s="15" t="n"/>
      <c r="AP53" s="14" t="n">
        <v>12746262.37</v>
      </c>
      <c r="AQ53" s="14" t="n">
        <v>26584.0125</v>
      </c>
      <c r="AR53" s="14" t="n">
        <v>614.0791</v>
      </c>
      <c r="AS53" s="14" t="n"/>
      <c r="AT53" s="16" t="n">
        <v>430.0193661124255</v>
      </c>
      <c r="AU53" s="17" t="n">
        <v>0.02137321</v>
      </c>
      <c r="AV53" s="14" t="n">
        <v>427539014.5171</v>
      </c>
      <c r="AW53" s="18" t="n">
        <v>60100000</v>
      </c>
      <c r="AX53" s="19" t="n">
        <v>12746262.37</v>
      </c>
      <c r="AY53" s="18" t="n">
        <v>3100000</v>
      </c>
      <c r="AZ53" s="18">
        <f>1000000000-999873714.5608</f>
        <v/>
      </c>
      <c r="BA53" s="20">
        <f>1000000000-AV53-AW53-AX53-AY53-AZ53</f>
        <v/>
      </c>
      <c r="BB53" s="21" t="n">
        <v>244.9</v>
      </c>
      <c r="BC53" s="21">
        <f>BA53/1000000-BB53</f>
        <v/>
      </c>
      <c r="BD53" s="22">
        <f>BA53*23.09</f>
        <v/>
      </c>
    </row>
    <row r="54">
      <c r="A54" s="10" t="n">
        <v>45676</v>
      </c>
      <c r="B54" s="11" t="n">
        <v>17750219553.23</v>
      </c>
      <c r="C54" s="11" t="n"/>
      <c r="D54" s="11" t="n">
        <v>234451715</v>
      </c>
      <c r="E54" s="11" t="n"/>
      <c r="N54" s="11" t="n"/>
      <c r="O54" s="11" t="n">
        <v>61521</v>
      </c>
      <c r="P54" s="11" t="n"/>
      <c r="R54" s="12" t="n">
        <v>0.03</v>
      </c>
      <c r="V54" s="11" t="n"/>
      <c r="W54" s="11" t="n"/>
      <c r="Y54" s="11" t="n"/>
      <c r="AE54" s="11" t="n"/>
      <c r="AG54" s="13">
        <f>IF(OR(B54="",B54=0,M54=""),"",M54/B54*10000)</f>
        <v/>
      </c>
      <c r="AH54" s="13">
        <f>IF(OR(C54="",C54=0),"",N54/C54*10000)</f>
        <v/>
      </c>
      <c r="AI54" s="13">
        <f>IF(OR(D54="",D54=0),"",O54/D54*10000)</f>
        <v/>
      </c>
      <c r="AJ54" s="11" t="n"/>
      <c r="AK54" s="11" t="n"/>
      <c r="AN54" s="14" t="n"/>
      <c r="AO54" s="15" t="n"/>
      <c r="AP54" s="14" t="n">
        <v>12889602.64</v>
      </c>
      <c r="AQ54" s="14" t="n">
        <v>26576.453</v>
      </c>
      <c r="AR54" s="14" t="n">
        <v>1549.2138</v>
      </c>
      <c r="AS54" s="14" t="n"/>
      <c r="AT54" s="16" t="n">
        <v>428.2557134000312</v>
      </c>
      <c r="AU54" s="17" t="n">
        <v>0.02141667</v>
      </c>
      <c r="AV54" s="14" t="n">
        <v>427512438.0641</v>
      </c>
      <c r="AW54" s="18" t="n">
        <v>60100000</v>
      </c>
      <c r="AX54" s="19" t="n">
        <v>12889602.64</v>
      </c>
      <c r="AY54" s="18" t="n">
        <v>3100000</v>
      </c>
      <c r="AZ54" s="18">
        <f>1000000000-999872165.347</f>
        <v/>
      </c>
      <c r="BA54" s="20">
        <f>1000000000-AV54-AW54-AX54-AY54-AZ54</f>
        <v/>
      </c>
      <c r="BB54" s="21" t="n">
        <v>244.9</v>
      </c>
      <c r="BC54" s="21">
        <f>BA54/1000000-BB54</f>
        <v/>
      </c>
      <c r="BD54" s="22">
        <f>BA54*21.94</f>
        <v/>
      </c>
    </row>
    <row r="55">
      <c r="A55" s="10" t="n">
        <v>45677</v>
      </c>
      <c r="B55" s="11" t="n">
        <v>16339004971.72497</v>
      </c>
      <c r="C55" s="11" t="n"/>
      <c r="D55" s="11" t="n">
        <v>255573062</v>
      </c>
      <c r="E55" s="11" t="n"/>
      <c r="N55" s="11" t="n"/>
      <c r="O55" s="11" t="n">
        <v>34279</v>
      </c>
      <c r="P55" s="11" t="n"/>
      <c r="R55" s="12" t="n">
        <v>0.03</v>
      </c>
      <c r="V55" s="11" t="n"/>
      <c r="W55" s="11" t="n"/>
      <c r="Y55" s="11" t="n"/>
      <c r="AE55" s="11" t="n"/>
      <c r="AG55" s="13">
        <f>IF(OR(B55="",B55=0,M55=""),"",M55/B55*10000)</f>
        <v/>
      </c>
      <c r="AH55" s="13">
        <f>IF(OR(C55="",C55=0),"",N55/C55*10000)</f>
        <v/>
      </c>
      <c r="AI55" s="13">
        <f>IF(OR(D55="",D55=0),"",O55/D55*10000)</f>
        <v/>
      </c>
      <c r="AJ55" s="11" t="n"/>
      <c r="AK55" s="11" t="n"/>
      <c r="AN55" s="14" t="n"/>
      <c r="AO55" s="15" t="n"/>
      <c r="AP55" s="14" t="n">
        <v>13118129.89</v>
      </c>
      <c r="AQ55" s="14" t="n">
        <v>26541.2726</v>
      </c>
      <c r="AR55" s="14" t="n">
        <v>2127.3129</v>
      </c>
      <c r="AS55" s="14" t="n"/>
      <c r="AT55" s="16" t="n">
        <v>426.4903360474353</v>
      </c>
      <c r="AU55" s="17" t="n">
        <v>0.02146043</v>
      </c>
      <c r="AV55" s="14" t="n">
        <v>427485896.7915</v>
      </c>
      <c r="AW55" s="18" t="n">
        <v>60100000</v>
      </c>
      <c r="AX55" s="19" t="n">
        <v>13118129.89</v>
      </c>
      <c r="AY55" s="18" t="n">
        <v>3100000</v>
      </c>
      <c r="AZ55" s="18">
        <f>1000000000-999870038.0341</f>
        <v/>
      </c>
      <c r="BA55" s="20">
        <f>1000000000-AV55-AW55-AX55-AY55-AZ55</f>
        <v/>
      </c>
      <c r="BB55" s="21" t="n">
        <v>244.9</v>
      </c>
      <c r="BC55" s="21">
        <f>BA55/1000000-BB55</f>
        <v/>
      </c>
      <c r="BD55" s="22">
        <f>BA55*20.19</f>
        <v/>
      </c>
    </row>
    <row r="56">
      <c r="A56" s="10" t="n">
        <v>45678</v>
      </c>
      <c r="B56" s="11" t="n">
        <v>8341944948.310147</v>
      </c>
      <c r="C56" s="11" t="n"/>
      <c r="D56" s="11" t="n">
        <v>217426990</v>
      </c>
      <c r="E56" s="11" t="n"/>
      <c r="N56" s="11" t="n"/>
      <c r="O56" s="11" t="n">
        <v>34069</v>
      </c>
      <c r="P56" s="11" t="n"/>
      <c r="R56" s="12" t="n">
        <v>0.03</v>
      </c>
      <c r="V56" s="11" t="n"/>
      <c r="W56" s="11" t="n"/>
      <c r="Y56" s="11" t="n"/>
      <c r="AE56" s="11" t="n"/>
      <c r="AG56" s="13">
        <f>IF(OR(B56="",B56=0,M56=""),"",M56/B56*10000)</f>
        <v/>
      </c>
      <c r="AH56" s="13">
        <f>IF(OR(C56="",C56=0),"",N56/C56*10000)</f>
        <v/>
      </c>
      <c r="AI56" s="13">
        <f>IF(OR(D56="",D56=0),"",O56/D56*10000)</f>
        <v/>
      </c>
      <c r="AJ56" s="11" t="n"/>
      <c r="AK56" s="11" t="n"/>
      <c r="AN56" s="14" t="n"/>
      <c r="AO56" s="15" t="n"/>
      <c r="AP56" s="14" t="n">
        <v>13251258.78</v>
      </c>
      <c r="AQ56" s="14" t="n">
        <v>26530.7477</v>
      </c>
      <c r="AR56" s="14" t="n">
        <v>1392.5278</v>
      </c>
      <c r="AS56" s="14" t="n"/>
      <c r="AT56" s="16" t="n">
        <v>428.3282005614788</v>
      </c>
      <c r="AU56" s="17" t="n">
        <v>0.02141488</v>
      </c>
      <c r="AV56" s="14" t="n">
        <v>427459366.0438</v>
      </c>
      <c r="AW56" s="18" t="n">
        <v>60100000</v>
      </c>
      <c r="AX56" s="19" t="n">
        <v>13251258.78</v>
      </c>
      <c r="AY56" s="18" t="n">
        <v>3100000</v>
      </c>
      <c r="AZ56" s="18">
        <f>1000000000-999868645.5063</f>
        <v/>
      </c>
      <c r="BA56" s="20">
        <f>1000000000-AV56-AW56-AX56-AY56-AZ56</f>
        <v/>
      </c>
      <c r="BB56" s="21" t="n">
        <v>244.9</v>
      </c>
      <c r="BC56" s="21">
        <f>BA56/1000000-BB56</f>
        <v/>
      </c>
      <c r="BD56" s="22">
        <f>BA56*20.55</f>
        <v/>
      </c>
    </row>
    <row r="57">
      <c r="A57" s="10" t="n">
        <v>45679</v>
      </c>
      <c r="B57" s="11" t="n">
        <v>5281551150.558711</v>
      </c>
      <c r="C57" s="11" t="n"/>
      <c r="D57" s="11" t="n">
        <v>268190024</v>
      </c>
      <c r="E57" s="11" t="n"/>
      <c r="N57" s="11" t="n"/>
      <c r="O57" s="11" t="n">
        <v>30418</v>
      </c>
      <c r="P57" s="11" t="n"/>
      <c r="R57" s="12" t="n">
        <v>0.03</v>
      </c>
      <c r="V57" s="11" t="n"/>
      <c r="W57" s="11" t="n"/>
      <c r="Y57" s="11" t="n"/>
      <c r="AE57" s="11" t="n"/>
      <c r="AG57" s="13">
        <f>IF(OR(B57="",B57=0,M57=""),"",M57/B57*10000)</f>
        <v/>
      </c>
      <c r="AH57" s="13">
        <f>IF(OR(C57="",C57=0),"",N57/C57*10000)</f>
        <v/>
      </c>
      <c r="AI57" s="13">
        <f>IF(OR(D57="",D57=0),"",O57/D57*10000)</f>
        <v/>
      </c>
      <c r="AJ57" s="11" t="n"/>
      <c r="AK57" s="11" t="n"/>
      <c r="AN57" s="14" t="n"/>
      <c r="AO57" s="15" t="n"/>
      <c r="AP57" s="14" t="n">
        <v>13322388.74</v>
      </c>
      <c r="AQ57" s="14" t="n">
        <v>26567.3464</v>
      </c>
      <c r="AR57" s="14" t="n">
        <v>1404.8497</v>
      </c>
      <c r="AS57" s="14" t="n"/>
      <c r="AT57" s="16" t="n">
        <v>428.4815455730789</v>
      </c>
      <c r="AU57" s="17" t="n">
        <v>0.02141109</v>
      </c>
      <c r="AV57" s="14" t="n">
        <v>427432798.6974</v>
      </c>
      <c r="AW57" s="18" t="n">
        <v>60100000</v>
      </c>
      <c r="AX57" s="19" t="n">
        <v>13322388.74</v>
      </c>
      <c r="AY57" s="18" t="n">
        <v>3100000</v>
      </c>
      <c r="AZ57" s="18">
        <f>1000000000-999867240.6567</f>
        <v/>
      </c>
      <c r="BA57" s="20">
        <f>1000000000-AV57-AW57-AX57-AY57-AZ57</f>
        <v/>
      </c>
      <c r="BB57" s="21" t="n">
        <v>244.9</v>
      </c>
      <c r="BC57" s="21">
        <f>BA57/1000000-BB57</f>
        <v/>
      </c>
      <c r="BD57" s="22">
        <f>BA57*23.18</f>
        <v/>
      </c>
    </row>
    <row r="58">
      <c r="A58" s="10" t="n">
        <v>45680</v>
      </c>
      <c r="B58" s="11" t="n">
        <v>11321580803.33587</v>
      </c>
      <c r="C58" s="11" t="n"/>
      <c r="D58" s="11" t="n">
        <v>178140305</v>
      </c>
      <c r="E58" s="11" t="n"/>
      <c r="N58" s="11" t="n"/>
      <c r="O58" s="11" t="n">
        <v>38159</v>
      </c>
      <c r="P58" s="11" t="n"/>
      <c r="R58" s="12" t="n">
        <v>0.03</v>
      </c>
      <c r="V58" s="11" t="n"/>
      <c r="W58" s="11" t="n"/>
      <c r="Y58" s="11" t="n"/>
      <c r="AE58" s="11" t="n"/>
      <c r="AG58" s="13">
        <f>IF(OR(B58="",B58=0,M58=""),"",M58/B58*10000)</f>
        <v/>
      </c>
      <c r="AH58" s="13">
        <f>IF(OR(C58="",C58=0),"",N58/C58*10000)</f>
        <v/>
      </c>
      <c r="AI58" s="13">
        <f>IF(OR(D58="",D58=0),"",O58/D58*10000)</f>
        <v/>
      </c>
      <c r="AJ58" s="11" t="n"/>
      <c r="AK58" s="11" t="n"/>
      <c r="AN58" s="14" t="n"/>
      <c r="AO58" s="15" t="n"/>
      <c r="AP58" s="14" t="n">
        <v>13384449.16</v>
      </c>
      <c r="AQ58" s="14" t="n">
        <v>26581.533</v>
      </c>
      <c r="AR58" s="14" t="n">
        <v>923.5959</v>
      </c>
      <c r="AS58" s="14" t="n"/>
      <c r="AT58" s="16" t="n">
        <v>428.6257171087203</v>
      </c>
      <c r="AU58" s="17" t="n">
        <v>0.02140753</v>
      </c>
      <c r="AV58" s="14" t="n">
        <v>427406217.1644</v>
      </c>
      <c r="AW58" s="18" t="n">
        <v>60100000</v>
      </c>
      <c r="AX58" s="19" t="n">
        <v>13384449.16</v>
      </c>
      <c r="AY58" s="18" t="n">
        <v>3100000</v>
      </c>
      <c r="AZ58" s="18">
        <f>1000000000-999866317.0608</f>
        <v/>
      </c>
      <c r="BA58" s="20">
        <f>1000000000-AV58-AW58-AX58-AY58-AZ58</f>
        <v/>
      </c>
      <c r="BB58" s="21" t="n">
        <v>244.9</v>
      </c>
      <c r="BC58" s="21">
        <f>BA58/1000000-BB58</f>
        <v/>
      </c>
      <c r="BD58" s="22">
        <f>BA58*24.31</f>
        <v/>
      </c>
    </row>
    <row r="59">
      <c r="A59" s="10" t="n">
        <v>45681</v>
      </c>
      <c r="B59" s="11" t="n">
        <v>5784731819.255758</v>
      </c>
      <c r="C59" s="11" t="n"/>
      <c r="D59" s="11" t="n">
        <v>93192677</v>
      </c>
      <c r="E59" s="11" t="n"/>
      <c r="N59" s="11" t="n"/>
      <c r="O59" s="11" t="n">
        <v>23999</v>
      </c>
      <c r="P59" s="11" t="n"/>
      <c r="R59" s="12" t="n">
        <v>0.03</v>
      </c>
      <c r="V59" s="11" t="n"/>
      <c r="W59" s="11" t="n"/>
      <c r="Y59" s="11" t="n"/>
      <c r="AE59" s="11" t="n"/>
      <c r="AG59" s="13">
        <f>IF(OR(B59="",B59=0,M59=""),"",M59/B59*10000)</f>
        <v/>
      </c>
      <c r="AH59" s="13">
        <f>IF(OR(C59="",C59=0),"",N59/C59*10000)</f>
        <v/>
      </c>
      <c r="AI59" s="13">
        <f>IF(OR(D59="",D59=0),"",O59/D59*10000)</f>
        <v/>
      </c>
      <c r="AJ59" s="11" t="n"/>
      <c r="AK59" s="11" t="n"/>
      <c r="AN59" s="14" t="n"/>
      <c r="AO59" s="15" t="n"/>
      <c r="AP59" s="14" t="n">
        <v>13500446.23</v>
      </c>
      <c r="AQ59" s="14" t="n">
        <v>26552.4017</v>
      </c>
      <c r="AR59" s="14" t="n">
        <v>1425.0715</v>
      </c>
      <c r="AS59" s="14" t="n"/>
      <c r="AT59" s="16" t="n">
        <v>427.5093051534757</v>
      </c>
      <c r="AU59" s="17" t="n">
        <v>0.02143514</v>
      </c>
      <c r="AV59" s="14" t="n">
        <v>427379664.7627</v>
      </c>
      <c r="AW59" s="18" t="n">
        <v>60100000</v>
      </c>
      <c r="AX59" s="19" t="n">
        <v>13500446.23</v>
      </c>
      <c r="AY59" s="18" t="n">
        <v>3100000</v>
      </c>
      <c r="AZ59" s="18">
        <f>1000000000-999864891.9893</f>
        <v/>
      </c>
      <c r="BA59" s="20">
        <f>1000000000-AV59-AW59-AX59-AY59-AZ59</f>
        <v/>
      </c>
      <c r="BB59" s="21" t="n">
        <v>244.9</v>
      </c>
      <c r="BC59" s="21">
        <f>BA59/1000000-BB59</f>
        <v/>
      </c>
      <c r="BD59" s="22">
        <f>BA59*21.97</f>
        <v/>
      </c>
    </row>
    <row r="60">
      <c r="A60" s="10" t="n">
        <v>45682</v>
      </c>
      <c r="B60" s="11" t="n">
        <v>3516728432.28455</v>
      </c>
      <c r="C60" s="11" t="n"/>
      <c r="D60" s="11" t="n">
        <v>138875526</v>
      </c>
      <c r="E60" s="11" t="n"/>
      <c r="N60" s="11" t="n"/>
      <c r="O60" s="11" t="n">
        <v>14317</v>
      </c>
      <c r="P60" s="11" t="n"/>
      <c r="R60" s="12" t="n">
        <v>0.03</v>
      </c>
      <c r="V60" s="11" t="n"/>
      <c r="W60" s="11" t="n"/>
      <c r="Y60" s="11" t="n"/>
      <c r="AE60" s="11" t="n"/>
      <c r="AG60" s="13">
        <f>IF(OR(B60="",B60=0,M60=""),"",M60/B60*10000)</f>
        <v/>
      </c>
      <c r="AH60" s="13">
        <f>IF(OR(C60="",C60=0),"",N60/C60*10000)</f>
        <v/>
      </c>
      <c r="AI60" s="13">
        <f>IF(OR(D60="",D60=0),"",O60/D60*10000)</f>
        <v/>
      </c>
      <c r="AJ60" s="11" t="n"/>
      <c r="AK60" s="11" t="n"/>
      <c r="AN60" s="14" t="n"/>
      <c r="AO60" s="15" t="n"/>
      <c r="AP60" s="14" t="n">
        <v>13559680.66</v>
      </c>
      <c r="AQ60" s="14" t="n">
        <v>26530.8113</v>
      </c>
      <c r="AR60" s="14" t="n">
        <v>909.6107</v>
      </c>
      <c r="AS60" s="14" t="n"/>
      <c r="AT60" s="16" t="n">
        <v>427.3262184329375</v>
      </c>
      <c r="AU60" s="17" t="n">
        <v>0.02143968</v>
      </c>
      <c r="AV60" s="14" t="n">
        <v>427353133.9514</v>
      </c>
      <c r="AW60" s="18" t="n">
        <v>60100000</v>
      </c>
      <c r="AX60" s="19" t="n">
        <v>13559680.66</v>
      </c>
      <c r="AY60" s="18" t="n">
        <v>3100000</v>
      </c>
      <c r="AZ60" s="18">
        <f>1000000000-999863982.3786</f>
        <v/>
      </c>
      <c r="BA60" s="20">
        <f>1000000000-AV60-AW60-AX60-AY60-AZ60</f>
        <v/>
      </c>
      <c r="BB60" s="21" t="n">
        <v>244.9</v>
      </c>
      <c r="BC60" s="21">
        <f>BA60/1000000-BB60</f>
        <v/>
      </c>
      <c r="BD60" s="22">
        <f>BA60*23.06</f>
        <v/>
      </c>
    </row>
    <row r="61">
      <c r="A61" s="10" t="n">
        <v>45683</v>
      </c>
      <c r="B61" s="11" t="n">
        <v>3597386932.857095</v>
      </c>
      <c r="C61" s="11" t="n"/>
      <c r="D61" s="11" t="n">
        <v>229716868</v>
      </c>
      <c r="E61" s="11" t="n"/>
      <c r="N61" s="11" t="n"/>
      <c r="O61" s="11" t="n">
        <v>16865</v>
      </c>
      <c r="P61" s="11" t="n"/>
      <c r="R61" s="12" t="n">
        <v>0.03</v>
      </c>
      <c r="V61" s="11" t="n"/>
      <c r="W61" s="11" t="n"/>
      <c r="Y61" s="11" t="n"/>
      <c r="AE61" s="11" t="n"/>
      <c r="AG61" s="13">
        <f>IF(OR(B61="",B61=0,M61=""),"",M61/B61*10000)</f>
        <v/>
      </c>
      <c r="AH61" s="13">
        <f>IF(OR(C61="",C61=0),"",N61/C61*10000)</f>
        <v/>
      </c>
      <c r="AI61" s="13">
        <f>IF(OR(D61="",D61=0),"",O61/D61*10000)</f>
        <v/>
      </c>
      <c r="AJ61" s="11" t="n"/>
      <c r="AK61" s="11" t="n"/>
      <c r="AN61" s="14" t="n"/>
      <c r="AO61" s="15" t="n"/>
      <c r="AP61" s="14" t="n">
        <v>13589447.97</v>
      </c>
      <c r="AQ61" s="14" t="n">
        <v>26541.0291</v>
      </c>
      <c r="AR61" s="14" t="n">
        <v>462.2589</v>
      </c>
      <c r="AS61" s="14" t="n"/>
      <c r="AT61" s="16" t="n">
        <v>427.627261770367</v>
      </c>
      <c r="AU61" s="17" t="n">
        <v>0.02143222</v>
      </c>
      <c r="AV61" s="14" t="n">
        <v>427326592.9222</v>
      </c>
      <c r="AW61" s="18" t="n">
        <v>60100000</v>
      </c>
      <c r="AX61" s="19" t="n">
        <v>13589447.97</v>
      </c>
      <c r="AY61" s="18" t="n">
        <v>3100000</v>
      </c>
      <c r="AZ61" s="18">
        <f>1000000000-999863520.1197</f>
        <v/>
      </c>
      <c r="BA61" s="20">
        <f>1000000000-AV61-AW61-AX61-AY61-AZ61</f>
        <v/>
      </c>
      <c r="BB61" s="21" t="n">
        <v>244.9</v>
      </c>
      <c r="BC61" s="21">
        <f>BA61/1000000-BB61</f>
        <v/>
      </c>
      <c r="BD61" s="22">
        <f>BA61*23.15</f>
        <v/>
      </c>
    </row>
    <row r="62">
      <c r="A62" s="10" t="n">
        <v>45684</v>
      </c>
      <c r="B62" s="11" t="n">
        <v>10972896197.405</v>
      </c>
      <c r="C62" s="11" t="n"/>
      <c r="D62" s="11" t="n">
        <v>185620600</v>
      </c>
      <c r="E62" s="11" t="n"/>
      <c r="N62" s="11" t="n"/>
      <c r="O62" s="11" t="n">
        <v>37573</v>
      </c>
      <c r="P62" s="11" t="n"/>
      <c r="R62" s="12" t="n">
        <v>0.03</v>
      </c>
      <c r="V62" s="11" t="n"/>
      <c r="W62" s="11" t="n"/>
      <c r="Y62" s="11" t="n"/>
      <c r="AE62" s="11" t="n"/>
      <c r="AG62" s="13">
        <f>IF(OR(B62="",B62=0,M62=""),"",M62/B62*10000)</f>
        <v/>
      </c>
      <c r="AH62" s="13">
        <f>IF(OR(C62="",C62=0),"",N62/C62*10000)</f>
        <v/>
      </c>
      <c r="AI62" s="13">
        <f>IF(OR(D62="",D62=0),"",O62/D62*10000)</f>
        <v/>
      </c>
      <c r="AJ62" s="11" t="n"/>
      <c r="AK62" s="11" t="n"/>
      <c r="AN62" s="14" t="n"/>
      <c r="AO62" s="15" t="n"/>
      <c r="AP62" s="14" t="n">
        <v>13665773.68</v>
      </c>
      <c r="AQ62" s="14" t="n">
        <v>26557.3341</v>
      </c>
      <c r="AR62" s="14" t="n">
        <v>515.1838</v>
      </c>
      <c r="AS62" s="14" t="n"/>
      <c r="AT62" s="16" t="n">
        <v>428.2422781384994</v>
      </c>
      <c r="AU62" s="17" t="n">
        <v>0.021417</v>
      </c>
      <c r="AV62" s="14" t="n">
        <v>427300035.5882</v>
      </c>
      <c r="AW62" s="18" t="n">
        <v>60100000</v>
      </c>
      <c r="AX62" s="19" t="n">
        <v>13665773.68</v>
      </c>
      <c r="AY62" s="18" t="n">
        <v>3100000</v>
      </c>
      <c r="AZ62" s="18">
        <f>1000000000-999863004.9359</f>
        <v/>
      </c>
      <c r="BA62" s="20">
        <f>1000000000-AV62-AW62-AX62-AY62-AZ62</f>
        <v/>
      </c>
      <c r="BB62" s="21" t="n">
        <v>244.9</v>
      </c>
      <c r="BC62" s="21">
        <f>BA62/1000000-BB62</f>
        <v/>
      </c>
      <c r="BD62" s="22">
        <f>BA62*22.08</f>
        <v/>
      </c>
    </row>
    <row r="63">
      <c r="A63" s="10" t="n">
        <v>45685</v>
      </c>
      <c r="B63" s="11" t="n">
        <v>6689142362.727283</v>
      </c>
      <c r="C63" s="11" t="n"/>
      <c r="D63" s="11" t="n">
        <v>170638730</v>
      </c>
      <c r="E63" s="11" t="n"/>
      <c r="N63" s="11" t="n"/>
      <c r="O63" s="11" t="n">
        <v>26779</v>
      </c>
      <c r="P63" s="11" t="n"/>
      <c r="R63" s="12" t="n">
        <v>0.03</v>
      </c>
      <c r="V63" s="11" t="n"/>
      <c r="W63" s="11" t="n"/>
      <c r="Y63" s="11" t="n"/>
      <c r="AE63" s="11" t="n"/>
      <c r="AG63" s="13">
        <f>IF(OR(B63="",B63=0,M63=""),"",M63/B63*10000)</f>
        <v/>
      </c>
      <c r="AH63" s="13">
        <f>IF(OR(C63="",C63=0),"",N63/C63*10000)</f>
        <v/>
      </c>
      <c r="AI63" s="13">
        <f>IF(OR(D63="",D63=0),"",O63/D63*10000)</f>
        <v/>
      </c>
      <c r="AJ63" s="11" t="n"/>
      <c r="AK63" s="11" t="n"/>
      <c r="AN63" s="14" t="n"/>
      <c r="AO63" s="15" t="n"/>
      <c r="AP63" s="14" t="n">
        <v>13764321.73</v>
      </c>
      <c r="AQ63" s="14" t="n">
        <v>26537.8436</v>
      </c>
      <c r="AR63" s="14" t="n">
        <v>1494.8576</v>
      </c>
      <c r="AS63" s="14" t="n"/>
      <c r="AT63" s="16" t="n">
        <v>427.0843830601609</v>
      </c>
      <c r="AU63" s="17" t="n">
        <v>0.02152959</v>
      </c>
      <c r="AV63" s="14" t="n">
        <v>427273497.7445</v>
      </c>
      <c r="AW63" s="18" t="n">
        <v>60100000</v>
      </c>
      <c r="AX63" s="19" t="n">
        <v>13764321.73</v>
      </c>
      <c r="AY63" s="18" t="n">
        <v>3100000</v>
      </c>
      <c r="AZ63" s="18">
        <f>1000000000-999861510.0783</f>
        <v/>
      </c>
      <c r="BA63" s="20">
        <f>1000000000-AV63-AW63-AX63-AY63-AZ63</f>
        <v/>
      </c>
      <c r="BB63" s="21" t="n">
        <v>244.9</v>
      </c>
      <c r="BC63" s="21">
        <f>BA63/1000000-BB63</f>
        <v/>
      </c>
      <c r="BD63" s="22">
        <f>BA63*23.38</f>
        <v/>
      </c>
    </row>
    <row r="64">
      <c r="A64" s="10" t="n">
        <v>45686</v>
      </c>
      <c r="B64" s="11" t="n">
        <v>7487288904.763079</v>
      </c>
      <c r="C64" s="11" t="n"/>
      <c r="D64" s="11" t="n">
        <v>283645800</v>
      </c>
      <c r="E64" s="11" t="n"/>
      <c r="N64" s="11" t="n"/>
      <c r="O64" s="11" t="n">
        <v>20016</v>
      </c>
      <c r="P64" s="11" t="n"/>
      <c r="R64" s="12" t="n">
        <v>0.03</v>
      </c>
      <c r="V64" s="11" t="n"/>
      <c r="W64" s="11" t="n"/>
      <c r="Y64" s="11" t="n"/>
      <c r="AE64" s="11" t="n"/>
      <c r="AG64" s="13">
        <f>IF(OR(B64="",B64=0,M64=""),"",M64/B64*10000)</f>
        <v/>
      </c>
      <c r="AH64" s="13">
        <f>IF(OR(C64="",C64=0),"",N64/C64*10000)</f>
        <v/>
      </c>
      <c r="AI64" s="13">
        <f>IF(OR(D64="",D64=0),"",O64/D64*10000)</f>
        <v/>
      </c>
      <c r="AJ64" s="11" t="n"/>
      <c r="AK64" s="11" t="n"/>
      <c r="AN64" s="14" t="n"/>
      <c r="AO64" s="15" t="n"/>
      <c r="AP64" s="14" t="n">
        <v>13830230.61</v>
      </c>
      <c r="AQ64" s="14" t="n">
        <v>26534.2908</v>
      </c>
      <c r="AR64" s="14" t="n">
        <v>925.2888</v>
      </c>
      <c r="AS64" s="14" t="n"/>
      <c r="AT64" s="16" t="n">
        <v>427.4932053012698</v>
      </c>
      <c r="AU64" s="17" t="n">
        <v>0.02156435</v>
      </c>
      <c r="AV64" s="14" t="n">
        <v>427246963.4537</v>
      </c>
      <c r="AW64" s="18" t="n">
        <v>60100000</v>
      </c>
      <c r="AX64" s="19" t="n">
        <v>13830230.61</v>
      </c>
      <c r="AY64" s="18" t="n">
        <v>3100000</v>
      </c>
      <c r="AZ64" s="18">
        <f>1000000000-999860584.7895</f>
        <v/>
      </c>
      <c r="BA64" s="20">
        <f>1000000000-AV64-AW64-AX64-AY64-AZ64</f>
        <v/>
      </c>
      <c r="BB64" s="21" t="n">
        <v>244.9</v>
      </c>
      <c r="BC64" s="21">
        <f>BA64/1000000-BB64</f>
        <v/>
      </c>
      <c r="BD64" s="22">
        <f>BA64*22.28</f>
        <v/>
      </c>
    </row>
    <row r="65">
      <c r="A65" s="10" t="n">
        <v>45687</v>
      </c>
      <c r="B65" s="11" t="n">
        <v>5319626690.767007</v>
      </c>
      <c r="C65" s="11" t="n"/>
      <c r="D65" s="11" t="n">
        <v>212136745</v>
      </c>
      <c r="E65" s="11" t="n"/>
      <c r="N65" s="11" t="n"/>
      <c r="O65" s="11" t="n">
        <v>38508</v>
      </c>
      <c r="P65" s="11" t="n"/>
      <c r="R65" s="12" t="n">
        <v>0.03</v>
      </c>
      <c r="V65" s="11" t="n"/>
      <c r="W65" s="11" t="n"/>
      <c r="Y65" s="11" t="n"/>
      <c r="AE65" s="11" t="n"/>
      <c r="AG65" s="13">
        <f>IF(OR(B65="",B65=0,M65=""),"",M65/B65*10000)</f>
        <v/>
      </c>
      <c r="AH65" s="13">
        <f>IF(OR(C65="",C65=0),"",N65/C65*10000)</f>
        <v/>
      </c>
      <c r="AI65" s="13">
        <f>IF(OR(D65="",D65=0),"",O65/D65*10000)</f>
        <v/>
      </c>
      <c r="AJ65" s="11" t="n"/>
      <c r="AK65" s="11" t="n"/>
      <c r="AN65" s="14" t="n"/>
      <c r="AO65" s="15" t="n"/>
      <c r="AP65" s="14" t="n">
        <v>13916940.96</v>
      </c>
      <c r="AQ65" s="14" t="n">
        <v>26544.8787</v>
      </c>
      <c r="AR65" s="14" t="n">
        <v>730.3546</v>
      </c>
      <c r="AS65" s="14" t="n"/>
      <c r="AT65" s="16" t="n">
        <v>427.6858064720014</v>
      </c>
      <c r="AU65" s="17" t="n">
        <v>0.02155955</v>
      </c>
      <c r="AV65" s="14" t="n">
        <v>427220418.5751</v>
      </c>
      <c r="AW65" s="18" t="n">
        <v>60100000</v>
      </c>
      <c r="AX65" s="19" t="n">
        <v>13916940.96</v>
      </c>
      <c r="AY65" s="18" t="n">
        <v>3100000</v>
      </c>
      <c r="AZ65" s="18">
        <f>1000000000-999859854.4349</f>
        <v/>
      </c>
      <c r="BA65" s="20">
        <f>1000000000-AV65-AW65-AX65-AY65-AZ65</f>
        <v/>
      </c>
      <c r="BB65" s="21" t="n">
        <v>244.9</v>
      </c>
      <c r="BC65" s="21">
        <f>BA65/1000000-BB65</f>
        <v/>
      </c>
      <c r="BD65" s="22">
        <f>BA65*23.75</f>
        <v/>
      </c>
    </row>
    <row r="66">
      <c r="A66" s="10" t="n">
        <v>45688</v>
      </c>
      <c r="B66" s="11" t="n">
        <v>7089116487.05554</v>
      </c>
      <c r="C66" s="11" t="n"/>
      <c r="D66" s="11" t="n">
        <v>263781612</v>
      </c>
      <c r="E66" s="11" t="n"/>
      <c r="N66" s="11" t="n"/>
      <c r="O66" s="11" t="n">
        <v>30778</v>
      </c>
      <c r="P66" s="11" t="n"/>
      <c r="R66" s="12" t="n">
        <v>0.03</v>
      </c>
      <c r="V66" s="11" t="n"/>
      <c r="W66" s="11" t="n"/>
      <c r="Y66" s="11" t="n"/>
      <c r="AE66" s="11" t="n"/>
      <c r="AG66" s="13">
        <f>IF(OR(B66="",B66=0,M66=""),"",M66/B66*10000)</f>
        <v/>
      </c>
      <c r="AH66" s="13">
        <f>IF(OR(C66="",C66=0),"",N66/C66*10000)</f>
        <v/>
      </c>
      <c r="AI66" s="13">
        <f>IF(OR(D66="",D66=0),"",O66/D66*10000)</f>
        <v/>
      </c>
      <c r="AJ66" s="11" t="n"/>
      <c r="AK66" s="11" t="n"/>
      <c r="AN66" s="14" t="n"/>
      <c r="AO66" s="15" t="n"/>
      <c r="AP66" s="14" t="n">
        <v>13956054.86</v>
      </c>
      <c r="AQ66" s="14" t="n">
        <v>32252.7151</v>
      </c>
      <c r="AR66" s="14" t="n">
        <v>1669.5925</v>
      </c>
      <c r="AS66" s="14" t="n"/>
      <c r="AT66" s="16" t="n">
        <v>427.8202923439254</v>
      </c>
      <c r="AU66" s="17" t="n">
        <v>0.0215562</v>
      </c>
      <c r="AV66" s="14" t="n">
        <v>427188165.86</v>
      </c>
      <c r="AW66" s="18" t="n">
        <v>60100000</v>
      </c>
      <c r="AX66" s="19" t="n">
        <v>13956054.86</v>
      </c>
      <c r="AY66" s="18" t="n">
        <v>3100000</v>
      </c>
      <c r="AZ66" s="18">
        <f>1000000000-999858184.8425</f>
        <v/>
      </c>
      <c r="BA66" s="20">
        <f>1000000000-AV66-AW66-AX66-AY66-AZ66</f>
        <v/>
      </c>
      <c r="BB66" s="21" t="n">
        <v>244.9</v>
      </c>
      <c r="BC66" s="21">
        <f>BA66/1000000-BB66</f>
        <v/>
      </c>
      <c r="BD66" s="22">
        <f>BA66*26.19</f>
        <v/>
      </c>
    </row>
    <row r="67">
      <c r="A67" s="10" t="n">
        <v>45689</v>
      </c>
      <c r="B67" s="11" t="n">
        <v>5335486362.652503</v>
      </c>
      <c r="C67" s="11" t="n"/>
      <c r="D67" s="11" t="n">
        <v>305083845</v>
      </c>
      <c r="E67" s="11" t="n"/>
      <c r="N67" s="11" t="n"/>
      <c r="O67" s="11" t="n">
        <v>40422</v>
      </c>
      <c r="P67" s="11" t="n"/>
      <c r="R67" s="12" t="n">
        <v>0.03</v>
      </c>
      <c r="V67" s="11" t="n"/>
      <c r="W67" s="11" t="n"/>
      <c r="Y67" s="11" t="n"/>
      <c r="AE67" s="11" t="n"/>
      <c r="AG67" s="13">
        <f>IF(OR(B67="",B67=0,M67=""),"",M67/B67*10000)</f>
        <v/>
      </c>
      <c r="AH67" s="13">
        <f>IF(OR(C67="",C67=0),"",N67/C67*10000)</f>
        <v/>
      </c>
      <c r="AI67" s="13">
        <f>IF(OR(D67="",D67=0),"",O67/D67*10000)</f>
        <v/>
      </c>
      <c r="AJ67" s="11" t="n"/>
      <c r="AK67" s="11" t="n"/>
      <c r="AN67" s="14" t="n"/>
      <c r="AO67" s="15" t="n"/>
      <c r="AP67" s="14" t="n">
        <v>14024319.17</v>
      </c>
      <c r="AQ67" s="14" t="n">
        <v>20850.6254</v>
      </c>
      <c r="AR67" s="14" t="n">
        <v>797.4358</v>
      </c>
      <c r="AS67" s="14" t="n"/>
      <c r="AT67" s="16" t="n">
        <v>427.5555629894743</v>
      </c>
      <c r="AU67" s="17" t="n">
        <v>0.02156278999999999</v>
      </c>
      <c r="AV67" s="14" t="n">
        <v>427167315.2346</v>
      </c>
      <c r="AW67" s="18" t="n">
        <v>60100000</v>
      </c>
      <c r="AX67" s="19" t="n">
        <v>14024319.17</v>
      </c>
      <c r="AY67" s="18" t="n">
        <v>3100000</v>
      </c>
      <c r="AZ67" s="18">
        <f>1000000000-999857387.4067</f>
        <v/>
      </c>
      <c r="BA67" s="20">
        <f>1000000000-AV67-AW67-AX67-AY67-AZ67</f>
        <v/>
      </c>
      <c r="BB67" s="21" t="n">
        <v>244.9</v>
      </c>
      <c r="BC67" s="21">
        <f>BA67/1000000-BB67</f>
        <v/>
      </c>
      <c r="BD67" s="22">
        <f>BA67*26.92</f>
        <v/>
      </c>
    </row>
    <row r="68">
      <c r="A68" s="10" t="n">
        <v>45690</v>
      </c>
      <c r="B68" s="11" t="n">
        <v>9044821753.934437</v>
      </c>
      <c r="C68" s="11" t="n"/>
      <c r="D68" s="11" t="n">
        <v>443687078</v>
      </c>
      <c r="E68" s="11" t="n"/>
      <c r="N68" s="11" t="n"/>
      <c r="O68" s="11" t="n">
        <v>44496</v>
      </c>
      <c r="P68" s="11" t="n"/>
      <c r="R68" s="12" t="n">
        <v>0.03</v>
      </c>
      <c r="V68" s="11" t="n"/>
      <c r="W68" s="11" t="n"/>
      <c r="Y68" s="11" t="n"/>
      <c r="AE68" s="11" t="n"/>
      <c r="AG68" s="13">
        <f>IF(OR(B68="",B68=0,M68=""),"",M68/B68*10000)</f>
        <v/>
      </c>
      <c r="AH68" s="13">
        <f>IF(OR(C68="",C68=0),"",N68/C68*10000)</f>
        <v/>
      </c>
      <c r="AI68" s="13">
        <f>IF(OR(D68="",D68=0),"",O68/D68*10000)</f>
        <v/>
      </c>
      <c r="AJ68" s="11" t="n"/>
      <c r="AK68" s="11" t="n"/>
      <c r="AN68" s="14" t="n"/>
      <c r="AO68" s="15" t="n"/>
      <c r="AP68" s="14" t="n">
        <v>14089847.72</v>
      </c>
      <c r="AQ68" s="14" t="n">
        <v>26556.9092</v>
      </c>
      <c r="AR68" s="14" t="n">
        <v>1144.1562</v>
      </c>
      <c r="AS68" s="14" t="n"/>
      <c r="AT68" s="16" t="n">
        <v>428.0266902302996</v>
      </c>
      <c r="AU68" s="17" t="n">
        <v>0.02155106</v>
      </c>
      <c r="AV68" s="14" t="n">
        <v>427140758.3254</v>
      </c>
      <c r="AW68" s="18" t="n">
        <v>60100000</v>
      </c>
      <c r="AX68" s="19" t="n">
        <v>14089847.72</v>
      </c>
      <c r="AY68" s="18" t="n">
        <v>3100000</v>
      </c>
      <c r="AZ68" s="18">
        <f>1000000000-999856243.2505</f>
        <v/>
      </c>
      <c r="BA68" s="20">
        <f>1000000000-AV68-AW68-AX68-AY68-AZ68</f>
        <v/>
      </c>
      <c r="BB68" s="21" t="n">
        <v>244.9</v>
      </c>
      <c r="BC68" s="21">
        <f>BA68/1000000-BB68</f>
        <v/>
      </c>
      <c r="BD68" s="22">
        <f>BA68*23.17</f>
        <v/>
      </c>
    </row>
    <row r="69">
      <c r="A69" s="10" t="n">
        <v>45691</v>
      </c>
      <c r="B69" s="11" t="n">
        <v>18072547242.34139</v>
      </c>
      <c r="C69" s="11" t="n"/>
      <c r="D69" s="11" t="n">
        <v>263016289</v>
      </c>
      <c r="E69" s="11" t="n"/>
      <c r="N69" s="11" t="n"/>
      <c r="O69" s="11" t="n">
        <v>63480</v>
      </c>
      <c r="P69" s="11" t="n"/>
      <c r="R69" s="12" t="n">
        <v>0.03</v>
      </c>
      <c r="V69" s="11" t="n"/>
      <c r="W69" s="11" t="n"/>
      <c r="Y69" s="11" t="n"/>
      <c r="AE69" s="11" t="n"/>
      <c r="AG69" s="13">
        <f>IF(OR(B69="",B69=0,M69=""),"",M69/B69*10000)</f>
        <v/>
      </c>
      <c r="AH69" s="13">
        <f>IF(OR(C69="",C69=0),"",N69/C69*10000)</f>
        <v/>
      </c>
      <c r="AI69" s="13">
        <f>IF(OR(D69="",D69=0),"",O69/D69*10000)</f>
        <v/>
      </c>
      <c r="AJ69" s="11" t="n"/>
      <c r="AK69" s="11" t="n"/>
      <c r="AN69" s="14" t="n"/>
      <c r="AO69" s="15" t="n"/>
      <c r="AP69" s="14" t="n">
        <v>14260320.18</v>
      </c>
      <c r="AQ69" s="14" t="n">
        <v>26546.4187</v>
      </c>
      <c r="AR69" s="14" t="n">
        <v>1529.404</v>
      </c>
      <c r="AS69" s="14" t="n"/>
      <c r="AT69" s="16" t="n">
        <v>427.3882198126993</v>
      </c>
      <c r="AU69" s="17" t="n">
        <v>0.02156696</v>
      </c>
      <c r="AV69" s="14" t="n">
        <v>427114211.9067</v>
      </c>
      <c r="AW69" s="18" t="n">
        <v>60100000</v>
      </c>
      <c r="AX69" s="19" t="n">
        <v>14260320.18</v>
      </c>
      <c r="AY69" s="18" t="n">
        <v>3100000</v>
      </c>
      <c r="AZ69" s="18">
        <f>1000000000-999854713.8465</f>
        <v/>
      </c>
      <c r="BA69" s="20">
        <f>1000000000-AV69-AW69-AX69-AY69-AZ69</f>
        <v/>
      </c>
      <c r="BB69" s="21" t="n">
        <v>244.9</v>
      </c>
      <c r="BC69" s="21">
        <f>BA69/1000000-BB69</f>
        <v/>
      </c>
      <c r="BD69" s="22">
        <f>BA69*22.32</f>
        <v/>
      </c>
    </row>
    <row r="70">
      <c r="A70" s="10" t="n">
        <v>45692</v>
      </c>
      <c r="B70" s="11" t="n">
        <v>10231406265.73442</v>
      </c>
      <c r="C70" s="11" t="n"/>
      <c r="D70" s="11" t="n">
        <v>208560749</v>
      </c>
      <c r="E70" s="11" t="n"/>
      <c r="N70" s="11" t="n"/>
      <c r="O70" s="11" t="n">
        <v>37612</v>
      </c>
      <c r="P70" s="11" t="n"/>
      <c r="R70" s="12" t="n">
        <v>0.03</v>
      </c>
      <c r="V70" s="11" t="n"/>
      <c r="W70" s="11" t="n"/>
      <c r="Y70" s="11" t="n"/>
      <c r="AE70" s="11" t="n"/>
      <c r="AG70" s="13">
        <f>IF(OR(B70="",B70=0,M70=""),"",M70/B70*10000)</f>
        <v/>
      </c>
      <c r="AH70" s="13">
        <f>IF(OR(C70="",C70=0),"",N70/C70*10000)</f>
        <v/>
      </c>
      <c r="AI70" s="13">
        <f>IF(OR(D70="",D70=0),"",O70/D70*10000)</f>
        <v/>
      </c>
      <c r="AJ70" s="11" t="n"/>
      <c r="AK70" s="11" t="n"/>
      <c r="AN70" s="14" t="n"/>
      <c r="AO70" s="15" t="n"/>
      <c r="AP70" s="14" t="n">
        <v>14367346.74</v>
      </c>
      <c r="AQ70" s="14" t="n">
        <v>26535.1684</v>
      </c>
      <c r="AR70" s="14" t="n">
        <v>2737.9562</v>
      </c>
      <c r="AS70" s="14" t="n"/>
      <c r="AT70" s="16" t="n">
        <v>427.1777355764474</v>
      </c>
      <c r="AU70" s="17" t="n">
        <v>0.02157222</v>
      </c>
      <c r="AV70" s="14" t="n">
        <v>427087676.7383</v>
      </c>
      <c r="AW70" s="18" t="n">
        <v>60100000</v>
      </c>
      <c r="AX70" s="19" t="n">
        <v>14367346.74</v>
      </c>
      <c r="AY70" s="18" t="n">
        <v>3100000</v>
      </c>
      <c r="AZ70" s="18">
        <f>1000000000-999851975.8903</f>
        <v/>
      </c>
      <c r="BA70" s="20">
        <f>1000000000-AV70-AW70-AX70-AY70-AZ70</f>
        <v/>
      </c>
      <c r="BB70" s="21" t="n">
        <v>244.9</v>
      </c>
      <c r="BC70" s="21">
        <f>BA70/1000000-BB70</f>
        <v/>
      </c>
      <c r="BD70" s="22">
        <f>BA70*25.19</f>
        <v/>
      </c>
    </row>
    <row r="71">
      <c r="A71" s="10" t="n">
        <v>45693</v>
      </c>
      <c r="B71" s="11" t="n">
        <v>5694608355.764648</v>
      </c>
      <c r="C71" s="11" t="n"/>
      <c r="D71" s="11" t="n">
        <v>168626713</v>
      </c>
      <c r="E71" s="11" t="n"/>
      <c r="N71" s="11" t="n"/>
      <c r="O71" s="11" t="n">
        <v>28216</v>
      </c>
      <c r="P71" s="11" t="n"/>
      <c r="R71" s="12" t="n">
        <v>0.03</v>
      </c>
      <c r="V71" s="11" t="n"/>
      <c r="W71" s="11" t="n"/>
      <c r="Y71" s="11" t="n"/>
      <c r="AE71" s="11" t="n"/>
      <c r="AG71" s="13">
        <f>IF(OR(B71="",B71=0,M71=""),"",M71/B71*10000)</f>
        <v/>
      </c>
      <c r="AH71" s="13">
        <f>IF(OR(C71="",C71=0),"",N71/C71*10000)</f>
        <v/>
      </c>
      <c r="AI71" s="13">
        <f>IF(OR(D71="",D71=0),"",O71/D71*10000)</f>
        <v/>
      </c>
      <c r="AJ71" s="11" t="n"/>
      <c r="AK71" s="11" t="n"/>
      <c r="AN71" s="14" t="n"/>
      <c r="AO71" s="15" t="n"/>
      <c r="AP71" s="14" t="n">
        <v>14446984.89</v>
      </c>
      <c r="AQ71" s="14" t="n">
        <v>26543.4731</v>
      </c>
      <c r="AR71" s="14" t="n">
        <v>1264.3163</v>
      </c>
      <c r="AS71" s="14" t="n"/>
      <c r="AT71" s="16" t="n">
        <v>427.627674434131</v>
      </c>
      <c r="AU71" s="17" t="n">
        <v>0.021561</v>
      </c>
      <c r="AV71" s="14" t="n">
        <v>427061133.2652</v>
      </c>
      <c r="AW71" s="18" t="n">
        <v>60100000</v>
      </c>
      <c r="AX71" s="19" t="n">
        <v>14446984.89</v>
      </c>
      <c r="AY71" s="18" t="n">
        <v>3100000</v>
      </c>
      <c r="AZ71" s="18">
        <f>1000000000-999850711.5739</f>
        <v/>
      </c>
      <c r="BA71" s="20">
        <f>1000000000-AV71-AW71-AX71-AY71-AZ71</f>
        <v/>
      </c>
      <c r="BB71" s="21" t="n">
        <v>244.9</v>
      </c>
      <c r="BC71" s="21">
        <f>BA71/1000000-BB71</f>
        <v/>
      </c>
      <c r="BD71" s="22">
        <f>BA71*25.14</f>
        <v/>
      </c>
    </row>
    <row r="72">
      <c r="A72" s="10" t="n">
        <v>45694</v>
      </c>
      <c r="B72" s="11" t="n">
        <v>5904659695.476216</v>
      </c>
      <c r="C72" s="11" t="n"/>
      <c r="D72" s="11" t="n">
        <v>178176120</v>
      </c>
      <c r="E72" s="11" t="n"/>
      <c r="N72" s="11" t="n"/>
      <c r="O72" s="11" t="n">
        <v>24592</v>
      </c>
      <c r="P72" s="11" t="n"/>
      <c r="R72" s="12" t="n">
        <v>0.03</v>
      </c>
      <c r="V72" s="11" t="n"/>
      <c r="W72" s="11" t="n"/>
      <c r="Y72" s="11" t="n"/>
      <c r="AE72" s="11" t="n"/>
      <c r="AG72" s="13">
        <f>IF(OR(B72="",B72=0,M72=""),"",M72/B72*10000)</f>
        <v/>
      </c>
      <c r="AH72" s="13">
        <f>IF(OR(C72="",C72=0),"",N72/C72*10000)</f>
        <v/>
      </c>
      <c r="AI72" s="13">
        <f>IF(OR(D72="",D72=0),"",O72/D72*10000)</f>
        <v/>
      </c>
      <c r="AJ72" s="11" t="n"/>
      <c r="AK72" s="11" t="n"/>
      <c r="AN72" s="14" t="n"/>
      <c r="AO72" s="15" t="n"/>
      <c r="AP72" s="14" t="n">
        <v>14496740.88</v>
      </c>
      <c r="AQ72" s="14" t="n">
        <v>26548.785</v>
      </c>
      <c r="AR72" s="14" t="n">
        <v>989.8233</v>
      </c>
      <c r="AS72" s="14" t="n"/>
      <c r="AT72" s="16" t="n">
        <v>427.5718533495597</v>
      </c>
      <c r="AU72" s="17" t="n">
        <v>0.02156239</v>
      </c>
      <c r="AV72" s="14" t="n">
        <v>427034584.4801</v>
      </c>
      <c r="AW72" s="18" t="n">
        <v>60100000</v>
      </c>
      <c r="AX72" s="19" t="n">
        <v>14496740.88</v>
      </c>
      <c r="AY72" s="18" t="n">
        <v>3100000</v>
      </c>
      <c r="AZ72" s="18">
        <f>1000000000-999849721.7506</f>
        <v/>
      </c>
      <c r="BA72" s="20">
        <f>1000000000-AV72-AW72-AX72-AY72-AZ72</f>
        <v/>
      </c>
      <c r="BB72" s="21" t="n">
        <v>244.9</v>
      </c>
      <c r="BC72" s="21">
        <f>BA72/1000000-BB72</f>
        <v/>
      </c>
      <c r="BD72" s="22">
        <f>BA72*24.75</f>
        <v/>
      </c>
    </row>
    <row r="73">
      <c r="A73" s="10" t="n">
        <v>45695</v>
      </c>
      <c r="B73" s="11" t="n">
        <v>6189394336.936541</v>
      </c>
      <c r="C73" s="11" t="n"/>
      <c r="D73" s="11" t="n">
        <v>86858735</v>
      </c>
      <c r="E73" s="11" t="n"/>
      <c r="N73" s="11" t="n"/>
      <c r="O73" s="11" t="n">
        <v>26352</v>
      </c>
      <c r="P73" s="11" t="n"/>
      <c r="R73" s="12" t="n">
        <v>0.03</v>
      </c>
      <c r="V73" s="11" t="n"/>
      <c r="W73" s="11" t="n"/>
      <c r="Y73" s="11" t="n"/>
      <c r="AE73" s="11" t="n"/>
      <c r="AG73" s="13">
        <f>IF(OR(B73="",B73=0,M73=""),"",M73/B73*10000)</f>
        <v/>
      </c>
      <c r="AH73" s="13">
        <f>IF(OR(C73="",C73=0),"",N73/C73*10000)</f>
        <v/>
      </c>
      <c r="AI73" s="13">
        <f>IF(OR(D73="",D73=0),"",O73/D73*10000)</f>
        <v/>
      </c>
      <c r="AJ73" s="11" t="n"/>
      <c r="AK73" s="11" t="n"/>
      <c r="AN73" s="14" t="n"/>
      <c r="AO73" s="15" t="n"/>
      <c r="AP73" s="14" t="n">
        <v>14557024.39</v>
      </c>
      <c r="AQ73" s="14" t="n">
        <v>26612.2715</v>
      </c>
      <c r="AR73" s="14" t="n">
        <v>827.2076</v>
      </c>
      <c r="AS73" s="14" t="n"/>
      <c r="AT73" s="16" t="n">
        <v>429.4603440705282</v>
      </c>
      <c r="AU73" s="17" t="n">
        <v>0.02151548</v>
      </c>
      <c r="AV73" s="14" t="n">
        <v>427007972.2087</v>
      </c>
      <c r="AW73" s="18" t="n">
        <v>60100000</v>
      </c>
      <c r="AX73" s="19" t="n">
        <v>14557024.39</v>
      </c>
      <c r="AY73" s="18" t="n">
        <v>3100000</v>
      </c>
      <c r="AZ73" s="18">
        <f>1000000000-999848894.5431</f>
        <v/>
      </c>
      <c r="BA73" s="20">
        <f>1000000000-AV73-AW73-AX73-AY73-AZ73</f>
        <v/>
      </c>
      <c r="BB73" s="21" t="n">
        <v>244.9</v>
      </c>
      <c r="BC73" s="21">
        <f>BA73/1000000-BB73</f>
        <v/>
      </c>
      <c r="BD73" s="22">
        <f>BA73*23.83</f>
        <v/>
      </c>
    </row>
    <row r="74">
      <c r="A74" s="10" t="n">
        <v>45696</v>
      </c>
      <c r="B74" s="11" t="n">
        <v>3006719558.718504</v>
      </c>
      <c r="C74" s="11" t="n"/>
      <c r="D74" s="11" t="n">
        <v>75118825</v>
      </c>
      <c r="E74" s="11" t="n"/>
      <c r="N74" s="11" t="n"/>
      <c r="O74" s="11" t="n">
        <v>12064</v>
      </c>
      <c r="P74" s="11" t="n"/>
      <c r="R74" s="12" t="n">
        <v>0.03</v>
      </c>
      <c r="V74" s="11" t="n"/>
      <c r="W74" s="11" t="n"/>
      <c r="Y74" s="11" t="n"/>
      <c r="AE74" s="11" t="n"/>
      <c r="AG74" s="13">
        <f>IF(OR(B74="",B74=0,M74=""),"",M74/B74*10000)</f>
        <v/>
      </c>
      <c r="AH74" s="13">
        <f>IF(OR(C74="",C74=0),"",N74/C74*10000)</f>
        <v/>
      </c>
      <c r="AI74" s="13">
        <f>IF(OR(D74="",D74=0),"",O74/D74*10000)</f>
        <v/>
      </c>
      <c r="AJ74" s="11" t="n"/>
      <c r="AK74" s="11" t="n"/>
      <c r="AN74" s="14" t="n"/>
      <c r="AO74" s="15" t="n"/>
      <c r="AP74" s="14" t="n">
        <v>14613413.38</v>
      </c>
      <c r="AQ74" s="14" t="n">
        <v>26577.9217</v>
      </c>
      <c r="AR74" s="14" t="n">
        <v>996.1893</v>
      </c>
      <c r="AS74" s="14" t="n"/>
      <c r="AT74" s="16" t="n">
        <v>428.2843608677948</v>
      </c>
      <c r="AU74" s="17" t="n">
        <v>0.02154465</v>
      </c>
      <c r="AV74" s="14" t="n">
        <v>426981394.2869</v>
      </c>
      <c r="AW74" s="18" t="n">
        <v>60100000</v>
      </c>
      <c r="AX74" s="19" t="n">
        <v>14613413.38</v>
      </c>
      <c r="AY74" s="18" t="n">
        <v>3100000</v>
      </c>
      <c r="AZ74" s="18">
        <f>1000000000-999847898.3538</f>
        <v/>
      </c>
      <c r="BA74" s="20">
        <f>1000000000-AV74-AW74-AX74-AY74-AZ74</f>
        <v/>
      </c>
      <c r="BB74" s="21" t="n">
        <v>244.9</v>
      </c>
      <c r="BC74" s="21">
        <f>BA74/1000000-BB74</f>
        <v/>
      </c>
      <c r="BD74" s="22">
        <f>BA74*22.83</f>
        <v/>
      </c>
    </row>
    <row r="75">
      <c r="A75" s="10" t="n">
        <v>45697</v>
      </c>
      <c r="B75" s="11" t="n">
        <v>3754601891.222579</v>
      </c>
      <c r="C75" s="11" t="n"/>
      <c r="D75" s="11" t="n">
        <v>91079022</v>
      </c>
      <c r="E75" s="11" t="n"/>
      <c r="N75" s="11" t="n"/>
      <c r="O75" s="11" t="n">
        <v>10683</v>
      </c>
      <c r="P75" s="11" t="n"/>
      <c r="R75" s="12" t="n">
        <v>0.03</v>
      </c>
      <c r="V75" s="11" t="n"/>
      <c r="W75" s="11" t="n"/>
      <c r="Y75" s="11" t="n"/>
      <c r="AE75" s="11" t="n"/>
      <c r="AG75" s="13">
        <f>IF(OR(B75="",B75=0,M75=""),"",M75/B75*10000)</f>
        <v/>
      </c>
      <c r="AH75" s="13">
        <f>IF(OR(C75="",C75=0),"",N75/C75*10000)</f>
        <v/>
      </c>
      <c r="AI75" s="13">
        <f>IF(OR(D75="",D75=0),"",O75/D75*10000)</f>
        <v/>
      </c>
      <c r="AJ75" s="11" t="n"/>
      <c r="AK75" s="11" t="n"/>
      <c r="AN75" s="14" t="n"/>
      <c r="AO75" s="15" t="n"/>
      <c r="AP75" s="14" t="n">
        <v>14643949.31</v>
      </c>
      <c r="AQ75" s="14" t="n">
        <v>26528.1534</v>
      </c>
      <c r="AR75" s="14" t="n">
        <v>470.7789</v>
      </c>
      <c r="AS75" s="14" t="n"/>
      <c r="AT75" s="16" t="n">
        <v>426.8549829063564</v>
      </c>
      <c r="AU75" s="17" t="n">
        <v>0.02158028</v>
      </c>
      <c r="AV75" s="14" t="n">
        <v>426954866.1336</v>
      </c>
      <c r="AW75" s="18" t="n">
        <v>60100000</v>
      </c>
      <c r="AX75" s="19" t="n">
        <v>14643949.31</v>
      </c>
      <c r="AY75" s="18" t="n">
        <v>3100000</v>
      </c>
      <c r="AZ75" s="18">
        <f>1000000000-999847427.5749</f>
        <v/>
      </c>
      <c r="BA75" s="20">
        <f>1000000000-AV75-AW75-AX75-AY75-AZ75</f>
        <v/>
      </c>
      <c r="BB75" s="21" t="n">
        <v>244.9</v>
      </c>
      <c r="BC75" s="21">
        <f>BA75/1000000-BB75</f>
        <v/>
      </c>
      <c r="BD75" s="22">
        <f>BA75*23.4</f>
        <v/>
      </c>
    </row>
    <row r="76">
      <c r="A76" s="10" t="n">
        <v>45698</v>
      </c>
      <c r="B76" s="11" t="n">
        <v>5178632081.239137</v>
      </c>
      <c r="C76" s="11" t="n"/>
      <c r="D76" s="11" t="n">
        <v>107918816</v>
      </c>
      <c r="E76" s="11" t="n"/>
      <c r="N76" s="11" t="n"/>
      <c r="O76" s="11" t="n">
        <v>11999</v>
      </c>
      <c r="P76" s="11" t="n"/>
      <c r="R76" s="12" t="n">
        <v>0.03</v>
      </c>
      <c r="V76" s="11" t="n"/>
      <c r="W76" s="11" t="n"/>
      <c r="Y76" s="11" t="n"/>
      <c r="AE76" s="11" t="n"/>
      <c r="AG76" s="13">
        <f>IF(OR(B76="",B76=0,M76=""),"",M76/B76*10000)</f>
        <v/>
      </c>
      <c r="AH76" s="13">
        <f>IF(OR(C76="",C76=0),"",N76/C76*10000)</f>
        <v/>
      </c>
      <c r="AI76" s="13">
        <f>IF(OR(D76="",D76=0),"",O76/D76*10000)</f>
        <v/>
      </c>
      <c r="AJ76" s="11" t="n"/>
      <c r="AK76" s="11" t="n"/>
      <c r="AN76" s="14" t="n"/>
      <c r="AO76" s="15" t="n"/>
      <c r="AP76" s="14" t="n">
        <v>14699099.34</v>
      </c>
      <c r="AQ76" s="14" t="n">
        <v>26525.1988</v>
      </c>
      <c r="AR76" s="14" t="n">
        <v>358.1593</v>
      </c>
      <c r="AS76" s="14" t="n"/>
      <c r="AT76" s="16" t="n">
        <v>426.9115050826884</v>
      </c>
      <c r="AU76" s="17" t="n">
        <v>0.02157886</v>
      </c>
      <c r="AV76" s="14" t="n">
        <v>426928340.9347</v>
      </c>
      <c r="AW76" s="18" t="n">
        <v>60100000</v>
      </c>
      <c r="AX76" s="19" t="n">
        <v>14699099.34</v>
      </c>
      <c r="AY76" s="18" t="n">
        <v>3100000</v>
      </c>
      <c r="AZ76" s="18">
        <f>1000000000-999847069.4156</f>
        <v/>
      </c>
      <c r="BA76" s="20">
        <f>1000000000-AV76-AW76-AX76-AY76-AZ76</f>
        <v/>
      </c>
      <c r="BB76" s="21" t="n">
        <v>244.9</v>
      </c>
      <c r="BC76" s="21">
        <f>BA76/1000000-BB76</f>
        <v/>
      </c>
      <c r="BD76" s="22">
        <f>BA76*22.98</f>
        <v/>
      </c>
    </row>
    <row r="77">
      <c r="A77" s="10" t="n">
        <v>45699</v>
      </c>
      <c r="B77" s="11" t="n">
        <v>6593863802.849255</v>
      </c>
      <c r="C77" s="11" t="n"/>
      <c r="D77" s="11" t="n">
        <v>142810624</v>
      </c>
      <c r="E77" s="11" t="n"/>
      <c r="N77" s="11" t="n"/>
      <c r="O77" s="11" t="n">
        <v>15656</v>
      </c>
      <c r="P77" s="11" t="n"/>
      <c r="R77" s="12" t="n">
        <v>0.03</v>
      </c>
      <c r="V77" s="11" t="n"/>
      <c r="W77" s="11" t="n"/>
      <c r="Y77" s="11" t="n"/>
      <c r="AE77" s="11" t="n"/>
      <c r="AG77" s="13">
        <f>IF(OR(B77="",B77=0,M77=""),"",M77/B77*10000)</f>
        <v/>
      </c>
      <c r="AH77" s="13">
        <f>IF(OR(C77="",C77=0),"",N77/C77*10000)</f>
        <v/>
      </c>
      <c r="AI77" s="13">
        <f>IF(OR(D77="",D77=0),"",O77/D77*10000)</f>
        <v/>
      </c>
      <c r="AJ77" s="11" t="n"/>
      <c r="AK77" s="11" t="n"/>
      <c r="AN77" s="14" t="n"/>
      <c r="AO77" s="15" t="n"/>
      <c r="AP77" s="14" t="n">
        <v>14742921.64</v>
      </c>
      <c r="AQ77" s="14" t="n">
        <v>26523.3197</v>
      </c>
      <c r="AR77" s="14" t="n">
        <v>521.8924</v>
      </c>
      <c r="AS77" s="14" t="n"/>
      <c r="AT77" s="16" t="n">
        <v>426.8089185667563</v>
      </c>
      <c r="AU77" s="17" t="n">
        <v>0.02158143</v>
      </c>
      <c r="AV77" s="14" t="n">
        <v>426901817.6151</v>
      </c>
      <c r="AW77" s="18" t="n">
        <v>60100000</v>
      </c>
      <c r="AX77" s="19" t="n">
        <v>14742921.64</v>
      </c>
      <c r="AY77" s="18" t="n">
        <v>3100000</v>
      </c>
      <c r="AZ77" s="18">
        <f>1000000000-999846547.5232</f>
        <v/>
      </c>
      <c r="BA77" s="20">
        <f>1000000000-AV77-AW77-AX77-AY77-AZ77</f>
        <v/>
      </c>
      <c r="BB77" s="21" t="n">
        <v>244.9</v>
      </c>
      <c r="BC77" s="21">
        <f>BA77/1000000-BB77</f>
        <v/>
      </c>
      <c r="BD77" s="22">
        <f>BA77*23.32</f>
        <v/>
      </c>
    </row>
    <row r="78">
      <c r="A78" s="10" t="n">
        <v>45700</v>
      </c>
      <c r="B78" s="11" t="n">
        <v>7575580365.846412</v>
      </c>
      <c r="C78" s="11" t="n"/>
      <c r="D78" s="11" t="n">
        <v>122695803</v>
      </c>
      <c r="E78" s="11" t="n"/>
      <c r="N78" s="11" t="n"/>
      <c r="O78" s="11" t="n">
        <v>18209</v>
      </c>
      <c r="P78" s="11" t="n"/>
      <c r="R78" s="12" t="n">
        <v>0.03</v>
      </c>
      <c r="V78" s="11" t="n"/>
      <c r="W78" s="11" t="n"/>
      <c r="Y78" s="11" t="n"/>
      <c r="AE78" s="11" t="n"/>
      <c r="AG78" s="13">
        <f>IF(OR(B78="",B78=0,M78=""),"",M78/B78*10000)</f>
        <v/>
      </c>
      <c r="AH78" s="13">
        <f>IF(OR(C78="",C78=0),"",N78/C78*10000)</f>
        <v/>
      </c>
      <c r="AI78" s="13">
        <f>IF(OR(D78="",D78=0),"",O78/D78*10000)</f>
        <v/>
      </c>
      <c r="AJ78" s="11" t="n"/>
      <c r="AK78" s="11" t="n"/>
      <c r="AN78" s="14" t="n"/>
      <c r="AO78" s="15" t="n"/>
      <c r="AP78" s="14" t="n">
        <v>14806911.55</v>
      </c>
      <c r="AQ78" s="14" t="n">
        <v>26541.3395</v>
      </c>
      <c r="AR78" s="14" t="n">
        <v>579.0042</v>
      </c>
      <c r="AS78" s="14" t="n"/>
      <c r="AT78" s="16" t="n">
        <v>427.8942356948854</v>
      </c>
      <c r="AU78" s="17" t="n">
        <v>0.02155735</v>
      </c>
      <c r="AV78" s="14" t="n">
        <v>426875276.2756</v>
      </c>
      <c r="AW78" s="18" t="n">
        <v>60100000</v>
      </c>
      <c r="AX78" s="19" t="n">
        <v>14806911.55</v>
      </c>
      <c r="AY78" s="18" t="n">
        <v>3100000</v>
      </c>
      <c r="AZ78" s="18">
        <f>1000000000-999845968.519</f>
        <v/>
      </c>
      <c r="BA78" s="20">
        <f>1000000000-AV78-AW78-AX78-AY78-AZ78</f>
        <v/>
      </c>
      <c r="BB78" s="21" t="n">
        <v>244.9</v>
      </c>
      <c r="BC78" s="21">
        <f>BA78/1000000-BB78</f>
        <v/>
      </c>
      <c r="BD78" s="22">
        <f>BA78*23.49</f>
        <v/>
      </c>
    </row>
    <row r="79">
      <c r="A79" s="10" t="n">
        <v>45701</v>
      </c>
      <c r="B79" s="11" t="n">
        <v>5121162003.887239</v>
      </c>
      <c r="C79" s="11" t="n"/>
      <c r="D79" s="11" t="n">
        <v>199613305</v>
      </c>
      <c r="E79" s="11" t="n"/>
      <c r="N79" s="11" t="n"/>
      <c r="O79" s="11" t="n">
        <v>18585</v>
      </c>
      <c r="P79" s="11" t="n"/>
      <c r="R79" s="12" t="n">
        <v>0.03</v>
      </c>
      <c r="V79" s="11" t="n"/>
      <c r="W79" s="11" t="n"/>
      <c r="Y79" s="11" t="n"/>
      <c r="AE79" s="11" t="n"/>
      <c r="AG79" s="13">
        <f>IF(OR(B79="",B79=0,M79=""),"",M79/B79*10000)</f>
        <v/>
      </c>
      <c r="AH79" s="13">
        <f>IF(OR(C79="",C79=0),"",N79/C79*10000)</f>
        <v/>
      </c>
      <c r="AI79" s="13">
        <f>IF(OR(D79="",D79=0),"",O79/D79*10000)</f>
        <v/>
      </c>
      <c r="AJ79" s="11" t="n"/>
      <c r="AK79" s="11" t="n"/>
      <c r="AN79" s="14" t="n"/>
      <c r="AO79" s="15" t="n"/>
      <c r="AP79" s="14" t="n">
        <v>14867924.2</v>
      </c>
      <c r="AQ79" s="14" t="n">
        <v>26562.25</v>
      </c>
      <c r="AR79" s="14" t="n">
        <v>792.7335</v>
      </c>
      <c r="AS79" s="14" t="n"/>
      <c r="AT79" s="16" t="n">
        <v>428.7753305946546</v>
      </c>
      <c r="AU79" s="17" t="n">
        <v>0.02153545</v>
      </c>
      <c r="AV79" s="14" t="n">
        <v>426848714.0256</v>
      </c>
      <c r="AW79" s="18" t="n">
        <v>60100000</v>
      </c>
      <c r="AX79" s="19" t="n">
        <v>14867924.2</v>
      </c>
      <c r="AY79" s="18" t="n">
        <v>3100000</v>
      </c>
      <c r="AZ79" s="18">
        <f>1000000000-999845175.7854</f>
        <v/>
      </c>
      <c r="BA79" s="20">
        <f>1000000000-AV79-AW79-AX79-AY79-AZ79</f>
        <v/>
      </c>
      <c r="BB79" s="21" t="n">
        <v>244.9</v>
      </c>
      <c r="BC79" s="21">
        <f>BA79/1000000-BB79</f>
        <v/>
      </c>
      <c r="BD79" s="22">
        <f>BA79*25.84</f>
        <v/>
      </c>
    </row>
    <row r="80">
      <c r="A80" s="10" t="n">
        <v>45702</v>
      </c>
      <c r="B80" s="11" t="n">
        <v>5071294403.58139</v>
      </c>
      <c r="C80" s="11" t="n"/>
      <c r="D80" s="11" t="n">
        <v>103410352</v>
      </c>
      <c r="E80" s="11" t="n"/>
      <c r="N80" s="11" t="n"/>
      <c r="O80" s="11" t="n">
        <v>25753</v>
      </c>
      <c r="P80" s="11" t="n"/>
      <c r="R80" s="12" t="n">
        <v>0.03</v>
      </c>
      <c r="V80" s="11" t="n"/>
      <c r="W80" s="11" t="n"/>
      <c r="Y80" s="11" t="n"/>
      <c r="AE80" s="11" t="n"/>
      <c r="AG80" s="13">
        <f>IF(OR(B80="",B80=0,M80=""),"",M80/B80*10000)</f>
        <v/>
      </c>
      <c r="AH80" s="13">
        <f>IF(OR(C80="",C80=0),"",N80/C80*10000)</f>
        <v/>
      </c>
      <c r="AI80" s="13">
        <f>IF(OR(D80="",D80=0),"",O80/D80*10000)</f>
        <v/>
      </c>
      <c r="AJ80" s="11" t="n"/>
      <c r="AK80" s="11" t="n"/>
      <c r="AN80" s="14" t="n"/>
      <c r="AO80" s="15" t="n"/>
      <c r="AP80" s="14" t="n">
        <v>14914740.91</v>
      </c>
      <c r="AQ80" s="14" t="n">
        <v>26581.3289</v>
      </c>
      <c r="AR80" s="14" t="n">
        <v>591.6068</v>
      </c>
      <c r="AS80" s="14" t="n"/>
      <c r="AT80" s="16" t="n">
        <v>428.7710557034599</v>
      </c>
      <c r="AU80" s="17" t="n">
        <v>0.02153555</v>
      </c>
      <c r="AV80" s="14" t="n">
        <v>426822132.6967</v>
      </c>
      <c r="AW80" s="18" t="n">
        <v>60100000</v>
      </c>
      <c r="AX80" s="19" t="n">
        <v>14914740.91</v>
      </c>
      <c r="AY80" s="18" t="n">
        <v>3100000</v>
      </c>
      <c r="AZ80" s="18">
        <f>1000000000-999844584.1786</f>
        <v/>
      </c>
      <c r="BA80" s="20">
        <f>1000000000-AV80-AW80-AX80-AY80-AZ80</f>
        <v/>
      </c>
      <c r="BB80" s="21" t="n">
        <v>244.9</v>
      </c>
      <c r="BC80" s="21">
        <f>BA80/1000000-BB80</f>
        <v/>
      </c>
      <c r="BD80" s="22">
        <f>BA80*26.26</f>
        <v/>
      </c>
    </row>
    <row r="81">
      <c r="A81" s="10" t="n">
        <v>45703</v>
      </c>
      <c r="B81" s="11" t="n">
        <v>2569566270.959479</v>
      </c>
      <c r="C81" s="11" t="n"/>
      <c r="D81" s="11" t="n">
        <v>78021652</v>
      </c>
      <c r="E81" s="11" t="n"/>
      <c r="N81" s="11" t="n"/>
      <c r="O81" s="11" t="n">
        <v>17622</v>
      </c>
      <c r="P81" s="11" t="n"/>
      <c r="R81" s="12" t="n">
        <v>0.03</v>
      </c>
      <c r="V81" s="11" t="n"/>
      <c r="W81" s="11" t="n"/>
      <c r="Y81" s="11" t="n"/>
      <c r="AE81" s="11" t="n"/>
      <c r="AG81" s="13">
        <f>IF(OR(B81="",B81=0,M81=""),"",M81/B81*10000)</f>
        <v/>
      </c>
      <c r="AH81" s="13">
        <f>IF(OR(C81="",C81=0),"",N81/C81*10000)</f>
        <v/>
      </c>
      <c r="AI81" s="13">
        <f>IF(OR(D81="",D81=0),"",O81/D81*10000)</f>
        <v/>
      </c>
      <c r="AJ81" s="11" t="n"/>
      <c r="AK81" s="11" t="n"/>
      <c r="AN81" s="14" t="n"/>
      <c r="AO81" s="15" t="n"/>
      <c r="AP81" s="14" t="n">
        <v>14965063.05</v>
      </c>
      <c r="AQ81" s="14" t="n">
        <v>26587.2677</v>
      </c>
      <c r="AR81" s="14" t="n">
        <v>978.1297</v>
      </c>
      <c r="AS81" s="14" t="n"/>
      <c r="AT81" s="16" t="n">
        <v>429.0167837648754</v>
      </c>
      <c r="AU81" s="17" t="n">
        <v>0.02152946</v>
      </c>
      <c r="AV81" s="14" t="n">
        <v>426795545.429</v>
      </c>
      <c r="AW81" s="18" t="n">
        <v>60100000</v>
      </c>
      <c r="AX81" s="19" t="n">
        <v>14965063.05</v>
      </c>
      <c r="AY81" s="18" t="n">
        <v>3100000</v>
      </c>
      <c r="AZ81" s="18">
        <f>1000000000-999843606.0489</f>
        <v/>
      </c>
      <c r="BA81" s="20">
        <f>1000000000-AV81-AW81-AX81-AY81-AZ81</f>
        <v/>
      </c>
      <c r="BB81" s="21" t="n">
        <v>244.9</v>
      </c>
      <c r="BC81" s="21">
        <f>BA81/1000000-BB81</f>
        <v/>
      </c>
      <c r="BD81" s="22">
        <f>BA81*26.2</f>
        <v/>
      </c>
    </row>
    <row r="82">
      <c r="A82" s="10" t="n">
        <v>45704</v>
      </c>
      <c r="B82" s="11" t="n">
        <v>2576463334.918157</v>
      </c>
      <c r="C82" s="11" t="n"/>
      <c r="D82" s="11" t="n">
        <v>120737014</v>
      </c>
      <c r="E82" s="11" t="n"/>
      <c r="N82" s="11" t="n"/>
      <c r="O82" s="11" t="n">
        <v>8856</v>
      </c>
      <c r="P82" s="11" t="n"/>
      <c r="R82" s="12" t="n">
        <v>0.03</v>
      </c>
      <c r="V82" s="11" t="n"/>
      <c r="W82" s="11" t="n"/>
      <c r="Y82" s="11" t="n"/>
      <c r="AE82" s="11" t="n"/>
      <c r="AG82" s="13">
        <f>IF(OR(B82="",B82=0,M82=""),"",M82/B82*10000)</f>
        <v/>
      </c>
      <c r="AH82" s="13">
        <f>IF(OR(C82="",C82=0),"",N82/C82*10000)</f>
        <v/>
      </c>
      <c r="AI82" s="13">
        <f>IF(OR(D82="",D82=0),"",O82/D82*10000)</f>
        <v/>
      </c>
      <c r="AJ82" s="11" t="n"/>
      <c r="AK82" s="11" t="n"/>
      <c r="AN82" s="14" t="n"/>
      <c r="AO82" s="15" t="n"/>
      <c r="AP82" s="14" t="n">
        <v>14987424.4</v>
      </c>
      <c r="AQ82" s="14" t="n">
        <v>26607.0205</v>
      </c>
      <c r="AR82" s="14" t="n">
        <v>420.737</v>
      </c>
      <c r="AS82" s="14" t="n"/>
      <c r="AT82" s="16" t="n">
        <v>430.1106761568191</v>
      </c>
      <c r="AU82" s="17" t="n">
        <v>0.02150238</v>
      </c>
      <c r="AV82" s="14" t="n">
        <v>426768938.4085</v>
      </c>
      <c r="AW82" s="18" t="n">
        <v>60100000</v>
      </c>
      <c r="AX82" s="19" t="n">
        <v>14987424.4</v>
      </c>
      <c r="AY82" s="18" t="n">
        <v>3100000</v>
      </c>
      <c r="AZ82" s="18">
        <f>1000000000-999843185.3119</f>
        <v/>
      </c>
      <c r="BA82" s="20">
        <f>1000000000-AV82-AW82-AX82-AY82-AZ82</f>
        <v/>
      </c>
      <c r="BB82" s="21" t="n">
        <v>244.9</v>
      </c>
      <c r="BC82" s="21">
        <f>BA82/1000000-BB82</f>
        <v/>
      </c>
      <c r="BD82" s="22">
        <f>BA82*25.72</f>
        <v/>
      </c>
    </row>
    <row r="83">
      <c r="A83" s="10" t="n">
        <v>45705</v>
      </c>
      <c r="B83" s="11" t="n">
        <v>5049366130.654168</v>
      </c>
      <c r="C83" s="11" t="n"/>
      <c r="D83" s="11" t="n">
        <v>360271474</v>
      </c>
      <c r="E83" s="11" t="n"/>
      <c r="N83" s="11" t="n"/>
      <c r="O83" s="11" t="n">
        <v>18954</v>
      </c>
      <c r="P83" s="11" t="n"/>
      <c r="R83" s="12" t="n">
        <v>0.03</v>
      </c>
      <c r="V83" s="11" t="n"/>
      <c r="W83" s="11" t="n"/>
      <c r="Y83" s="11" t="n"/>
      <c r="AE83" s="11" t="n"/>
      <c r="AG83" s="13">
        <f>IF(OR(B83="",B83=0,M83=""),"",M83/B83*10000)</f>
        <v/>
      </c>
      <c r="AH83" s="13">
        <f>IF(OR(C83="",C83=0),"",N83/C83*10000)</f>
        <v/>
      </c>
      <c r="AI83" s="13">
        <f>IF(OR(D83="",D83=0),"",O83/D83*10000)</f>
        <v/>
      </c>
      <c r="AJ83" s="11" t="n"/>
      <c r="AK83" s="11" t="n"/>
      <c r="AN83" s="14" t="n"/>
      <c r="AO83" s="15" t="n"/>
      <c r="AP83" s="14" t="n">
        <v>15018354.8</v>
      </c>
      <c r="AQ83" s="14" t="n">
        <v>26613.6988</v>
      </c>
      <c r="AR83" s="14" t="n">
        <v>311.4459</v>
      </c>
      <c r="AS83" s="14" t="n"/>
      <c r="AT83" s="16" t="n">
        <v>429.3803087360232</v>
      </c>
      <c r="AU83" s="17" t="n">
        <v>0.02152045</v>
      </c>
      <c r="AV83" s="14" t="n">
        <v>426742324.7097</v>
      </c>
      <c r="AW83" s="18" t="n">
        <v>60100000</v>
      </c>
      <c r="AX83" s="19" t="n">
        <v>15018354.8</v>
      </c>
      <c r="AY83" s="18" t="n">
        <v>3100000</v>
      </c>
      <c r="AZ83" s="18">
        <f>1000000000-999842873.8661</f>
        <v/>
      </c>
      <c r="BA83" s="20">
        <f>1000000000-AV83-AW83-AX83-AY83-AZ83</f>
        <v/>
      </c>
      <c r="BB83" s="21" t="n">
        <v>244.9</v>
      </c>
      <c r="BC83" s="21">
        <f>BA83/1000000-BB83</f>
        <v/>
      </c>
      <c r="BD83" s="22">
        <f>BA83*26.8</f>
        <v/>
      </c>
    </row>
    <row r="84">
      <c r="A84" s="10" t="n">
        <v>45706</v>
      </c>
      <c r="B84" s="11" t="n">
        <v>6787245917.892003</v>
      </c>
      <c r="C84" s="11" t="n"/>
      <c r="D84" s="11" t="n">
        <v>146705782</v>
      </c>
      <c r="E84" s="11" t="n"/>
      <c r="N84" s="11" t="n"/>
      <c r="O84" s="11" t="n">
        <v>55805</v>
      </c>
      <c r="P84" s="11" t="n"/>
      <c r="R84" s="12" t="n">
        <v>0.03</v>
      </c>
      <c r="V84" s="11" t="n"/>
      <c r="W84" s="11" t="n"/>
      <c r="Y84" s="11" t="n"/>
      <c r="AE84" s="11" t="n"/>
      <c r="AG84" s="13">
        <f>IF(OR(B84="",B84=0,M84=""),"",M84/B84*10000)</f>
        <v/>
      </c>
      <c r="AH84" s="13">
        <f>IF(OR(C84="",C84=0),"",N84/C84*10000)</f>
        <v/>
      </c>
      <c r="AI84" s="13">
        <f>IF(OR(D84="",D84=0),"",O84/D84*10000)</f>
        <v/>
      </c>
      <c r="AJ84" s="11" t="n"/>
      <c r="AK84" s="11" t="n"/>
      <c r="AN84" s="14" t="n"/>
      <c r="AO84" s="15" t="n"/>
      <c r="AP84" s="14" t="n">
        <v>15074929.71</v>
      </c>
      <c r="AQ84" s="14" t="n">
        <v>26591.793</v>
      </c>
      <c r="AR84" s="14" t="n">
        <v>491.1939</v>
      </c>
      <c r="AS84" s="14" t="n"/>
      <c r="AT84" s="16" t="n">
        <v>429.5534245582028</v>
      </c>
      <c r="AU84" s="17" t="n">
        <v>0.02151616</v>
      </c>
      <c r="AV84" s="14" t="n">
        <v>426715732.9167</v>
      </c>
      <c r="AW84" s="18" t="n">
        <v>60100000</v>
      </c>
      <c r="AX84" s="19" t="n">
        <v>15074929.71</v>
      </c>
      <c r="AY84" s="18" t="n">
        <v>3100000</v>
      </c>
      <c r="AZ84" s="18">
        <f>1000000000-999842382.6722</f>
        <v/>
      </c>
      <c r="BA84" s="20">
        <f>1000000000-AV84-AW84-AX84-AY84-AZ84</f>
        <v/>
      </c>
      <c r="BB84" s="21" t="n">
        <v>244.9</v>
      </c>
      <c r="BC84" s="21">
        <f>BA84/1000000-BB84</f>
        <v/>
      </c>
      <c r="BD84" s="22">
        <f>BA84*25.38</f>
        <v/>
      </c>
    </row>
    <row r="85">
      <c r="A85" s="10" t="n">
        <v>45707</v>
      </c>
      <c r="B85" s="11" t="n">
        <v>3901859790.855969</v>
      </c>
      <c r="C85" s="11" t="n"/>
      <c r="D85" s="11" t="n">
        <v>136622361</v>
      </c>
      <c r="E85" s="11" t="n"/>
      <c r="N85" s="11" t="n"/>
      <c r="O85" s="11" t="n">
        <v>22056</v>
      </c>
      <c r="P85" s="11" t="n"/>
      <c r="R85" s="12" t="n">
        <v>0.03</v>
      </c>
      <c r="V85" s="11" t="n"/>
      <c r="W85" s="11" t="n"/>
      <c r="Y85" s="11" t="n"/>
      <c r="AE85" s="11" t="n"/>
      <c r="AG85" s="13">
        <f>IF(OR(B85="",B85=0,M85=""),"",M85/B85*10000)</f>
        <v/>
      </c>
      <c r="AH85" s="13">
        <f>IF(OR(C85="",C85=0),"",N85/C85*10000)</f>
        <v/>
      </c>
      <c r="AI85" s="13">
        <f>IF(OR(D85="",D85=0),"",O85/D85*10000)</f>
        <v/>
      </c>
      <c r="AJ85" s="11" t="n"/>
      <c r="AK85" s="11" t="n"/>
      <c r="AN85" s="14" t="n"/>
      <c r="AO85" s="15" t="n"/>
      <c r="AP85" s="14" t="n">
        <v>15130595.42</v>
      </c>
      <c r="AQ85" s="14" t="n">
        <v>26568.7312</v>
      </c>
      <c r="AR85" s="14" t="n">
        <v>1766.3576</v>
      </c>
      <c r="AS85" s="14" t="n"/>
      <c r="AT85" s="16" t="n">
        <v>428.4481748632515</v>
      </c>
      <c r="AU85" s="17" t="n">
        <v>0.02154357</v>
      </c>
      <c r="AV85" s="14" t="n">
        <v>426689164.1855</v>
      </c>
      <c r="AW85" s="18" t="n">
        <v>60100000</v>
      </c>
      <c r="AX85" s="19" t="n">
        <v>15130595.42</v>
      </c>
      <c r="AY85" s="18" t="n">
        <v>3100000</v>
      </c>
      <c r="AZ85" s="18">
        <f>1000000000-999840616.3146</f>
        <v/>
      </c>
      <c r="BA85" s="20">
        <f>1000000000-AV85-AW85-AX85-AY85-AZ85</f>
        <v/>
      </c>
      <c r="BB85" s="21" t="n">
        <v>244.9</v>
      </c>
      <c r="BC85" s="21">
        <f>BA85/1000000-BB85</f>
        <v/>
      </c>
      <c r="BD85" s="22">
        <f>BA85*24.08</f>
        <v/>
      </c>
    </row>
    <row r="86">
      <c r="A86" s="10" t="n">
        <v>45708</v>
      </c>
      <c r="B86" s="11" t="n">
        <v>5037378690.966618</v>
      </c>
      <c r="C86" s="11" t="n"/>
      <c r="D86" s="11" t="n">
        <v>206747279</v>
      </c>
      <c r="E86" s="11" t="n"/>
      <c r="N86" s="11" t="n"/>
      <c r="O86" s="11" t="n">
        <v>20113</v>
      </c>
      <c r="P86" s="11" t="n"/>
      <c r="R86" s="12" t="n">
        <v>0.03</v>
      </c>
      <c r="V86" s="11" t="n"/>
      <c r="W86" s="11" t="n"/>
      <c r="Y86" s="11" t="n"/>
      <c r="AE86" s="11" t="n"/>
      <c r="AG86" s="13">
        <f>IF(OR(B86="",B86=0,M86=""),"",M86/B86*10000)</f>
        <v/>
      </c>
      <c r="AH86" s="13">
        <f>IF(OR(C86="",C86=0),"",N86/C86*10000)</f>
        <v/>
      </c>
      <c r="AI86" s="13">
        <f>IF(OR(D86="",D86=0),"",O86/D86*10000)</f>
        <v/>
      </c>
      <c r="AJ86" s="11" t="n"/>
      <c r="AK86" s="11" t="n"/>
      <c r="AN86" s="14" t="n"/>
      <c r="AO86" s="15" t="n"/>
      <c r="AP86" s="14" t="n">
        <v>15173205.49</v>
      </c>
      <c r="AQ86" s="14" t="n">
        <v>26580.8603</v>
      </c>
      <c r="AR86" s="14" t="n">
        <v>672.5468</v>
      </c>
      <c r="AS86" s="14" t="n"/>
      <c r="AT86" s="16" t="n">
        <v>427.9005930465469</v>
      </c>
      <c r="AU86" s="17" t="n">
        <v>0.02155719</v>
      </c>
      <c r="AV86" s="14" t="n">
        <v>426662583.3252</v>
      </c>
      <c r="AW86" s="18" t="n">
        <v>60100000</v>
      </c>
      <c r="AX86" s="19" t="n">
        <v>15173205.49</v>
      </c>
      <c r="AY86" s="18" t="n">
        <v>3100000</v>
      </c>
      <c r="AZ86" s="18">
        <f>1000000000-999839943.7678</f>
        <v/>
      </c>
      <c r="BA86" s="20">
        <f>1000000000-AV86-AW86-AX86-AY86-AZ86</f>
        <v/>
      </c>
      <c r="BB86" s="21" t="n">
        <v>244.9</v>
      </c>
      <c r="BC86" s="21">
        <f>BA86/1000000-BB86</f>
        <v/>
      </c>
      <c r="BD86" s="22">
        <f>BA86*24.06</f>
        <v/>
      </c>
    </row>
    <row r="87">
      <c r="A87" s="10" t="n">
        <v>45709</v>
      </c>
      <c r="B87" s="11" t="n">
        <v>10385529202.05231</v>
      </c>
      <c r="C87" s="11" t="n"/>
      <c r="D87" s="11" t="n">
        <v>71766053</v>
      </c>
      <c r="E87" s="11" t="n"/>
      <c r="N87" s="11" t="n"/>
      <c r="O87" s="11" t="n">
        <v>27835</v>
      </c>
      <c r="P87" s="11" t="n"/>
      <c r="R87" s="12" t="n">
        <v>0.03</v>
      </c>
      <c r="V87" s="11" t="n"/>
      <c r="W87" s="11" t="n"/>
      <c r="Y87" s="11" t="n"/>
      <c r="AE87" s="11" t="n"/>
      <c r="AG87" s="13">
        <f>IF(OR(B87="",B87=0,M87=""),"",M87/B87*10000)</f>
        <v/>
      </c>
      <c r="AH87" s="13">
        <f>IF(OR(C87="",C87=0),"",N87/C87*10000)</f>
        <v/>
      </c>
      <c r="AI87" s="13">
        <f>IF(OR(D87="",D87=0),"",O87/D87*10000)</f>
        <v/>
      </c>
      <c r="AJ87" s="11" t="n"/>
      <c r="AK87" s="11" t="n"/>
      <c r="AN87" s="14" t="n"/>
      <c r="AO87" s="15" t="n"/>
      <c r="AP87" s="14" t="n">
        <v>15227192.51</v>
      </c>
      <c r="AQ87" s="14" t="n">
        <v>26551.3041</v>
      </c>
      <c r="AR87" s="14" t="n">
        <v>563.1262</v>
      </c>
      <c r="AS87" s="14" t="n"/>
      <c r="AT87" s="16" t="n">
        <v>427.6121269392473</v>
      </c>
      <c r="AU87" s="17" t="n">
        <v>0.02156438</v>
      </c>
      <c r="AV87" s="14" t="n">
        <v>426636032.0211</v>
      </c>
      <c r="AW87" s="18" t="n">
        <v>60100000</v>
      </c>
      <c r="AX87" s="19" t="n">
        <v>15227192.51</v>
      </c>
      <c r="AY87" s="18" t="n">
        <v>3100000</v>
      </c>
      <c r="AZ87" s="18">
        <f>1000000000-999839380.6415</f>
        <v/>
      </c>
      <c r="BA87" s="20">
        <f>1000000000-AV87-AW87-AX87-AY87-AZ87</f>
        <v/>
      </c>
      <c r="BB87" s="21" t="n">
        <v>244.9</v>
      </c>
      <c r="BC87" s="21">
        <f>BA87/1000000-BB87</f>
        <v/>
      </c>
      <c r="BD87" s="22">
        <f>BA87*24.45</f>
        <v/>
      </c>
    </row>
    <row r="88">
      <c r="A88" s="10" t="n">
        <v>45710</v>
      </c>
      <c r="B88" s="11" t="n">
        <v>3022212830.22437</v>
      </c>
      <c r="C88" s="11" t="n"/>
      <c r="D88" s="11" t="n">
        <v>87664629</v>
      </c>
      <c r="E88" s="11" t="n"/>
      <c r="N88" s="11" t="n"/>
      <c r="O88" s="11" t="n">
        <v>12423</v>
      </c>
      <c r="P88" s="11" t="n"/>
      <c r="R88" s="12" t="n">
        <v>0.03</v>
      </c>
      <c r="V88" s="11" t="n"/>
      <c r="W88" s="11" t="n"/>
      <c r="Y88" s="11" t="n"/>
      <c r="AE88" s="11" t="n"/>
      <c r="AG88" s="13">
        <f>IF(OR(B88="",B88=0,M88=""),"",M88/B88*10000)</f>
        <v/>
      </c>
      <c r="AH88" s="13">
        <f>IF(OR(C88="",C88=0),"",N88/C88*10000)</f>
        <v/>
      </c>
      <c r="AI88" s="13">
        <f>IF(OR(D88="",D88=0),"",O88/D88*10000)</f>
        <v/>
      </c>
      <c r="AJ88" s="11" t="n"/>
      <c r="AK88" s="11" t="n"/>
      <c r="AN88" s="14" t="n"/>
      <c r="AO88" s="15" t="n"/>
      <c r="AP88" s="14" t="n">
        <v>15315067.23</v>
      </c>
      <c r="AQ88" s="14" t="n">
        <v>26531.5366</v>
      </c>
      <c r="AR88" s="14" t="n">
        <v>957.8834000000001</v>
      </c>
      <c r="AS88" s="14" t="n"/>
      <c r="AT88" s="16" t="n">
        <v>426.774544380433</v>
      </c>
      <c r="AU88" s="17" t="n">
        <v>0.02158528</v>
      </c>
      <c r="AV88" s="14" t="n">
        <v>426609500.4845</v>
      </c>
      <c r="AW88" s="18" t="n">
        <v>60100000</v>
      </c>
      <c r="AX88" s="19" t="n">
        <v>15315067.23</v>
      </c>
      <c r="AY88" s="18" t="n">
        <v>3100000</v>
      </c>
      <c r="AZ88" s="18">
        <f>1000000000-999838422.7581</f>
        <v/>
      </c>
      <c r="BA88" s="20">
        <f>1000000000-AV88-AW88-AX88-AY88-AZ88</f>
        <v/>
      </c>
      <c r="BB88" s="21" t="n">
        <v>244.9</v>
      </c>
      <c r="BC88" s="21">
        <f>BA88/1000000-BB88</f>
        <v/>
      </c>
      <c r="BD88" s="22">
        <f>BA88*24.99</f>
        <v/>
      </c>
    </row>
    <row r="89">
      <c r="A89" s="10" t="n">
        <v>45711</v>
      </c>
      <c r="B89" s="11" t="n">
        <v>3357930484.68021</v>
      </c>
      <c r="C89" s="11" t="n"/>
      <c r="D89" s="11" t="n">
        <v>313527932</v>
      </c>
      <c r="E89" s="11" t="n"/>
      <c r="N89" s="11" t="n"/>
      <c r="O89" s="11" t="n">
        <v>13884</v>
      </c>
      <c r="P89" s="11" t="n"/>
      <c r="R89" s="12" t="n">
        <v>0.03</v>
      </c>
      <c r="V89" s="11" t="n"/>
      <c r="W89" s="11" t="n"/>
      <c r="Y89" s="11" t="n"/>
      <c r="AE89" s="11" t="n"/>
      <c r="AG89" s="13">
        <f>IF(OR(B89="",B89=0,M89=""),"",M89/B89*10000)</f>
        <v/>
      </c>
      <c r="AH89" s="13">
        <f>IF(OR(C89="",C89=0),"",N89/C89*10000)</f>
        <v/>
      </c>
      <c r="AI89" s="13">
        <f>IF(OR(D89="",D89=0),"",O89/D89*10000)</f>
        <v/>
      </c>
      <c r="AJ89" s="11" t="n"/>
      <c r="AK89" s="11" t="n"/>
      <c r="AN89" s="14" t="n"/>
      <c r="AO89" s="15" t="n"/>
      <c r="AP89" s="14" t="n">
        <v>15345748.45</v>
      </c>
      <c r="AQ89" s="14" t="n">
        <v>26510.0073</v>
      </c>
      <c r="AR89" s="14" t="n">
        <v>272.4934</v>
      </c>
      <c r="AS89" s="14" t="n"/>
      <c r="AT89" s="16" t="n">
        <v>426.1677775681738</v>
      </c>
      <c r="AU89" s="17" t="n">
        <v>0.02160047</v>
      </c>
      <c r="AV89" s="14" t="n">
        <v>426582990.4772</v>
      </c>
      <c r="AW89" s="18" t="n">
        <v>60100000</v>
      </c>
      <c r="AX89" s="19" t="n">
        <v>15345748.45</v>
      </c>
      <c r="AY89" s="18" t="n">
        <v>3100000</v>
      </c>
      <c r="AZ89" s="18">
        <f>1000000000-999838150.2647</f>
        <v/>
      </c>
      <c r="BA89" s="20">
        <f>1000000000-AV89-AW89-AX89-AY89-AZ89</f>
        <v/>
      </c>
      <c r="BB89" s="21" t="n">
        <v>244.9</v>
      </c>
      <c r="BC89" s="21">
        <f>BA89/1000000-BB89</f>
        <v/>
      </c>
      <c r="BD89" s="22">
        <f>BA89*24.79</f>
        <v/>
      </c>
    </row>
    <row r="90">
      <c r="A90" s="10" t="n">
        <v>45712</v>
      </c>
      <c r="B90" s="11" t="n">
        <v>9442757917.150431</v>
      </c>
      <c r="C90" s="11" t="n"/>
      <c r="D90" s="11" t="n">
        <v>403523120</v>
      </c>
      <c r="E90" s="11" t="n"/>
      <c r="N90" s="11" t="n"/>
      <c r="O90" s="11" t="n">
        <v>36499</v>
      </c>
      <c r="P90" s="11" t="n"/>
      <c r="R90" s="12" t="n">
        <v>0.03</v>
      </c>
      <c r="V90" s="11" t="n"/>
      <c r="W90" s="11" t="n"/>
      <c r="Y90" s="11" t="n"/>
      <c r="AE90" s="11" t="n"/>
      <c r="AG90" s="13">
        <f>IF(OR(B90="",B90=0,M90=""),"",M90/B90*10000)</f>
        <v/>
      </c>
      <c r="AH90" s="13">
        <f>IF(OR(C90="",C90=0),"",N90/C90*10000)</f>
        <v/>
      </c>
      <c r="AI90" s="13">
        <f>IF(OR(D90="",D90=0),"",O90/D90*10000)</f>
        <v/>
      </c>
      <c r="AJ90" s="11" t="n"/>
      <c r="AK90" s="11" t="n"/>
      <c r="AN90" s="14" t="n"/>
      <c r="AO90" s="15" t="n"/>
      <c r="AP90" s="14" t="n">
        <v>15395296.91</v>
      </c>
      <c r="AQ90" s="14" t="n">
        <v>26495.5925</v>
      </c>
      <c r="AR90" s="14" t="n">
        <v>359.0801</v>
      </c>
      <c r="AS90" s="14" t="n"/>
      <c r="AT90" s="16" t="n">
        <v>425.7583784936231</v>
      </c>
      <c r="AU90" s="17" t="n">
        <v>0.0216107274</v>
      </c>
      <c r="AV90" s="14" t="n">
        <v>426556494.8846</v>
      </c>
      <c r="AW90" s="18" t="n">
        <v>60100000</v>
      </c>
      <c r="AX90" s="19" t="n">
        <v>15395296.91</v>
      </c>
      <c r="AY90" s="18" t="n">
        <v>3100000</v>
      </c>
      <c r="AZ90" s="18">
        <f>1000000000-999837791.1845</f>
        <v/>
      </c>
      <c r="BA90" s="20">
        <f>1000000000-AV90-AW90-AX90-AY90-AZ90</f>
        <v/>
      </c>
      <c r="BB90" s="21" t="n">
        <v>244.9</v>
      </c>
      <c r="BC90" s="21">
        <f>BA90/1000000-BB90</f>
        <v/>
      </c>
      <c r="BD90" s="22">
        <f>BA90*23.15</f>
        <v/>
      </c>
    </row>
    <row r="91">
      <c r="A91" s="10" t="n">
        <v>45713</v>
      </c>
      <c r="B91" s="11" t="n">
        <v>13212926718.15891</v>
      </c>
      <c r="C91" s="11" t="n"/>
      <c r="D91" s="11" t="n">
        <v>252882738</v>
      </c>
      <c r="E91" s="11" t="n"/>
      <c r="N91" s="11" t="n"/>
      <c r="O91" s="11" t="n">
        <v>76421</v>
      </c>
      <c r="P91" s="11" t="n"/>
      <c r="R91" s="12" t="n">
        <v>0.03</v>
      </c>
      <c r="V91" s="11" t="n"/>
      <c r="W91" s="11" t="n"/>
      <c r="Y91" s="11" t="n"/>
      <c r="AE91" s="11" t="n"/>
      <c r="AG91" s="13">
        <f>IF(OR(B91="",B91=0,M91=""),"",M91/B91*10000)</f>
        <v/>
      </c>
      <c r="AH91" s="13">
        <f>IF(OR(C91="",C91=0),"",N91/C91*10000)</f>
        <v/>
      </c>
      <c r="AI91" s="13">
        <f>IF(OR(D91="",D91=0),"",O91/D91*10000)</f>
        <v/>
      </c>
      <c r="AJ91" s="11" t="n"/>
      <c r="AK91" s="11" t="n"/>
      <c r="AN91" s="14" t="n"/>
      <c r="AO91" s="15" t="n"/>
      <c r="AP91" s="14" t="n">
        <v>15434587.43</v>
      </c>
      <c r="AQ91" s="14" t="n">
        <v>26462.3619</v>
      </c>
      <c r="AR91" s="14" t="n">
        <v>1448.4853</v>
      </c>
      <c r="AS91" s="14" t="n"/>
      <c r="AT91" s="16" t="n">
        <v>424.0080656300895</v>
      </c>
      <c r="AU91" s="17" t="n">
        <v>0.021654767</v>
      </c>
      <c r="AV91" s="14" t="n">
        <v>426530032.5227</v>
      </c>
      <c r="AW91" s="18" t="n">
        <v>60100000</v>
      </c>
      <c r="AX91" s="19" t="n">
        <v>15434587.43</v>
      </c>
      <c r="AY91" s="18" t="n">
        <v>3100000</v>
      </c>
      <c r="AZ91" s="18">
        <f>1000000000-999836342.6993</f>
        <v/>
      </c>
      <c r="BA91" s="20">
        <f>1000000000-AV91-AW91-AX91-AY91-AZ91</f>
        <v/>
      </c>
      <c r="BB91" s="21" t="n">
        <v>244.9</v>
      </c>
      <c r="BC91" s="21">
        <f>BA91/1000000-BB91</f>
        <v/>
      </c>
      <c r="BD91" s="22">
        <f>BA91*19.88</f>
        <v/>
      </c>
    </row>
    <row r="92">
      <c r="A92" s="10" t="n">
        <v>45714</v>
      </c>
      <c r="B92" s="11" t="n">
        <v>9361694443.808464</v>
      </c>
      <c r="C92" s="11" t="n"/>
      <c r="D92" s="11" t="n">
        <v>163029559</v>
      </c>
      <c r="E92" s="11" t="n"/>
      <c r="N92" s="11" t="n"/>
      <c r="O92" s="11" t="n">
        <v>36925</v>
      </c>
      <c r="P92" s="11" t="n"/>
      <c r="R92" s="12" t="n">
        <v>0.03</v>
      </c>
      <c r="V92" s="11" t="n"/>
      <c r="W92" s="11" t="n"/>
      <c r="Y92" s="11" t="n"/>
      <c r="AE92" s="11" t="n"/>
      <c r="AG92" s="13">
        <f>IF(OR(B92="",B92=0,M92=""),"",M92/B92*10000)</f>
        <v/>
      </c>
      <c r="AH92" s="13">
        <f>IF(OR(C92="",C92=0),"",N92/C92*10000)</f>
        <v/>
      </c>
      <c r="AI92" s="13">
        <f>IF(OR(D92="",D92=0),"",O92/D92*10000)</f>
        <v/>
      </c>
      <c r="AJ92" s="11" t="n"/>
      <c r="AK92" s="11" t="n"/>
      <c r="AN92" s="14" t="n"/>
      <c r="AO92" s="15" t="n"/>
      <c r="AP92" s="14" t="n">
        <v>15640861.3</v>
      </c>
      <c r="AQ92" s="14" t="n">
        <v>26402.5399</v>
      </c>
      <c r="AR92" s="14" t="n">
        <v>2533.9117</v>
      </c>
      <c r="AS92" s="14" t="n"/>
      <c r="AT92" s="16" t="n">
        <v>422.613338073178</v>
      </c>
      <c r="AU92" s="17" t="n">
        <v>0.0216900539</v>
      </c>
      <c r="AV92" s="14" t="n">
        <v>426503629.9828</v>
      </c>
      <c r="AW92" s="18" t="n">
        <v>60100000</v>
      </c>
      <c r="AX92" s="19" t="n">
        <v>15640861.3</v>
      </c>
      <c r="AY92" s="18" t="n">
        <v>3100000</v>
      </c>
      <c r="AZ92" s="18">
        <f>1000000000-999833808.7876</f>
        <v/>
      </c>
      <c r="BA92" s="20">
        <f>1000000000-AV92-AW92-AX92-AY92-AZ92</f>
        <v/>
      </c>
      <c r="BB92" s="21" t="n">
        <v>244.9</v>
      </c>
      <c r="BC92" s="21">
        <f>BA92/1000000-BB92</f>
        <v/>
      </c>
      <c r="BD92" s="22">
        <f>BA92*20.19</f>
        <v/>
      </c>
    </row>
    <row r="93">
      <c r="A93" s="10" t="n">
        <v>45715</v>
      </c>
      <c r="B93" s="11" t="n">
        <v>6796939578.979759</v>
      </c>
      <c r="C93" s="11" t="n"/>
      <c r="D93" s="11" t="n">
        <v>214669060</v>
      </c>
      <c r="E93" s="11" t="n"/>
      <c r="N93" s="11" t="n"/>
      <c r="O93" s="11" t="n">
        <v>21492</v>
      </c>
      <c r="P93" s="11" t="n"/>
      <c r="R93" s="12" t="n">
        <v>0.03</v>
      </c>
      <c r="V93" s="11" t="n"/>
      <c r="W93" s="11" t="n"/>
      <c r="Y93" s="11" t="n"/>
      <c r="AE93" s="11" t="n"/>
      <c r="AG93" s="13">
        <f>IF(OR(B93="",B93=0,M93=""),"",M93/B93*10000)</f>
        <v/>
      </c>
      <c r="AH93" s="13">
        <f>IF(OR(C93="",C93=0),"",N93/C93*10000)</f>
        <v/>
      </c>
      <c r="AI93" s="13">
        <f>IF(OR(D93="",D93=0),"",O93/D93*10000)</f>
        <v/>
      </c>
      <c r="AJ93" s="11" t="n"/>
      <c r="AK93" s="11" t="n"/>
      <c r="AN93" s="14" t="n"/>
      <c r="AO93" s="15" t="n"/>
      <c r="AP93" s="14" t="n">
        <v>15754076.09</v>
      </c>
      <c r="AQ93" s="14" t="n">
        <v>26370.7823</v>
      </c>
      <c r="AR93" s="14" t="n">
        <v>1291.9301</v>
      </c>
      <c r="AS93" s="14" t="n"/>
      <c r="AT93" s="16" t="n">
        <v>422.1010256210276</v>
      </c>
      <c r="AU93" s="17" t="n">
        <v>0.0217030591</v>
      </c>
      <c r="AV93" s="14" t="n">
        <v>426477259.2005</v>
      </c>
      <c r="AW93" s="18" t="n">
        <v>60100000</v>
      </c>
      <c r="AX93" s="19" t="n">
        <v>15754076.09</v>
      </c>
      <c r="AY93" s="18" t="n">
        <v>3100000</v>
      </c>
      <c r="AZ93" s="18">
        <f>1000000000-999832516.8574</f>
        <v/>
      </c>
      <c r="BA93" s="20">
        <f>1000000000-AV93-AW93-AX93-AY93-AZ93</f>
        <v/>
      </c>
      <c r="BB93" s="21" t="n">
        <v>244.9</v>
      </c>
      <c r="BC93" s="21">
        <f>BA93/1000000-BB93</f>
        <v/>
      </c>
      <c r="BD93" s="22">
        <f>BA93*19.56</f>
        <v/>
      </c>
    </row>
    <row r="94">
      <c r="A94" s="10" t="n">
        <v>45716</v>
      </c>
      <c r="B94" s="11" t="n">
        <v>11157922813.2335</v>
      </c>
      <c r="C94" s="11" t="n"/>
      <c r="D94" s="11" t="n">
        <v>87391052</v>
      </c>
      <c r="E94" s="11" t="n"/>
      <c r="N94" s="11" t="n"/>
      <c r="O94" s="11" t="n">
        <v>33048</v>
      </c>
      <c r="P94" s="11" t="n"/>
      <c r="R94" s="12" t="n">
        <v>0.03</v>
      </c>
      <c r="V94" s="11" t="n"/>
      <c r="W94" s="11" t="n"/>
      <c r="Y94" s="11" t="n"/>
      <c r="AE94" s="11" t="n"/>
      <c r="AG94" s="13">
        <f>IF(OR(B94="",B94=0,M94=""),"",M94/B94*10000)</f>
        <v/>
      </c>
      <c r="AH94" s="13">
        <f>IF(OR(C94="",C94=0),"",N94/C94*10000)</f>
        <v/>
      </c>
      <c r="AI94" s="13">
        <f>IF(OR(D94="",D94=0),"",O94/D94*10000)</f>
        <v/>
      </c>
      <c r="AJ94" s="11" t="n"/>
      <c r="AK94" s="11" t="n"/>
      <c r="AN94" s="14" t="n"/>
      <c r="AO94" s="15" t="n"/>
      <c r="AP94" s="14" t="n">
        <v>15863736.06</v>
      </c>
      <c r="AQ94" s="14" t="n">
        <v>26389.8779</v>
      </c>
      <c r="AR94" s="14" t="n">
        <v>800.0368999999999</v>
      </c>
      <c r="AS94" s="14" t="n"/>
      <c r="AT94" s="16" t="n">
        <v>421.8219040693746</v>
      </c>
      <c r="AU94" s="17" t="n">
        <v>0.0217101545</v>
      </c>
      <c r="AV94" s="14" t="n">
        <v>426450869.3226</v>
      </c>
      <c r="AW94" s="18" t="n">
        <v>60100000</v>
      </c>
      <c r="AX94" s="19" t="n">
        <v>15863736.06</v>
      </c>
      <c r="AY94" s="18" t="n">
        <v>3100000</v>
      </c>
      <c r="AZ94" s="18">
        <f>1000000000-999831716.8206</f>
        <v/>
      </c>
      <c r="BA94" s="20">
        <f>1000000000-AV94-AW94-AX94-AY94-AZ94</f>
        <v/>
      </c>
      <c r="BB94" s="21" t="n">
        <v>244.9</v>
      </c>
      <c r="BC94" s="21">
        <f>BA94/1000000-BB94</f>
        <v/>
      </c>
      <c r="BD94" s="22">
        <f>BA94*20.87</f>
        <v/>
      </c>
    </row>
    <row r="95">
      <c r="A95" s="10" t="n">
        <v>45717</v>
      </c>
      <c r="B95" s="11" t="n">
        <v>4300489522.68242</v>
      </c>
      <c r="C95" s="11" t="n"/>
      <c r="D95" s="11" t="n">
        <v>230865213</v>
      </c>
      <c r="E95" s="11" t="n"/>
      <c r="N95" s="11" t="n"/>
      <c r="O95" s="11" t="n">
        <v>12337</v>
      </c>
      <c r="P95" s="11" t="n"/>
      <c r="R95" s="12" t="n">
        <v>0.03</v>
      </c>
      <c r="V95" s="11" t="n"/>
      <c r="W95" s="11" t="n"/>
      <c r="Y95" s="11" t="n"/>
      <c r="AE95" s="11" t="n"/>
      <c r="AG95" s="13">
        <f>IF(OR(B95="",B95=0,M95=""),"",M95/B95*10000)</f>
        <v/>
      </c>
      <c r="AH95" s="13">
        <f>IF(OR(C95="",C95=0),"",N95/C95*10000)</f>
        <v/>
      </c>
      <c r="AI95" s="13">
        <f>IF(OR(D95="",D95=0),"",O95/D95*10000)</f>
        <v/>
      </c>
      <c r="AJ95" s="11" t="n"/>
      <c r="AK95" s="11" t="n"/>
      <c r="AN95" s="14" t="n"/>
      <c r="AO95" s="15" t="n"/>
      <c r="AP95" s="14" t="n">
        <v>15955800.76</v>
      </c>
      <c r="AQ95" s="14" t="n">
        <v>26354.4325</v>
      </c>
      <c r="AR95" s="14" t="n">
        <v>1113.9076</v>
      </c>
      <c r="AS95" s="14" t="n"/>
      <c r="AT95" s="16" t="n">
        <v>421.2724189243295</v>
      </c>
      <c r="AU95" s="17" t="n">
        <v>0.0217241432</v>
      </c>
      <c r="AV95" s="14" t="n">
        <v>426424514.8901</v>
      </c>
      <c r="AW95" s="18" t="n">
        <v>60100000</v>
      </c>
      <c r="AX95" s="19" t="n">
        <v>15955800.76</v>
      </c>
      <c r="AY95" s="18" t="n">
        <v>3100000</v>
      </c>
      <c r="AZ95" s="18">
        <f>1000000000-999830602.913</f>
        <v/>
      </c>
      <c r="BA95" s="20">
        <f>1000000000-AV95-AW95-AX95-AY95-AZ95</f>
        <v/>
      </c>
      <c r="BB95" s="21" t="n">
        <v>244.9</v>
      </c>
      <c r="BC95" s="21">
        <f>BA95/1000000-BB95</f>
        <v/>
      </c>
      <c r="BD95" s="22">
        <f>BA95*19.95</f>
        <v/>
      </c>
    </row>
    <row r="96">
      <c r="A96" s="10" t="n">
        <v>45718</v>
      </c>
      <c r="B96" s="11" t="n">
        <v>11125716133.36184</v>
      </c>
      <c r="C96" s="11" t="n"/>
      <c r="D96" s="11" t="n">
        <v>260215664</v>
      </c>
      <c r="E96" s="11" t="n"/>
      <c r="N96" s="11" t="n"/>
      <c r="O96" s="11" t="n">
        <v>31229</v>
      </c>
      <c r="P96" s="11" t="n"/>
      <c r="R96" s="12" t="n">
        <v>0.03</v>
      </c>
      <c r="V96" s="11" t="n"/>
      <c r="W96" s="11" t="n"/>
      <c r="Y96" s="11" t="n"/>
      <c r="AE96" s="11" t="n"/>
      <c r="AG96" s="13">
        <f>IF(OR(B96="",B96=0,M96=""),"",M96/B96*10000)</f>
        <v/>
      </c>
      <c r="AH96" s="13">
        <f>IF(OR(C96="",C96=0),"",N96/C96*10000)</f>
        <v/>
      </c>
      <c r="AI96" s="13">
        <f>IF(OR(D96="",D96=0),"",O96/D96*10000)</f>
        <v/>
      </c>
      <c r="AJ96" s="11" t="n"/>
      <c r="AK96" s="11" t="n"/>
      <c r="AN96" s="14" t="n"/>
      <c r="AO96" s="15" t="n"/>
      <c r="AP96" s="14" t="n">
        <v>15998308.46</v>
      </c>
      <c r="AQ96" s="14" t="n">
        <v>26347.5556</v>
      </c>
      <c r="AR96" s="14" t="n">
        <v>456.8228</v>
      </c>
      <c r="AS96" s="14" t="n"/>
      <c r="AT96" s="16" t="n">
        <v>421.3277738048099</v>
      </c>
      <c r="AU96" s="17" t="n">
        <v>0.0217227328</v>
      </c>
      <c r="AV96" s="14" t="n">
        <v>426398167.3346</v>
      </c>
      <c r="AW96" s="18" t="n">
        <v>60100000</v>
      </c>
      <c r="AX96" s="19" t="n">
        <v>15998308.46</v>
      </c>
      <c r="AY96" s="18" t="n">
        <v>3100000</v>
      </c>
      <c r="AZ96" s="18">
        <f>1000000000-999830146.0902</f>
        <v/>
      </c>
      <c r="BA96" s="20">
        <f>1000000000-AV96-AW96-AX96-AY96-AZ96</f>
        <v/>
      </c>
      <c r="BB96" s="21" t="n">
        <v>244.9</v>
      </c>
      <c r="BC96" s="21">
        <f>BA96/1000000-BB96</f>
        <v/>
      </c>
      <c r="BD96" s="22">
        <f>BA96*19.6</f>
        <v/>
      </c>
    </row>
    <row r="97">
      <c r="A97" s="10" t="n">
        <v>45719</v>
      </c>
      <c r="B97" s="11" t="n">
        <v>11687296548.93717</v>
      </c>
      <c r="C97" s="11" t="n"/>
      <c r="D97" s="11" t="n">
        <v>277747349</v>
      </c>
      <c r="E97" s="11" t="n"/>
      <c r="N97" s="11" t="n"/>
      <c r="O97" s="11" t="n">
        <v>31999</v>
      </c>
      <c r="P97" s="11" t="n"/>
      <c r="R97" s="12" t="n">
        <v>0.03</v>
      </c>
      <c r="V97" s="11" t="n"/>
      <c r="W97" s="11" t="n"/>
      <c r="Y97" s="11" t="n"/>
      <c r="AE97" s="11" t="n"/>
      <c r="AG97" s="13">
        <f>IF(OR(B97="",B97=0,M97=""),"",M97/B97*10000)</f>
        <v/>
      </c>
      <c r="AH97" s="13">
        <f>IF(OR(C97="",C97=0),"",N97/C97*10000)</f>
        <v/>
      </c>
      <c r="AI97" s="13">
        <f>IF(OR(D97="",D97=0),"",O97/D97*10000)</f>
        <v/>
      </c>
      <c r="AJ97" s="11" t="n"/>
      <c r="AK97" s="11" t="n"/>
      <c r="AN97" s="14" t="n"/>
      <c r="AO97" s="15" t="n"/>
      <c r="AP97" s="14" t="n">
        <v>16155014.79</v>
      </c>
      <c r="AQ97" s="14" t="n">
        <v>26343.6937</v>
      </c>
      <c r="AR97" s="14" t="n">
        <v>1076.7938</v>
      </c>
      <c r="AS97" s="14" t="n"/>
      <c r="AT97" s="16" t="n">
        <v>420.6156096262877</v>
      </c>
      <c r="AU97" s="17" t="n">
        <v>0.0217408998</v>
      </c>
      <c r="AV97" s="14" t="n">
        <v>426371823.6408</v>
      </c>
      <c r="AW97" s="18" t="n">
        <v>60100000</v>
      </c>
      <c r="AX97" s="19" t="n">
        <v>16155014.79</v>
      </c>
      <c r="AY97" s="18" t="n">
        <v>3100000</v>
      </c>
      <c r="AZ97" s="18">
        <f>1000000000-999829069.2964</f>
        <v/>
      </c>
      <c r="BA97" s="20">
        <f>1000000000-AV97-AW97-AX97-AY97-AZ97</f>
        <v/>
      </c>
      <c r="BB97" s="21" t="n">
        <v>244.9</v>
      </c>
      <c r="BC97" s="21">
        <f>BA97/1000000-BB97</f>
        <v/>
      </c>
      <c r="BD97" s="22">
        <f>BA97*20.53</f>
        <v/>
      </c>
    </row>
    <row r="98">
      <c r="A98" s="10" t="n">
        <v>45720</v>
      </c>
      <c r="B98" s="11" t="n">
        <v>10923024321.65941</v>
      </c>
      <c r="C98" s="11" t="n"/>
      <c r="D98" s="11" t="n">
        <v>143679985</v>
      </c>
      <c r="E98" s="11" t="n"/>
      <c r="N98" s="11" t="n"/>
      <c r="O98" s="11" t="n">
        <v>47916</v>
      </c>
      <c r="P98" s="11" t="n"/>
      <c r="R98" s="12" t="n">
        <v>0.03</v>
      </c>
      <c r="V98" s="11" t="n"/>
      <c r="W98" s="11" t="n"/>
      <c r="Y98" s="11" t="n"/>
      <c r="AE98" s="11" t="n"/>
      <c r="AG98" s="13">
        <f>IF(OR(B98="",B98=0,M98=""),"",M98/B98*10000)</f>
        <v/>
      </c>
      <c r="AH98" s="13">
        <f>IF(OR(C98="",C98=0),"",N98/C98*10000)</f>
        <v/>
      </c>
      <c r="AI98" s="13">
        <f>IF(OR(D98="",D98=0),"",O98/D98*10000)</f>
        <v/>
      </c>
      <c r="AJ98" s="11" t="n"/>
      <c r="AK98" s="11" t="n"/>
      <c r="AN98" s="14" t="n"/>
      <c r="AO98" s="15" t="n"/>
      <c r="AP98" s="14" t="n">
        <v>16312096.56</v>
      </c>
      <c r="AQ98" s="14" t="n">
        <v>26300.1912</v>
      </c>
      <c r="AR98" s="14" t="n">
        <v>1191.9757</v>
      </c>
      <c r="AS98" s="14" t="n"/>
      <c r="AT98" s="16" t="n">
        <v>419.7284837102807</v>
      </c>
      <c r="AU98" s="17" t="n">
        <v>0.0217635942</v>
      </c>
      <c r="AV98" s="14" t="n">
        <v>426345523.4496</v>
      </c>
      <c r="AW98" s="18" t="n">
        <v>60100000</v>
      </c>
      <c r="AX98" s="19" t="n">
        <v>16312096.56</v>
      </c>
      <c r="AY98" s="18" t="n">
        <v>3100000</v>
      </c>
      <c r="AZ98" s="18">
        <f>1000000000-999827877.3207</f>
        <v/>
      </c>
      <c r="BA98" s="20">
        <f>1000000000-AV98-AW98-AX98-AY98-AZ98</f>
        <v/>
      </c>
      <c r="BB98" s="21" t="n">
        <v>244.9</v>
      </c>
      <c r="BC98" s="21">
        <f>BA98/1000000-BB98</f>
        <v/>
      </c>
      <c r="BD98" s="22">
        <f>BA98*17.88</f>
        <v/>
      </c>
    </row>
    <row r="99">
      <c r="A99" s="10" t="n">
        <v>45721</v>
      </c>
      <c r="B99" s="11" t="n">
        <v>6393102152.209929</v>
      </c>
      <c r="C99" s="11" t="n"/>
      <c r="D99" s="11" t="n">
        <v>171189803</v>
      </c>
      <c r="E99" s="11" t="n"/>
      <c r="N99" s="11" t="n"/>
      <c r="O99" s="11" t="n">
        <v>20047</v>
      </c>
      <c r="P99" s="11" t="n"/>
      <c r="R99" s="12" t="n">
        <v>0.03</v>
      </c>
      <c r="V99" s="11" t="n"/>
      <c r="W99" s="11" t="n"/>
      <c r="Y99" s="11" t="n"/>
      <c r="AE99" s="11" t="n"/>
      <c r="AG99" s="13">
        <f>IF(OR(B99="",B99=0,M99=""),"",M99/B99*10000)</f>
        <v/>
      </c>
      <c r="AH99" s="13">
        <f>IF(OR(C99="",C99=0),"",N99/C99*10000)</f>
        <v/>
      </c>
      <c r="AI99" s="13">
        <f>IF(OR(D99="",D99=0),"",O99/D99*10000)</f>
        <v/>
      </c>
      <c r="AJ99" s="11" t="n"/>
      <c r="AK99" s="11" t="n"/>
      <c r="AN99" s="14" t="n"/>
      <c r="AO99" s="15" t="n"/>
      <c r="AP99" s="14" t="n">
        <v>16429514.85</v>
      </c>
      <c r="AQ99" s="14" t="n">
        <v>26023.1564</v>
      </c>
      <c r="AR99" s="14" t="n">
        <v>2036.1675</v>
      </c>
      <c r="AS99" s="14" t="n"/>
      <c r="AT99" s="16" t="n">
        <v>418.2836383000939</v>
      </c>
      <c r="AU99" s="17" t="n">
        <v>0.0218007094</v>
      </c>
      <c r="AV99" s="14" t="n">
        <v>426319500.2932</v>
      </c>
      <c r="AW99" s="18" t="n">
        <v>60100000</v>
      </c>
      <c r="AX99" s="19" t="n">
        <v>16429514.85</v>
      </c>
      <c r="AY99" s="18" t="n">
        <v>3100000</v>
      </c>
      <c r="AZ99" s="18">
        <f>1000000000-999825841.1532</f>
        <v/>
      </c>
      <c r="BA99" s="20">
        <f>1000000000-AV99-AW99-AX99-AY99-AZ99</f>
        <v/>
      </c>
      <c r="BB99" s="21" t="n">
        <v>244.9</v>
      </c>
      <c r="BC99" s="21">
        <f>BA99/1000000-BB99</f>
        <v/>
      </c>
      <c r="BD99" s="22">
        <f>BA99*17.09</f>
        <v/>
      </c>
    </row>
    <row r="100">
      <c r="A100" s="10" t="n">
        <v>45722</v>
      </c>
      <c r="B100" s="11" t="n">
        <v>6898925843.815734</v>
      </c>
      <c r="C100" s="11" t="n"/>
      <c r="D100" s="11" t="n">
        <v>199378699</v>
      </c>
      <c r="E100" s="11" t="n"/>
      <c r="N100" s="11" t="n"/>
      <c r="O100" s="11" t="n">
        <v>24157</v>
      </c>
      <c r="P100" s="11" t="n"/>
      <c r="R100" s="12" t="n">
        <v>0.03</v>
      </c>
      <c r="V100" s="11" t="n"/>
      <c r="W100" s="11" t="n"/>
      <c r="Y100" s="11" t="n"/>
      <c r="AE100" s="11" t="n"/>
      <c r="AG100" s="13">
        <f>IF(OR(B100="",B100=0,M100=""),"",M100/B100*10000)</f>
        <v/>
      </c>
      <c r="AH100" s="13">
        <f>IF(OR(C100="",C100=0),"",N100/C100*10000)</f>
        <v/>
      </c>
      <c r="AI100" s="13">
        <f>IF(OR(D100="",D100=0),"",O100/D100*10000)</f>
        <v/>
      </c>
      <c r="AJ100" s="11" t="n"/>
      <c r="AK100" s="11" t="n"/>
      <c r="AN100" s="14" t="n"/>
      <c r="AO100" s="15" t="n"/>
      <c r="AP100" s="14" t="n">
        <v>16512215.26</v>
      </c>
      <c r="AQ100" s="14" t="n">
        <v>26246.193</v>
      </c>
      <c r="AR100" s="14" t="n">
        <v>835.7671</v>
      </c>
      <c r="AS100" s="14" t="n"/>
      <c r="AT100" s="16" t="n">
        <v>418.4236803070444</v>
      </c>
      <c r="AU100" s="17" t="n">
        <v>0.0217971036</v>
      </c>
      <c r="AV100" s="14" t="n">
        <v>426293254.1002</v>
      </c>
      <c r="AW100" s="18" t="n">
        <v>60100000</v>
      </c>
      <c r="AX100" s="19" t="n">
        <v>16512215.26</v>
      </c>
      <c r="AY100" s="18" t="n">
        <v>3100000</v>
      </c>
      <c r="AZ100" s="18">
        <f>1000000000-999825005.3861</f>
        <v/>
      </c>
      <c r="BA100" s="20">
        <f>1000000000-AV100-AW100-AX100-AY100-AZ100</f>
        <v/>
      </c>
      <c r="BB100" s="21" t="n">
        <v>244.9</v>
      </c>
      <c r="BC100" s="21">
        <f>BA100/1000000-BB100</f>
        <v/>
      </c>
      <c r="BD100" s="22">
        <f>BA100*17.18</f>
        <v/>
      </c>
    </row>
    <row r="101">
      <c r="A101" s="10" t="n">
        <v>45723</v>
      </c>
      <c r="B101" s="11" t="n">
        <v>10328312158.94852</v>
      </c>
      <c r="C101" s="11" t="n"/>
      <c r="D101" s="11" t="n">
        <v>149081874</v>
      </c>
      <c r="E101" s="11" t="n"/>
      <c r="N101" s="11" t="n"/>
      <c r="O101" s="11" t="n">
        <v>23676</v>
      </c>
      <c r="P101" s="11" t="n"/>
      <c r="R101" s="12" t="n">
        <v>0.03</v>
      </c>
      <c r="V101" s="11" t="n"/>
      <c r="W101" s="11" t="n"/>
      <c r="Y101" s="11" t="n"/>
      <c r="AE101" s="11" t="n"/>
      <c r="AG101" s="13">
        <f>IF(OR(B101="",B101=0,M101=""),"",M101/B101*10000)</f>
        <v/>
      </c>
      <c r="AH101" s="13">
        <f>IF(OR(C101="",C101=0),"",N101/C101*10000)</f>
        <v/>
      </c>
      <c r="AI101" s="13">
        <f>IF(OR(D101="",D101=0),"",O101/D101*10000)</f>
        <v/>
      </c>
      <c r="AJ101" s="11" t="n"/>
      <c r="AK101" s="11" t="n"/>
      <c r="AN101" s="14" t="n"/>
      <c r="AO101" s="15" t="n"/>
      <c r="AP101" s="14" t="n">
        <v>16639426.98</v>
      </c>
      <c r="AQ101" s="14" t="n">
        <v>26269.2514</v>
      </c>
      <c r="AR101" s="14" t="n">
        <v>957.7524</v>
      </c>
      <c r="AS101" s="14" t="n"/>
      <c r="AT101" s="16" t="n">
        <v>419.074456639484</v>
      </c>
      <c r="AU101" s="17" t="n">
        <v>0.0217803713</v>
      </c>
      <c r="AV101" s="14" t="n">
        <v>426266984.8488</v>
      </c>
      <c r="AW101" s="18" t="n">
        <v>60100000</v>
      </c>
      <c r="AX101" s="19" t="n">
        <v>16639426.98</v>
      </c>
      <c r="AY101" s="18" t="n">
        <v>3100000</v>
      </c>
      <c r="AZ101" s="18">
        <f>1000000000-999824047.6337</f>
        <v/>
      </c>
      <c r="BA101" s="20">
        <f>1000000000-AV101-AW101-AX101-AY101-AZ101</f>
        <v/>
      </c>
      <c r="BB101" s="21" t="n">
        <v>244.9</v>
      </c>
      <c r="BC101" s="21">
        <f>BA101/1000000-BB101</f>
        <v/>
      </c>
      <c r="BD101" s="22">
        <f>BA101*15.39</f>
        <v/>
      </c>
    </row>
    <row r="102">
      <c r="A102" s="10" t="n">
        <v>45724</v>
      </c>
      <c r="B102" s="11" t="n">
        <v>2704382867.574585</v>
      </c>
      <c r="C102" s="11" t="n"/>
      <c r="D102" s="11" t="n">
        <v>67592094</v>
      </c>
      <c r="E102" s="11" t="n"/>
      <c r="N102" s="11" t="n"/>
      <c r="O102" s="11" t="n">
        <v>10892</v>
      </c>
      <c r="P102" s="11" t="n"/>
      <c r="R102" s="12" t="n">
        <v>0.03</v>
      </c>
      <c r="V102" s="11" t="n"/>
      <c r="W102" s="11" t="n"/>
      <c r="Y102" s="11" t="n"/>
      <c r="AE102" s="11" t="n"/>
      <c r="AG102" s="13">
        <f>IF(OR(B102="",B102=0,M102=""),"",M102/B102*10000)</f>
        <v/>
      </c>
      <c r="AH102" s="13">
        <f>IF(OR(C102="",C102=0),"",N102/C102*10000)</f>
        <v/>
      </c>
      <c r="AI102" s="13">
        <f>IF(OR(D102="",D102=0),"",O102/D102*10000)</f>
        <v/>
      </c>
      <c r="AJ102" s="11" t="n"/>
      <c r="AK102" s="11" t="n"/>
      <c r="AN102" s="14" t="n"/>
      <c r="AO102" s="15" t="n"/>
      <c r="AP102" s="14" t="n">
        <v>16741647.32</v>
      </c>
      <c r="AQ102" s="14" t="n">
        <v>26284.4279</v>
      </c>
      <c r="AR102" s="14" t="n">
        <v>935.3216</v>
      </c>
      <c r="AS102" s="14" t="n"/>
      <c r="AT102" s="16" t="n">
        <v>419.208591735417</v>
      </c>
      <c r="AU102" s="17" t="n">
        <v>0.0217769273</v>
      </c>
      <c r="AV102" s="14" t="n">
        <v>426240700.421</v>
      </c>
      <c r="AW102" s="18" t="n">
        <v>60100000</v>
      </c>
      <c r="AX102" s="19" t="n">
        <v>16741647.32</v>
      </c>
      <c r="AY102" s="18" t="n">
        <v>3100000</v>
      </c>
      <c r="AZ102" s="18">
        <f>1000000000-999823112.312</f>
        <v/>
      </c>
      <c r="BA102" s="20">
        <f>1000000000-AV102-AW102-AX102-AY102-AZ102</f>
        <v/>
      </c>
      <c r="BB102" s="21" t="n">
        <v>244.9</v>
      </c>
      <c r="BC102" s="21">
        <f>BA102/1000000-BB102</f>
        <v/>
      </c>
      <c r="BD102" s="22">
        <f>BA102*15.14</f>
        <v/>
      </c>
    </row>
    <row r="103">
      <c r="A103" s="10" t="n">
        <v>45725</v>
      </c>
      <c r="B103" s="11" t="n">
        <v>5412422029.100883</v>
      </c>
      <c r="C103" s="11" t="n"/>
      <c r="D103" s="11" t="n">
        <v>118439528</v>
      </c>
      <c r="E103" s="11" t="n"/>
      <c r="N103" s="11" t="n"/>
      <c r="O103" s="11" t="n">
        <v>17991</v>
      </c>
      <c r="P103" s="11" t="n"/>
      <c r="R103" s="12" t="n">
        <v>0.03</v>
      </c>
      <c r="V103" s="11" t="n"/>
      <c r="W103" s="11" t="n"/>
      <c r="Y103" s="11" t="n"/>
      <c r="AE103" s="11" t="n"/>
      <c r="AG103" s="13">
        <f>IF(OR(B103="",B103=0,M103=""),"",M103/B103*10000)</f>
        <v/>
      </c>
      <c r="AH103" s="13">
        <f>IF(OR(C103="",C103=0),"",N103/C103*10000)</f>
        <v/>
      </c>
      <c r="AI103" s="13">
        <f>IF(OR(D103="",D103=0),"",O103/D103*10000)</f>
        <v/>
      </c>
      <c r="AJ103" s="11" t="n"/>
      <c r="AK103" s="11" t="n"/>
      <c r="AN103" s="14" t="n"/>
      <c r="AO103" s="15" t="n"/>
      <c r="AP103" s="14" t="n">
        <v>16773653.19</v>
      </c>
      <c r="AQ103" s="14" t="n">
        <v>26298.1187</v>
      </c>
      <c r="AR103" s="14" t="n">
        <v>452.9895</v>
      </c>
      <c r="AS103" s="14" t="n"/>
      <c r="AT103" s="16" t="n">
        <v>421.1283786273729</v>
      </c>
      <c r="AU103" s="17" t="n">
        <v>0.0217278147</v>
      </c>
      <c r="AV103" s="14" t="n">
        <v>426214402.3023</v>
      </c>
      <c r="AW103" s="18" t="n">
        <v>60100000</v>
      </c>
      <c r="AX103" s="19" t="n">
        <v>16773653.19</v>
      </c>
      <c r="AY103" s="18" t="n">
        <v>3100000</v>
      </c>
      <c r="AZ103" s="18">
        <f>1000000000-999822659.3226</f>
        <v/>
      </c>
      <c r="BA103" s="20">
        <f>1000000000-AV103-AW103-AX103-AY103-AZ103</f>
        <v/>
      </c>
      <c r="BB103" s="21" t="n">
        <v>244.9</v>
      </c>
      <c r="BC103" s="21">
        <f>BA103/1000000-BB103</f>
        <v/>
      </c>
      <c r="BD103" s="22">
        <f>BA103*15.11</f>
        <v/>
      </c>
    </row>
    <row r="104">
      <c r="A104" s="10" t="n">
        <v>45726</v>
      </c>
      <c r="B104" s="11" t="n">
        <v>9662861733.834814</v>
      </c>
      <c r="C104" s="11" t="n"/>
      <c r="D104" s="11" t="n">
        <v>169103609</v>
      </c>
      <c r="E104" s="11" t="n"/>
      <c r="N104" s="11" t="n"/>
      <c r="O104" s="11" t="n">
        <v>24937</v>
      </c>
      <c r="P104" s="11" t="n"/>
      <c r="R104" s="12" t="n">
        <v>0.03</v>
      </c>
      <c r="V104" s="11" t="n"/>
      <c r="W104" s="11" t="n"/>
      <c r="Y104" s="11" t="n"/>
      <c r="AE104" s="11" t="n"/>
      <c r="AG104" s="13">
        <f>IF(OR(B104="",B104=0,M104=""),"",M104/B104*10000)</f>
        <v/>
      </c>
      <c r="AH104" s="13">
        <f>IF(OR(C104="",C104=0),"",N104/C104*10000)</f>
        <v/>
      </c>
      <c r="AI104" s="13">
        <f>IF(OR(D104="",D104=0),"",O104/D104*10000)</f>
        <v/>
      </c>
      <c r="AJ104" s="11" t="n"/>
      <c r="AK104" s="11" t="n"/>
      <c r="AN104" s="14" t="n"/>
      <c r="AO104" s="15" t="n"/>
      <c r="AP104" s="14" t="n">
        <v>16870455.19</v>
      </c>
      <c r="AQ104" s="14" t="n">
        <v>26363.6194</v>
      </c>
      <c r="AR104" s="14" t="n">
        <v>623.5696</v>
      </c>
      <c r="AS104" s="14" t="n"/>
      <c r="AT104" s="16" t="n">
        <v>421.4715664321867</v>
      </c>
      <c r="AU104" s="17" t="n">
        <v>0.0217190702</v>
      </c>
      <c r="AV104" s="14" t="n">
        <v>426188038.6829</v>
      </c>
      <c r="AW104" s="18" t="n">
        <v>60100000</v>
      </c>
      <c r="AX104" s="19" t="n">
        <v>16870455.19</v>
      </c>
      <c r="AY104" s="18" t="n">
        <v>3100000</v>
      </c>
      <c r="AZ104" s="18">
        <f>1000000000-999822035.753</f>
        <v/>
      </c>
      <c r="BA104" s="20">
        <f>1000000000-AV104-AW104-AX104-AY104-AZ104</f>
        <v/>
      </c>
      <c r="BB104" s="21" t="n">
        <v>244.9</v>
      </c>
      <c r="BC104" s="21">
        <f>BA104/1000000-BB104</f>
        <v/>
      </c>
      <c r="BD104" s="22">
        <f>BA104*14.42</f>
        <v/>
      </c>
    </row>
    <row r="105">
      <c r="A105" s="10" t="n">
        <v>45727</v>
      </c>
      <c r="B105" s="11" t="n">
        <v>8230997836.537791</v>
      </c>
      <c r="C105" s="11" t="n"/>
      <c r="D105" s="11" t="n">
        <v>165879349</v>
      </c>
      <c r="E105" s="11" t="n"/>
      <c r="N105" s="11" t="n"/>
      <c r="O105" s="11" t="n">
        <v>24588</v>
      </c>
      <c r="P105" s="11" t="n"/>
      <c r="R105" s="12" t="n">
        <v>0.03</v>
      </c>
      <c r="V105" s="11" t="n"/>
      <c r="W105" s="11" t="n"/>
      <c r="Y105" s="11" t="n"/>
      <c r="AE105" s="11" t="n"/>
      <c r="AG105" s="13">
        <f>IF(OR(B105="",B105=0,M105=""),"",M105/B105*10000)</f>
        <v/>
      </c>
      <c r="AH105" s="13">
        <f>IF(OR(C105="",C105=0),"",N105/C105*10000)</f>
        <v/>
      </c>
      <c r="AI105" s="13">
        <f>IF(OR(D105="",D105=0),"",O105/D105*10000)</f>
        <v/>
      </c>
      <c r="AJ105" s="11" t="n"/>
      <c r="AK105" s="11" t="n"/>
      <c r="AN105" s="14" t="n"/>
      <c r="AO105" s="15" t="n"/>
      <c r="AP105" s="14" t="n">
        <v>17041443.72</v>
      </c>
      <c r="AQ105" s="14" t="n">
        <v>26334.2317</v>
      </c>
      <c r="AR105" s="14" t="n">
        <v>1085.8531</v>
      </c>
      <c r="AS105" s="14" t="n"/>
      <c r="AT105" s="16" t="n">
        <v>421.1599704126418</v>
      </c>
      <c r="AU105" s="17" t="n">
        <v>0.0217270093</v>
      </c>
      <c r="AV105" s="14" t="n">
        <v>426161704.4513</v>
      </c>
      <c r="AW105" s="18" t="n">
        <v>60100000</v>
      </c>
      <c r="AX105" s="19" t="n">
        <v>17041443.72</v>
      </c>
      <c r="AY105" s="18" t="n">
        <v>3100000</v>
      </c>
      <c r="AZ105" s="18">
        <f>1000000000-999820949.8999</f>
        <v/>
      </c>
      <c r="BA105" s="20">
        <f>1000000000-AV105-AW105-AX105-AY105-AZ105</f>
        <v/>
      </c>
      <c r="BB105" s="21" t="n">
        <v>244.9</v>
      </c>
      <c r="BC105" s="21">
        <f>BA105/1000000-BB105</f>
        <v/>
      </c>
      <c r="BD105" s="22">
        <f>BA105*13.46</f>
        <v/>
      </c>
    </row>
    <row r="106">
      <c r="A106" s="10" t="n">
        <v>45728</v>
      </c>
      <c r="B106" s="11" t="n">
        <v>7385946216.235805</v>
      </c>
      <c r="C106" s="11" t="n"/>
      <c r="D106" s="11" t="n">
        <v>179610161</v>
      </c>
      <c r="E106" s="11" t="n"/>
      <c r="N106" s="11" t="n"/>
      <c r="O106" s="11" t="n">
        <v>26516</v>
      </c>
      <c r="P106" s="11" t="n"/>
      <c r="R106" s="12" t="n">
        <v>0.03</v>
      </c>
      <c r="V106" s="11" t="n"/>
      <c r="W106" s="11" t="n"/>
      <c r="Y106" s="11" t="n"/>
      <c r="AE106" s="11" t="n"/>
      <c r="AG106" s="13">
        <f>IF(OR(B106="",B106=0,M106=""),"",M106/B106*10000)</f>
        <v/>
      </c>
      <c r="AH106" s="13">
        <f>IF(OR(C106="",C106=0),"",N106/C106*10000)</f>
        <v/>
      </c>
      <c r="AI106" s="13">
        <f>IF(OR(D106="",D106=0),"",O106/D106*10000)</f>
        <v/>
      </c>
      <c r="AJ106" s="11" t="n"/>
      <c r="AK106" s="11" t="n"/>
      <c r="AN106" s="14" t="n"/>
      <c r="AO106" s="15" t="n"/>
      <c r="AP106" s="14" t="n">
        <v>17144489.76</v>
      </c>
      <c r="AQ106" s="14" t="n">
        <v>26325.6793</v>
      </c>
      <c r="AR106" s="14" t="n">
        <v>1086.3826</v>
      </c>
      <c r="AS106" s="14" t="n"/>
      <c r="AT106" s="16" t="n">
        <v>422.7438832913089</v>
      </c>
      <c r="AU106" s="17" t="n">
        <v>0.0216867437</v>
      </c>
      <c r="AV106" s="14" t="n">
        <v>426135378.772</v>
      </c>
      <c r="AW106" s="18" t="n">
        <v>60100000</v>
      </c>
      <c r="AX106" s="19" t="n">
        <v>17144489.76</v>
      </c>
      <c r="AY106" s="18" t="n">
        <v>3100000</v>
      </c>
      <c r="AZ106" s="18">
        <f>1000000000-999819863.5174</f>
        <v/>
      </c>
      <c r="BA106" s="20">
        <f>1000000000-AV106-AW106-AX106-AY106-AZ106</f>
        <v/>
      </c>
      <c r="BB106" s="21" t="n">
        <v>244.9</v>
      </c>
      <c r="BC106" s="21">
        <f>BA106/1000000-BB106</f>
        <v/>
      </c>
      <c r="BD106" s="22">
        <f>BA106*13.78</f>
        <v/>
      </c>
    </row>
    <row r="107">
      <c r="A107" s="10" t="n">
        <v>45729</v>
      </c>
      <c r="B107" s="11" t="n">
        <v>4794383453.130346</v>
      </c>
      <c r="C107" s="11" t="n"/>
      <c r="D107" s="11" t="n">
        <v>144019081</v>
      </c>
      <c r="E107" s="11" t="n"/>
      <c r="N107" s="11" t="n"/>
      <c r="O107" s="11" t="n">
        <v>21681</v>
      </c>
      <c r="P107" s="11" t="n"/>
      <c r="R107" s="12" t="n">
        <v>0.03</v>
      </c>
      <c r="V107" s="11" t="n"/>
      <c r="W107" s="11" t="n"/>
      <c r="Y107" s="11" t="n"/>
      <c r="AE107" s="11" t="n"/>
      <c r="AG107" s="13">
        <f>IF(OR(B107="",B107=0,M107=""),"",M107/B107*10000)</f>
        <v/>
      </c>
      <c r="AH107" s="13">
        <f>IF(OR(C107="",C107=0),"",N107/C107*10000)</f>
        <v/>
      </c>
      <c r="AI107" s="13">
        <f>IF(OR(D107="",D107=0),"",O107/D107*10000)</f>
        <v/>
      </c>
      <c r="AJ107" s="11" t="n"/>
      <c r="AK107" s="11" t="n"/>
      <c r="AN107" s="14" t="n"/>
      <c r="AO107" s="15" t="n"/>
      <c r="AP107" s="14" t="n">
        <v>17255896.02</v>
      </c>
      <c r="AQ107" s="14" t="n">
        <v>26389.0402</v>
      </c>
      <c r="AR107" s="14" t="n">
        <v>1361.7718</v>
      </c>
      <c r="AS107" s="14" t="n"/>
      <c r="AT107" s="16" t="n">
        <v>422.1337571977992</v>
      </c>
      <c r="AU107" s="17" t="n">
        <v>0.0217022275</v>
      </c>
      <c r="AV107" s="14" t="n">
        <v>426108989.7317</v>
      </c>
      <c r="AW107" s="18" t="n">
        <v>60100000</v>
      </c>
      <c r="AX107" s="19" t="n">
        <v>17255896.02</v>
      </c>
      <c r="AY107" s="18" t="n">
        <v>3100000</v>
      </c>
      <c r="AZ107" s="18">
        <f>1000000000-999818501.7456</f>
        <v/>
      </c>
      <c r="BA107" s="20">
        <f>1000000000-AV107-AW107-AX107-AY107-AZ107</f>
        <v/>
      </c>
      <c r="BB107" s="21" t="n">
        <v>244.9</v>
      </c>
      <c r="BC107" s="21">
        <f>BA107/1000000-BB107</f>
        <v/>
      </c>
      <c r="BD107" s="22">
        <f>BA107*13.16</f>
        <v/>
      </c>
    </row>
    <row r="108">
      <c r="A108" s="10" t="n">
        <v>45730</v>
      </c>
      <c r="B108" s="11" t="n">
        <v>4206697098.393208</v>
      </c>
      <c r="C108" s="11" t="n"/>
      <c r="D108" s="11" t="n">
        <v>129815493</v>
      </c>
      <c r="E108" s="11" t="n"/>
      <c r="N108" s="11" t="n"/>
      <c r="O108" s="11" t="n">
        <v>16728</v>
      </c>
      <c r="P108" s="11" t="n"/>
      <c r="R108" s="12" t="n">
        <v>0.03</v>
      </c>
      <c r="V108" s="11" t="n"/>
      <c r="W108" s="11" t="n"/>
      <c r="Y108" s="11" t="n"/>
      <c r="AE108" s="11" t="n"/>
      <c r="AG108" s="13">
        <f>IF(OR(B108="",B108=0,M108=""),"",M108/B108*10000)</f>
        <v/>
      </c>
      <c r="AH108" s="13">
        <f>IF(OR(C108="",C108=0),"",N108/C108*10000)</f>
        <v/>
      </c>
      <c r="AI108" s="13">
        <f>IF(OR(D108="",D108=0),"",O108/D108*10000)</f>
        <v/>
      </c>
      <c r="AJ108" s="11" t="n"/>
      <c r="AK108" s="11" t="n"/>
      <c r="AN108" s="14" t="n"/>
      <c r="AO108" s="15" t="n"/>
      <c r="AP108" s="14" t="n">
        <v>17348727.29</v>
      </c>
      <c r="AQ108" s="14" t="n">
        <v>26348.158</v>
      </c>
      <c r="AR108" s="14" t="n">
        <v>1180.449</v>
      </c>
      <c r="AS108" s="14" t="n"/>
      <c r="AT108" s="16" t="n">
        <v>420.8022083295465</v>
      </c>
      <c r="AU108" s="17" t="n">
        <v>0.0217361353</v>
      </c>
      <c r="AV108" s="14" t="n">
        <v>426082641.5737</v>
      </c>
      <c r="AW108" s="18" t="n">
        <v>60100000</v>
      </c>
      <c r="AX108" s="19" t="n">
        <v>17348727.29</v>
      </c>
      <c r="AY108" s="18" t="n">
        <v>3100000</v>
      </c>
      <c r="AZ108" s="18">
        <f>1000000000-999817321.2966</f>
        <v/>
      </c>
      <c r="BA108" s="20">
        <f>1000000000-AV108-AW108-AX108-AY108-AZ108</f>
        <v/>
      </c>
      <c r="BB108" s="21" t="n">
        <v>244.9</v>
      </c>
      <c r="BC108" s="21">
        <f>BA108/1000000-BB108</f>
        <v/>
      </c>
      <c r="BD108" s="22">
        <f>BA108*12.32</f>
        <v/>
      </c>
    </row>
    <row r="109">
      <c r="A109" s="10" t="n">
        <v>45731</v>
      </c>
      <c r="B109" s="11" t="n">
        <v>2136911541.357526</v>
      </c>
      <c r="C109" s="11" t="n"/>
      <c r="D109" s="11" t="n">
        <v>57862220</v>
      </c>
      <c r="E109" s="11" t="n"/>
      <c r="N109" s="11" t="n"/>
      <c r="O109" s="11" t="n">
        <v>7895</v>
      </c>
      <c r="P109" s="11" t="n"/>
      <c r="R109" s="12" t="n">
        <v>0.03</v>
      </c>
      <c r="V109" s="11" t="n"/>
      <c r="W109" s="11" t="n"/>
      <c r="Y109" s="11" t="n"/>
      <c r="AE109" s="11" t="n"/>
      <c r="AG109" s="13">
        <f>IF(OR(B109="",B109=0,M109=""),"",M109/B109*10000)</f>
        <v/>
      </c>
      <c r="AH109" s="13">
        <f>IF(OR(C109="",C109=0),"",N109/C109*10000)</f>
        <v/>
      </c>
      <c r="AI109" s="13">
        <f>IF(OR(D109="",D109=0),"",O109/D109*10000)</f>
        <v/>
      </c>
      <c r="AJ109" s="11" t="n"/>
      <c r="AK109" s="11" t="n"/>
      <c r="AN109" s="14" t="n"/>
      <c r="AO109" s="15" t="n"/>
      <c r="AP109" s="14" t="n">
        <v>17415406.91</v>
      </c>
      <c r="AQ109" s="14" t="n">
        <v>26350.721</v>
      </c>
      <c r="AR109" s="14" t="n">
        <v>1123.12</v>
      </c>
      <c r="AS109" s="14" t="n"/>
      <c r="AT109" s="16" t="n">
        <v>421.8376615936272</v>
      </c>
      <c r="AU109" s="17" t="n">
        <v>0.0217097538</v>
      </c>
      <c r="AV109" s="14" t="n">
        <v>426056290.8527</v>
      </c>
      <c r="AW109" s="18" t="n">
        <v>60100000</v>
      </c>
      <c r="AX109" s="19" t="n">
        <v>17415406.91</v>
      </c>
      <c r="AY109" s="18" t="n">
        <v>3100000</v>
      </c>
      <c r="AZ109" s="18">
        <f>1000000000-999816198.1766</f>
        <v/>
      </c>
      <c r="BA109" s="20">
        <f>1000000000-AV109-AW109-AX109-AY109-AZ109</f>
        <v/>
      </c>
      <c r="BB109" s="21" t="n">
        <v>244.9</v>
      </c>
      <c r="BC109" s="21">
        <f>BA109/1000000-BB109</f>
        <v/>
      </c>
      <c r="BD109" s="22">
        <f>BA109*13.8</f>
        <v/>
      </c>
    </row>
    <row r="110">
      <c r="A110" s="10" t="n">
        <v>45732</v>
      </c>
      <c r="B110" s="11" t="n">
        <v>3662298195.66477</v>
      </c>
      <c r="C110" s="11" t="n"/>
      <c r="D110" s="11" t="n">
        <v>61473426</v>
      </c>
      <c r="E110" s="11" t="n"/>
      <c r="N110" s="11" t="n"/>
      <c r="O110" s="11" t="n">
        <v>10659</v>
      </c>
      <c r="P110" s="11" t="n"/>
      <c r="R110" s="12" t="n">
        <v>0.03</v>
      </c>
      <c r="V110" s="11" t="n"/>
      <c r="W110" s="11" t="n"/>
      <c r="Y110" s="11" t="n"/>
      <c r="AE110" s="11" t="n"/>
      <c r="AG110" s="13">
        <f>IF(OR(B110="",B110=0,M110=""),"",M110/B110*10000)</f>
        <v/>
      </c>
      <c r="AH110" s="13">
        <f>IF(OR(C110="",C110=0),"",N110/C110*10000)</f>
        <v/>
      </c>
      <c r="AI110" s="13">
        <f>IF(OR(D110="",D110=0),"",O110/D110*10000)</f>
        <v/>
      </c>
      <c r="AJ110" s="11" t="n"/>
      <c r="AK110" s="11" t="n"/>
      <c r="AN110" s="14" t="n"/>
      <c r="AO110" s="15" t="n"/>
      <c r="AP110" s="14" t="n">
        <v>17448594.25</v>
      </c>
      <c r="AQ110" s="14" t="n">
        <v>26366.3447</v>
      </c>
      <c r="AR110" s="14" t="n">
        <v>394.0556</v>
      </c>
      <c r="AS110" s="14" t="n"/>
      <c r="AT110" s="16" t="n">
        <v>421.855200337141</v>
      </c>
      <c r="AU110" s="17" t="n">
        <v>0.0217093077</v>
      </c>
      <c r="AV110" s="14" t="n">
        <v>426029924.508</v>
      </c>
      <c r="AW110" s="18" t="n">
        <v>60100000</v>
      </c>
      <c r="AX110" s="19" t="n">
        <v>17448594.25</v>
      </c>
      <c r="AY110" s="18" t="n">
        <v>3100000</v>
      </c>
      <c r="AZ110" s="18">
        <f>1000000000-999815804.121</f>
        <v/>
      </c>
      <c r="BA110" s="20">
        <f>1000000000-AV110-AW110-AX110-AY110-AZ110</f>
        <v/>
      </c>
      <c r="BB110" s="21" t="n">
        <v>244.9</v>
      </c>
      <c r="BC110" s="21">
        <f>BA110/1000000-BB110</f>
        <v/>
      </c>
      <c r="BD110" s="22">
        <f>BA110*14.38</f>
        <v/>
      </c>
    </row>
    <row r="111">
      <c r="A111" s="10" t="n">
        <v>45733</v>
      </c>
      <c r="B111" s="11" t="n">
        <v>3724551748.312353</v>
      </c>
      <c r="C111" s="11" t="n"/>
      <c r="D111" s="11" t="n">
        <v>62237612</v>
      </c>
      <c r="E111" s="11" t="n"/>
      <c r="N111" s="11" t="n"/>
      <c r="O111" s="11" t="n">
        <v>8208</v>
      </c>
      <c r="P111" s="11" t="n"/>
      <c r="R111" s="12" t="n">
        <v>0.03</v>
      </c>
      <c r="V111" s="11" t="n"/>
      <c r="W111" s="11" t="n"/>
      <c r="Y111" s="11" t="n"/>
      <c r="AE111" s="11" t="n"/>
      <c r="AG111" s="13">
        <f>IF(OR(B111="",B111=0,M111=""),"",M111/B111*10000)</f>
        <v/>
      </c>
      <c r="AH111" s="13">
        <f>IF(OR(C111="",C111=0),"",N111/C111*10000)</f>
        <v/>
      </c>
      <c r="AI111" s="13">
        <f>IF(OR(D111="",D111=0),"",O111/D111*10000)</f>
        <v/>
      </c>
      <c r="AJ111" s="11" t="n"/>
      <c r="AK111" s="11" t="n"/>
      <c r="AN111" s="14" t="n"/>
      <c r="AO111" s="15" t="n"/>
      <c r="AP111" s="14" t="n">
        <v>17515019.42</v>
      </c>
      <c r="AQ111" s="14" t="n">
        <v>26359.8114</v>
      </c>
      <c r="AR111" s="14" t="n">
        <v>337.0554</v>
      </c>
      <c r="AS111" s="14" t="n"/>
      <c r="AT111" s="16" t="n">
        <v>421.5803246758637</v>
      </c>
      <c r="AU111" s="17" t="n">
        <v>0.0217163013</v>
      </c>
      <c r="AV111" s="14" t="n">
        <v>426003564.6966</v>
      </c>
      <c r="AW111" s="18" t="n">
        <v>60100000</v>
      </c>
      <c r="AX111" s="19" t="n">
        <v>17515019.42</v>
      </c>
      <c r="AY111" s="18" t="n">
        <v>3100000</v>
      </c>
      <c r="AZ111" s="18">
        <f>1000000000-999815467.0656</f>
        <v/>
      </c>
      <c r="BA111" s="20">
        <f>1000000000-AV111-AW111-AX111-AY111-AZ111</f>
        <v/>
      </c>
      <c r="BB111" s="21" t="n">
        <v>244.9</v>
      </c>
      <c r="BC111" s="21">
        <f>BA111/1000000-BB111</f>
        <v/>
      </c>
      <c r="BD111" s="22">
        <f>BA111*12.97</f>
        <v/>
      </c>
    </row>
    <row r="112">
      <c r="A112" s="10" t="n">
        <v>45734</v>
      </c>
      <c r="B112" s="11" t="n">
        <v>4923537604.501444</v>
      </c>
      <c r="C112" s="11" t="n"/>
      <c r="D112" s="11" t="n">
        <v>57535112</v>
      </c>
      <c r="E112" s="11" t="n"/>
      <c r="N112" s="11" t="n"/>
      <c r="O112" s="11" t="n">
        <v>8169</v>
      </c>
      <c r="P112" s="11" t="n"/>
      <c r="R112" s="12" t="n">
        <v>0.03</v>
      </c>
      <c r="V112" s="11" t="n"/>
      <c r="W112" s="11" t="n"/>
      <c r="Y112" s="11" t="n"/>
      <c r="AE112" s="11" t="n"/>
      <c r="AG112" s="13">
        <f>IF(OR(B112="",B112=0,M112=""),"",M112/B112*10000)</f>
        <v/>
      </c>
      <c r="AH112" s="13">
        <f>IF(OR(C112="",C112=0),"",N112/C112*10000)</f>
        <v/>
      </c>
      <c r="AI112" s="13">
        <f>IF(OR(D112="",D112=0),"",O112/D112*10000)</f>
        <v/>
      </c>
      <c r="AJ112" s="11" t="n"/>
      <c r="AK112" s="11" t="n"/>
      <c r="AN112" s="14" t="n"/>
      <c r="AO112" s="15" t="n"/>
      <c r="AP112" s="14" t="n">
        <v>17593696.73</v>
      </c>
      <c r="AQ112" s="14" t="n">
        <v>26362.7924</v>
      </c>
      <c r="AR112" s="14" t="n">
        <v>471.6324</v>
      </c>
      <c r="AS112" s="14" t="n"/>
      <c r="AT112" s="16" t="n">
        <v>422.1369419919741</v>
      </c>
      <c r="AU112" s="17" t="n">
        <v>0.0217021466</v>
      </c>
      <c r="AV112" s="14" t="n">
        <v>425977201.9042</v>
      </c>
      <c r="AW112" s="18" t="n">
        <v>60100000</v>
      </c>
      <c r="AX112" s="19" t="n">
        <v>17593696.73</v>
      </c>
      <c r="AY112" s="18" t="n">
        <v>3100000</v>
      </c>
      <c r="AZ112" s="18">
        <f>1000000000-999814995.4333</f>
        <v/>
      </c>
      <c r="BA112" s="20">
        <f>1000000000-AV112-AW112-AX112-AY112-AZ112</f>
        <v/>
      </c>
      <c r="BB112" s="21" t="n">
        <v>244.9</v>
      </c>
      <c r="BC112" s="21">
        <f>BA112/1000000-BB112</f>
        <v/>
      </c>
      <c r="BD112" s="22">
        <f>BA112*13.25</f>
        <v/>
      </c>
    </row>
    <row r="113">
      <c r="A113" s="10" t="n">
        <v>45735</v>
      </c>
      <c r="B113" s="11" t="n">
        <v>5936470683.989239</v>
      </c>
      <c r="C113" s="11" t="n"/>
      <c r="D113" s="11" t="n">
        <v>135305314</v>
      </c>
      <c r="E113" s="11" t="n"/>
      <c r="N113" s="11" t="n"/>
      <c r="O113" s="11" t="n">
        <v>18478</v>
      </c>
      <c r="P113" s="11" t="n"/>
      <c r="R113" s="12" t="n">
        <v>0.03</v>
      </c>
      <c r="V113" s="11" t="n"/>
      <c r="W113" s="11" t="n"/>
      <c r="Y113" s="11" t="n"/>
      <c r="AE113" s="11" t="n"/>
      <c r="AG113" s="13">
        <f>IF(OR(B113="",B113=0,M113=""),"",M113/B113*10000)</f>
        <v/>
      </c>
      <c r="AH113" s="13">
        <f>IF(OR(C113="",C113=0),"",N113/C113*10000)</f>
        <v/>
      </c>
      <c r="AI113" s="13">
        <f>IF(OR(D113="",D113=0),"",O113/D113*10000)</f>
        <v/>
      </c>
      <c r="AJ113" s="11" t="n"/>
      <c r="AK113" s="11" t="n"/>
      <c r="AN113" s="14" t="n"/>
      <c r="AO113" s="15" t="n"/>
      <c r="AP113" s="14" t="n">
        <v>17658355.82</v>
      </c>
      <c r="AQ113" s="14" t="n">
        <v>26377.2891</v>
      </c>
      <c r="AR113" s="14" t="n">
        <v>408.8611</v>
      </c>
      <c r="AS113" s="14" t="n"/>
      <c r="AT113" s="16" t="n">
        <v>422.4574200670626</v>
      </c>
      <c r="AU113" s="17" t="n">
        <v>0.0216940094</v>
      </c>
      <c r="AV113" s="14" t="n">
        <v>425950824.6151</v>
      </c>
      <c r="AW113" s="18" t="n">
        <v>60100000</v>
      </c>
      <c r="AX113" s="19" t="n">
        <v>17658355.82</v>
      </c>
      <c r="AY113" s="18" t="n">
        <v>3100000</v>
      </c>
      <c r="AZ113" s="18">
        <f>1000000000-999814586.5722</f>
        <v/>
      </c>
      <c r="BA113" s="20">
        <f>1000000000-AV113-AW113-AX113-AY113-AZ113</f>
        <v/>
      </c>
      <c r="BB113" s="21" t="n">
        <v>244.9</v>
      </c>
      <c r="BC113" s="21">
        <f>BA113/1000000-BB113</f>
        <v/>
      </c>
      <c r="BD113" s="22">
        <f>BA113*14.17</f>
        <v/>
      </c>
    </row>
    <row r="114">
      <c r="A114" s="10" t="n">
        <v>45736</v>
      </c>
      <c r="B114" s="11" t="n">
        <v>4798349094.547944</v>
      </c>
      <c r="C114" s="11" t="n"/>
      <c r="D114" s="11" t="n">
        <v>84104047</v>
      </c>
      <c r="E114" s="11" t="n"/>
      <c r="M114" s="22">
        <f>Z114/(1-R114)</f>
        <v/>
      </c>
      <c r="N114" s="11" t="n"/>
      <c r="O114" s="11" t="n">
        <v>14033</v>
      </c>
      <c r="P114" s="11" t="n"/>
      <c r="Q114" s="22">
        <f>M114+N114+O114+P114</f>
        <v/>
      </c>
      <c r="R114" s="12" t="n">
        <v>0.03</v>
      </c>
      <c r="S114" s="22">
        <f>M114*R114</f>
        <v/>
      </c>
      <c r="T114" s="22">
        <f>N114*R114</f>
        <v/>
      </c>
      <c r="U114" s="22">
        <f>(O114-V114)*R114</f>
        <v/>
      </c>
      <c r="V114" s="11" t="n"/>
      <c r="W114" s="11" t="n"/>
      <c r="X114" s="22">
        <f>S114+T114+U114+V114+W114</f>
        <v/>
      </c>
      <c r="Y114" s="11" t="n"/>
      <c r="Z114" s="22">
        <f>AE114-AB114-AA114-AC114</f>
        <v/>
      </c>
      <c r="AA114" s="22">
        <f>N114-T114-W114</f>
        <v/>
      </c>
      <c r="AB114" s="22">
        <f>O114-V114-U114</f>
        <v/>
      </c>
      <c r="AC114" s="22">
        <f>P114</f>
        <v/>
      </c>
      <c r="AD114" s="23">
        <f>Z114+AA114+AB114+AC114</f>
        <v/>
      </c>
      <c r="AE114" s="11" t="n">
        <v>1360250.11</v>
      </c>
      <c r="AF114" s="24">
        <f>AD114-AE114</f>
        <v/>
      </c>
      <c r="AG114" s="13">
        <f>IF(OR(B114="",B114=0,M114=""),"",M114/B114*10000)</f>
        <v/>
      </c>
      <c r="AH114" s="13">
        <f>IF(OR(C114="",C114=0),"",N114/C114*10000)</f>
        <v/>
      </c>
      <c r="AI114" s="13">
        <f>IF(OR(D114="",D114=0),"",O114/D114*10000)</f>
        <v/>
      </c>
      <c r="AJ114" s="11" t="n">
        <v>222.6507295013012</v>
      </c>
      <c r="AK114" s="11" t="n">
        <v>35438.86</v>
      </c>
      <c r="AL114" s="22">
        <f>AE114+AJ114+AK114</f>
        <v/>
      </c>
      <c r="AM114" s="22">
        <f>AE114</f>
        <v/>
      </c>
      <c r="AN114" s="14" t="n">
        <v>93242.48</v>
      </c>
      <c r="AO114" s="15" t="n">
        <v>14.588309</v>
      </c>
      <c r="AP114" s="14" t="n">
        <v>17751598.3</v>
      </c>
      <c r="AQ114" s="14" t="n">
        <v>26389.3845</v>
      </c>
      <c r="AR114" s="14" t="n">
        <v>1047.6243</v>
      </c>
      <c r="AS114" s="14" t="n"/>
      <c r="AT114" s="16" t="n">
        <v>423.3680320681051</v>
      </c>
      <c r="AU114" s="17" t="n">
        <v>0.0216709385</v>
      </c>
      <c r="AV114" s="14" t="n">
        <v>425924435.2306</v>
      </c>
      <c r="AW114" s="18" t="n">
        <v>60100000</v>
      </c>
      <c r="AX114" s="19" t="n">
        <v>17751598.3</v>
      </c>
      <c r="AY114" s="18" t="n">
        <v>3100000</v>
      </c>
      <c r="AZ114" s="18">
        <f>1000000000-999813538.9479</f>
        <v/>
      </c>
      <c r="BA114" s="20">
        <f>1000000000-AV114-AW114-AX114-AY114-AZ114</f>
        <v/>
      </c>
      <c r="BB114" s="21" t="n">
        <v>244.9</v>
      </c>
      <c r="BC114" s="21">
        <f>BA114/1000000-BB114</f>
        <v/>
      </c>
      <c r="BD114" s="22">
        <f>BA114*15.62</f>
        <v/>
      </c>
    </row>
    <row r="115">
      <c r="A115" s="10" t="n">
        <v>45737</v>
      </c>
      <c r="B115" s="11" t="n">
        <v>3535282613.280395</v>
      </c>
      <c r="C115" s="11" t="n"/>
      <c r="D115" s="11" t="n">
        <v>96389184</v>
      </c>
      <c r="E115" s="11" t="n"/>
      <c r="M115" s="22">
        <f>Z115/(1-R115)</f>
        <v/>
      </c>
      <c r="N115" s="11" t="n"/>
      <c r="O115" s="11" t="n">
        <v>12366</v>
      </c>
      <c r="P115" s="11" t="n"/>
      <c r="Q115" s="22">
        <f>M115+N115+O115+P115</f>
        <v/>
      </c>
      <c r="R115" s="12" t="n">
        <v>0.03</v>
      </c>
      <c r="S115" s="22">
        <f>M115*R115</f>
        <v/>
      </c>
      <c r="T115" s="22">
        <f>N115*R115</f>
        <v/>
      </c>
      <c r="U115" s="22">
        <f>(O115-V115)*R115</f>
        <v/>
      </c>
      <c r="V115" s="11" t="n"/>
      <c r="W115" s="11" t="n"/>
      <c r="X115" s="22">
        <f>S115+T115+U115+V115+W115</f>
        <v/>
      </c>
      <c r="Y115" s="11" t="n"/>
      <c r="Z115" s="22">
        <f>AE115-AB115-AA115-AC115</f>
        <v/>
      </c>
      <c r="AA115" s="22">
        <f>N115-T115-W115</f>
        <v/>
      </c>
      <c r="AB115" s="22">
        <f>O115-V115-U115</f>
        <v/>
      </c>
      <c r="AC115" s="22">
        <f>P115</f>
        <v/>
      </c>
      <c r="AD115" s="23">
        <f>Z115+AA115+AB115+AC115</f>
        <v/>
      </c>
      <c r="AE115" s="11" t="n">
        <v>1031164.897</v>
      </c>
      <c r="AF115" s="24">
        <f>AD115-AE115</f>
        <v/>
      </c>
      <c r="AG115" s="13">
        <f>IF(OR(B115="",B115=0,M115=""),"",M115/B115*10000)</f>
        <v/>
      </c>
      <c r="AH115" s="13">
        <f>IF(OR(C115="",C115=0),"",N115/C115*10000)</f>
        <v/>
      </c>
      <c r="AI115" s="13">
        <f>IF(OR(D115="",D115=0),"",O115/D115*10000)</f>
        <v/>
      </c>
      <c r="AJ115" s="11" t="n">
        <v>2823.908911723948</v>
      </c>
      <c r="AK115" s="11" t="n">
        <v>45038.24</v>
      </c>
      <c r="AL115" s="22">
        <f>AE115+AJ115+AK115</f>
        <v/>
      </c>
      <c r="AM115" s="22">
        <f>AE115</f>
        <v/>
      </c>
      <c r="AN115" s="14" t="n">
        <v>70431.98</v>
      </c>
      <c r="AO115" s="15" t="n">
        <v>14.640578</v>
      </c>
      <c r="AP115" s="14" t="n">
        <v>17822030.28</v>
      </c>
      <c r="AQ115" s="14" t="n">
        <v>26422.8998</v>
      </c>
      <c r="AR115" s="14" t="n">
        <v>592.8651</v>
      </c>
      <c r="AS115" s="14" t="n"/>
      <c r="AT115" s="16" t="n">
        <v>423.9998133164792</v>
      </c>
      <c r="AU115" s="17" t="n">
        <v>0.0216549753</v>
      </c>
      <c r="AV115" s="14" t="n">
        <v>425898012.3309</v>
      </c>
      <c r="AW115" s="18" t="n">
        <v>60100000</v>
      </c>
      <c r="AX115" s="19" t="n">
        <v>17822030.28</v>
      </c>
      <c r="AY115" s="18" t="n">
        <v>3100000</v>
      </c>
      <c r="AZ115" s="18">
        <f>1000000000-999812946.0828</f>
        <v/>
      </c>
      <c r="BA115" s="20">
        <f>1000000000-AV115-AW115-AX115-AY115-AZ115</f>
        <v/>
      </c>
      <c r="BB115" s="21" t="n">
        <v>244.9</v>
      </c>
      <c r="BC115" s="21">
        <f>BA115/1000000-BB115</f>
        <v/>
      </c>
      <c r="BD115" s="22">
        <f>BA115*14.15</f>
        <v/>
      </c>
    </row>
    <row r="116">
      <c r="A116" s="10" t="n">
        <v>45738</v>
      </c>
      <c r="B116" s="11" t="n">
        <v>2045427812.0682</v>
      </c>
      <c r="C116" s="11" t="n"/>
      <c r="D116" s="11" t="n">
        <v>50878685</v>
      </c>
      <c r="E116" s="11" t="n"/>
      <c r="M116" s="22">
        <f>Z116/(1-R116)</f>
        <v/>
      </c>
      <c r="N116" s="11" t="n"/>
      <c r="O116" s="11" t="n">
        <v>8437</v>
      </c>
      <c r="P116" s="11" t="n"/>
      <c r="Q116" s="22">
        <f>M116+N116+O116+P116</f>
        <v/>
      </c>
      <c r="R116" s="12" t="n">
        <v>0.03</v>
      </c>
      <c r="S116" s="22">
        <f>M116*R116</f>
        <v/>
      </c>
      <c r="T116" s="22">
        <f>N116*R116</f>
        <v/>
      </c>
      <c r="U116" s="22">
        <f>(O116-V116)*R116</f>
        <v/>
      </c>
      <c r="V116" s="11" t="n"/>
      <c r="W116" s="11" t="n"/>
      <c r="X116" s="22">
        <f>S116+T116+U116+V116+W116</f>
        <v/>
      </c>
      <c r="Y116" s="11" t="n"/>
      <c r="Z116" s="22">
        <f>AE116-AB116-AA116-AC116</f>
        <v/>
      </c>
      <c r="AA116" s="22">
        <f>N116-T116-W116</f>
        <v/>
      </c>
      <c r="AB116" s="22">
        <f>O116-V116-U116</f>
        <v/>
      </c>
      <c r="AC116" s="22">
        <f>P116</f>
        <v/>
      </c>
      <c r="AD116" s="23">
        <f>Z116+AA116+AB116+AC116</f>
        <v/>
      </c>
      <c r="AE116" s="11" t="n">
        <v>847303.1758</v>
      </c>
      <c r="AF116" s="24">
        <f>AD116-AE116</f>
        <v/>
      </c>
      <c r="AG116" s="13">
        <f>IF(OR(B116="",B116=0,M116=""),"",M116/B116*10000)</f>
        <v/>
      </c>
      <c r="AH116" s="13">
        <f>IF(OR(C116="",C116=0),"",N116/C116*10000)</f>
        <v/>
      </c>
      <c r="AI116" s="13">
        <f>IF(OR(D116="",D116=0),"",O116/D116*10000)</f>
        <v/>
      </c>
      <c r="AJ116" s="11" t="n">
        <v>212.6556887149742</v>
      </c>
      <c r="AK116" s="11" t="n">
        <v>57676.12</v>
      </c>
      <c r="AL116" s="22">
        <f>AE116+AJ116+AK116</f>
        <v/>
      </c>
      <c r="AM116" s="22">
        <f>AE116</f>
        <v/>
      </c>
      <c r="AN116" s="14" t="n">
        <v>53131.87</v>
      </c>
      <c r="AO116" s="15" t="n">
        <v>15.947174</v>
      </c>
      <c r="AP116" s="14" t="n">
        <v>17875162.15</v>
      </c>
      <c r="AQ116" s="14" t="n">
        <v>26439.0599</v>
      </c>
      <c r="AR116" s="14" t="n">
        <v>633.9893</v>
      </c>
      <c r="AS116" s="14" t="n"/>
      <c r="AT116" s="16" t="n">
        <v>424.3938045456086</v>
      </c>
      <c r="AU116" s="17" t="n">
        <v>0.0216450382</v>
      </c>
      <c r="AV116" s="14" t="n">
        <v>425871573.271</v>
      </c>
      <c r="AW116" s="18" t="n">
        <v>60100000</v>
      </c>
      <c r="AX116" s="19" t="n">
        <v>17875162.15</v>
      </c>
      <c r="AY116" s="18" t="n">
        <v>3100000</v>
      </c>
      <c r="AZ116" s="18">
        <f>1000000000-999812312.0935</f>
        <v/>
      </c>
      <c r="BA116" s="20">
        <f>1000000000-AV116-AW116-AX116-AY116-AZ116</f>
        <v/>
      </c>
      <c r="BB116" s="21" t="n">
        <v>244.9</v>
      </c>
      <c r="BC116" s="21">
        <f>BA116/1000000-BB116</f>
        <v/>
      </c>
      <c r="BD116" s="22">
        <f>BA116*15.93</f>
        <v/>
      </c>
    </row>
    <row r="117">
      <c r="A117" s="10" t="n">
        <v>45739</v>
      </c>
      <c r="B117" s="11" t="n">
        <v>2462791312.632705</v>
      </c>
      <c r="C117" s="11" t="n"/>
      <c r="D117" s="11" t="n">
        <v>48432865</v>
      </c>
      <c r="E117" s="11" t="n"/>
      <c r="M117" s="22">
        <f>Z117/(1-R117)</f>
        <v/>
      </c>
      <c r="N117" s="11" t="n"/>
      <c r="O117" s="11" t="n">
        <v>6558</v>
      </c>
      <c r="P117" s="11" t="n"/>
      <c r="Q117" s="22">
        <f>M117+N117+O117+P117</f>
        <v/>
      </c>
      <c r="R117" s="12" t="n">
        <v>0.03</v>
      </c>
      <c r="S117" s="22">
        <f>M117*R117</f>
        <v/>
      </c>
      <c r="T117" s="22">
        <f>N117*R117</f>
        <v/>
      </c>
      <c r="U117" s="22">
        <f>(O117-V117)*R117</f>
        <v/>
      </c>
      <c r="V117" s="11" t="n"/>
      <c r="W117" s="11" t="n"/>
      <c r="X117" s="22">
        <f>S117+T117+U117+V117+W117</f>
        <v/>
      </c>
      <c r="Y117" s="11" t="n"/>
      <c r="Z117" s="22">
        <f>AE117-AB117-AA117-AC117</f>
        <v/>
      </c>
      <c r="AA117" s="22">
        <f>N117-T117-W117</f>
        <v/>
      </c>
      <c r="AB117" s="22">
        <f>O117-V117-U117</f>
        <v/>
      </c>
      <c r="AC117" s="22">
        <f>P117</f>
        <v/>
      </c>
      <c r="AD117" s="23">
        <f>Z117+AA117+AB117+AC117</f>
        <v/>
      </c>
      <c r="AE117" s="11" t="n">
        <v>450708.7431</v>
      </c>
      <c r="AF117" s="24">
        <f>AD117-AE117</f>
        <v/>
      </c>
      <c r="AG117" s="13">
        <f>IF(OR(B117="",B117=0,M117=""),"",M117/B117*10000)</f>
        <v/>
      </c>
      <c r="AH117" s="13">
        <f>IF(OR(C117="",C117=0),"",N117/C117*10000)</f>
        <v/>
      </c>
      <c r="AI117" s="13">
        <f>IF(OR(D117="",D117=0),"",O117/D117*10000)</f>
        <v/>
      </c>
      <c r="AJ117" s="11" t="n">
        <v>313.5206917487216</v>
      </c>
      <c r="AK117" s="11" t="n">
        <v>0</v>
      </c>
      <c r="AL117" s="22">
        <f>AE117+AJ117+AK117</f>
        <v/>
      </c>
      <c r="AM117" s="22">
        <f>AE117</f>
        <v/>
      </c>
      <c r="AN117" s="14" t="n">
        <v>28455.13</v>
      </c>
      <c r="AO117" s="15" t="n">
        <v>15.839279</v>
      </c>
      <c r="AP117" s="14" t="n">
        <v>17903617.28</v>
      </c>
      <c r="AQ117" s="14" t="n">
        <v>26250.6168</v>
      </c>
      <c r="AR117" s="14" t="n">
        <v>393.117</v>
      </c>
      <c r="AS117" s="14" t="n"/>
      <c r="AT117" s="16" t="n">
        <v>423.2219214331626</v>
      </c>
      <c r="AU117" s="17" t="n">
        <v>0.0216746353</v>
      </c>
      <c r="AV117" s="14" t="n">
        <v>425845322.6542</v>
      </c>
      <c r="AW117" s="18" t="n">
        <v>60100000</v>
      </c>
      <c r="AX117" s="19" t="n">
        <v>17903617.28</v>
      </c>
      <c r="AY117" s="18" t="n">
        <v>3100000</v>
      </c>
      <c r="AZ117" s="18">
        <f>1000000000-999811918.9765</f>
        <v/>
      </c>
      <c r="BA117" s="20">
        <f>1000000000-AV117-AW117-AX117-AY117-AZ117</f>
        <v/>
      </c>
      <c r="BB117" s="21" t="n">
        <v>244.9</v>
      </c>
      <c r="BC117" s="21">
        <f>BA117/1000000-BB117</f>
        <v/>
      </c>
      <c r="BD117" s="22">
        <f>BA117*15.57</f>
        <v/>
      </c>
    </row>
    <row r="118">
      <c r="A118" s="10" t="n">
        <v>45740</v>
      </c>
      <c r="B118" s="11" t="n">
        <v>5105825634.546457</v>
      </c>
      <c r="C118" s="11" t="n"/>
      <c r="D118" s="11" t="n">
        <v>130689060</v>
      </c>
      <c r="E118" s="11" t="n"/>
      <c r="M118" s="22">
        <f>Z118/(1-R118)</f>
        <v/>
      </c>
      <c r="N118" s="11" t="n"/>
      <c r="O118" s="11" t="n">
        <v>19185</v>
      </c>
      <c r="P118" s="11" t="n"/>
      <c r="Q118" s="22">
        <f>M118+N118+O118+P118</f>
        <v/>
      </c>
      <c r="R118" s="12" t="n">
        <v>0.03</v>
      </c>
      <c r="S118" s="22">
        <f>M118*R118</f>
        <v/>
      </c>
      <c r="T118" s="22">
        <f>N118*R118</f>
        <v/>
      </c>
      <c r="U118" s="22">
        <f>(O118-V118)*R118</f>
        <v/>
      </c>
      <c r="V118" s="11" t="n"/>
      <c r="W118" s="11" t="n"/>
      <c r="X118" s="22">
        <f>S118+T118+U118+V118+W118</f>
        <v/>
      </c>
      <c r="Y118" s="11" t="n"/>
      <c r="Z118" s="22">
        <f>AE118-AB118-AA118-AC118</f>
        <v/>
      </c>
      <c r="AA118" s="22">
        <f>N118-T118-W118</f>
        <v/>
      </c>
      <c r="AB118" s="22">
        <f>O118-V118-U118</f>
        <v/>
      </c>
      <c r="AC118" s="22">
        <f>P118</f>
        <v/>
      </c>
      <c r="AD118" s="23">
        <f>Z118+AA118+AB118+AC118</f>
        <v/>
      </c>
      <c r="AE118" s="11" t="n">
        <v>829053.8093</v>
      </c>
      <c r="AF118" s="24">
        <f>AD118-AE118</f>
        <v/>
      </c>
      <c r="AG118" s="13">
        <f>IF(OR(B118="",B118=0,M118=""),"",M118/B118*10000)</f>
        <v/>
      </c>
      <c r="AH118" s="13">
        <f>IF(OR(C118="",C118=0),"",N118/C118*10000)</f>
        <v/>
      </c>
      <c r="AI118" s="13">
        <f>IF(OR(D118="",D118=0),"",O118/D118*10000)</f>
        <v/>
      </c>
      <c r="AJ118" s="11" t="n">
        <v>377.7330302472752</v>
      </c>
      <c r="AK118" s="11" t="n">
        <v>49980</v>
      </c>
      <c r="AL118" s="22">
        <f>AE118+AJ118+AK118</f>
        <v/>
      </c>
      <c r="AM118" s="22">
        <f>AE118</f>
        <v/>
      </c>
      <c r="AN118" s="14" t="n">
        <v>49430.03</v>
      </c>
      <c r="AO118" s="15" t="n">
        <v>16.77227</v>
      </c>
      <c r="AP118" s="14" t="n">
        <v>17953047.31</v>
      </c>
      <c r="AQ118" s="14" t="n">
        <v>26407.9725</v>
      </c>
      <c r="AR118" s="14" t="n">
        <v>282.117</v>
      </c>
      <c r="AS118" s="14" t="n"/>
      <c r="AT118" s="16" t="n">
        <v>423.1326552468054</v>
      </c>
      <c r="AU118" s="17" t="n">
        <v>0.0216768949</v>
      </c>
      <c r="AV118" s="14" t="n">
        <v>425818914.6817</v>
      </c>
      <c r="AW118" s="18" t="n">
        <v>60100000</v>
      </c>
      <c r="AX118" s="19" t="n">
        <v>17953047.31</v>
      </c>
      <c r="AY118" s="18" t="n">
        <v>3100000</v>
      </c>
      <c r="AZ118" s="18">
        <f>1000000000-999811636.8595</f>
        <v/>
      </c>
      <c r="BA118" s="20">
        <f>1000000000-AV118-AW118-AX118-AY118-AZ118</f>
        <v/>
      </c>
      <c r="BB118" s="21" t="n">
        <v>244.9</v>
      </c>
      <c r="BC118" s="21">
        <f>BA118/1000000-BB118</f>
        <v/>
      </c>
      <c r="BD118" s="22">
        <f>BA118*16.29</f>
        <v/>
      </c>
    </row>
    <row r="119">
      <c r="A119" s="10" t="n">
        <v>45741</v>
      </c>
      <c r="B119" s="11" t="n">
        <v>3932030198.711734</v>
      </c>
      <c r="C119" s="11" t="n"/>
      <c r="D119" s="11" t="n">
        <v>76294797</v>
      </c>
      <c r="E119" s="11" t="n"/>
      <c r="M119" s="22">
        <f>Z119/(1-R119)</f>
        <v/>
      </c>
      <c r="N119" s="11" t="n"/>
      <c r="O119" s="11" t="n">
        <v>11525</v>
      </c>
      <c r="P119" s="11" t="n"/>
      <c r="Q119" s="22">
        <f>M119+N119+O119+P119</f>
        <v/>
      </c>
      <c r="R119" s="12" t="n">
        <v>0.03</v>
      </c>
      <c r="S119" s="22">
        <f>M119*R119</f>
        <v/>
      </c>
      <c r="T119" s="22">
        <f>N119*R119</f>
        <v/>
      </c>
      <c r="U119" s="22">
        <f>(O119-V119)*R119</f>
        <v/>
      </c>
      <c r="V119" s="11" t="n"/>
      <c r="W119" s="11" t="n"/>
      <c r="X119" s="22">
        <f>S119+T119+U119+V119+W119</f>
        <v/>
      </c>
      <c r="Y119" s="11" t="n"/>
      <c r="Z119" s="22">
        <f>AE119-AB119-AA119-AC119</f>
        <v/>
      </c>
      <c r="AA119" s="22">
        <f>N119-T119-W119</f>
        <v/>
      </c>
      <c r="AB119" s="22">
        <f>O119-V119-U119</f>
        <v/>
      </c>
      <c r="AC119" s="22">
        <f>P119</f>
        <v/>
      </c>
      <c r="AD119" s="23">
        <f>Z119+AA119+AB119+AC119</f>
        <v/>
      </c>
      <c r="AE119" s="11" t="n">
        <v>1041581.334</v>
      </c>
      <c r="AF119" s="24">
        <f>AD119-AE119</f>
        <v/>
      </c>
      <c r="AG119" s="13">
        <f>IF(OR(B119="",B119=0,M119=""),"",M119/B119*10000)</f>
        <v/>
      </c>
      <c r="AH119" s="13">
        <f>IF(OR(C119="",C119=0),"",N119/C119*10000)</f>
        <v/>
      </c>
      <c r="AI119" s="13">
        <f>IF(OR(D119="",D119=0),"",O119/D119*10000)</f>
        <v/>
      </c>
      <c r="AJ119" s="11" t="n">
        <v>325.8671064719514</v>
      </c>
      <c r="AK119" s="11" t="n">
        <v>63542.04</v>
      </c>
      <c r="AL119" s="22">
        <f>AE119+AJ119+AK119</f>
        <v/>
      </c>
      <c r="AM119" s="22">
        <f>AE119</f>
        <v/>
      </c>
      <c r="AN119" s="14" t="n">
        <v>63584.4</v>
      </c>
      <c r="AO119" s="15" t="n">
        <v>16.381083</v>
      </c>
      <c r="AP119" s="14" t="n">
        <v>18016631.71</v>
      </c>
      <c r="AQ119" s="14" t="n">
        <v>26408.1199</v>
      </c>
      <c r="AR119" s="14" t="n">
        <v>874.4752</v>
      </c>
      <c r="AS119" s="14" t="n"/>
      <c r="AT119" s="16" t="n">
        <v>422.839722290213</v>
      </c>
      <c r="AU119" s="17" t="n">
        <v>0.0216843146</v>
      </c>
      <c r="AV119" s="14" t="n">
        <v>425792506.5618</v>
      </c>
      <c r="AW119" s="18" t="n">
        <v>60100000</v>
      </c>
      <c r="AX119" s="19" t="n">
        <v>18016631.71</v>
      </c>
      <c r="AY119" s="18" t="n">
        <v>3100000</v>
      </c>
      <c r="AZ119" s="18">
        <f>1000000000-999810762.3843</f>
        <v/>
      </c>
      <c r="BA119" s="20">
        <f>1000000000-AV119-AW119-AX119-AY119-AZ119</f>
        <v/>
      </c>
      <c r="BB119" s="21" t="n">
        <v>244.9</v>
      </c>
      <c r="BC119" s="21">
        <f>BA119/1000000-BB119</f>
        <v/>
      </c>
      <c r="BD119" s="22">
        <f>BA119*16.77</f>
        <v/>
      </c>
    </row>
    <row r="120">
      <c r="A120" s="10" t="n">
        <v>45742</v>
      </c>
      <c r="B120" s="11" t="n">
        <v>4546459279.561303</v>
      </c>
      <c r="C120" s="11" t="n"/>
      <c r="D120" s="11" t="n">
        <v>388622924</v>
      </c>
      <c r="E120" s="11" t="n"/>
      <c r="M120" s="22">
        <f>Z120/(1-R120)</f>
        <v/>
      </c>
      <c r="N120" s="11" t="n"/>
      <c r="O120" s="11" t="n">
        <v>62061</v>
      </c>
      <c r="P120" s="11" t="n"/>
      <c r="Q120" s="22">
        <f>M120+N120+O120+P120</f>
        <v/>
      </c>
      <c r="R120" s="12" t="n">
        <v>0.03</v>
      </c>
      <c r="S120" s="22">
        <f>M120*R120</f>
        <v/>
      </c>
      <c r="T120" s="22">
        <f>N120*R120</f>
        <v/>
      </c>
      <c r="U120" s="22">
        <f>(O120-V120)*R120</f>
        <v/>
      </c>
      <c r="V120" s="11" t="n"/>
      <c r="W120" s="11" t="n"/>
      <c r="X120" s="22">
        <f>S120+T120+U120+V120+W120</f>
        <v/>
      </c>
      <c r="Y120" s="11" t="n"/>
      <c r="Z120" s="22">
        <f>AE120-AB120-AA120-AC120</f>
        <v/>
      </c>
      <c r="AA120" s="22">
        <f>N120-T120-W120</f>
        <v/>
      </c>
      <c r="AB120" s="22">
        <f>O120-V120-U120</f>
        <v/>
      </c>
      <c r="AC120" s="22">
        <f>P120</f>
        <v/>
      </c>
      <c r="AD120" s="23">
        <f>Z120+AA120+AB120+AC120</f>
        <v/>
      </c>
      <c r="AE120" s="11" t="n">
        <v>829339.3903</v>
      </c>
      <c r="AF120" s="24">
        <f>AD120-AE120</f>
        <v/>
      </c>
      <c r="AG120" s="13">
        <f>IF(OR(B120="",B120=0,M120=""),"",M120/B120*10000)</f>
        <v/>
      </c>
      <c r="AH120" s="13">
        <f>IF(OR(C120="",C120=0),"",N120/C120*10000)</f>
        <v/>
      </c>
      <c r="AI120" s="13">
        <f>IF(OR(D120="",D120=0),"",O120/D120*10000)</f>
        <v/>
      </c>
      <c r="AJ120" s="11" t="n">
        <v>520.8885075694191</v>
      </c>
      <c r="AK120" s="11" t="n">
        <v>0</v>
      </c>
      <c r="AL120" s="22">
        <f>AE120+AJ120+AK120</f>
        <v/>
      </c>
      <c r="AM120" s="22">
        <f>AE120</f>
        <v/>
      </c>
      <c r="AN120" s="14" t="n">
        <v>57631.29</v>
      </c>
      <c r="AO120" s="15" t="n">
        <v>14.390436</v>
      </c>
      <c r="AP120" s="14" t="n">
        <v>18074263</v>
      </c>
      <c r="AQ120" s="14" t="n">
        <v>26422.3743</v>
      </c>
      <c r="AR120" s="14" t="n">
        <v>418.2386</v>
      </c>
      <c r="AS120" s="14" t="n"/>
      <c r="AT120" s="16" t="n">
        <v>423.699919592859</v>
      </c>
      <c r="AU120" s="17" t="n">
        <v>0.0216625483</v>
      </c>
      <c r="AV120" s="14" t="n">
        <v>425766084.1875</v>
      </c>
      <c r="AW120" s="18" t="n">
        <v>60100000</v>
      </c>
      <c r="AX120" s="19" t="n">
        <v>18074263</v>
      </c>
      <c r="AY120" s="18" t="n">
        <v>3100000</v>
      </c>
      <c r="AZ120" s="18">
        <f>1000000000-999810344.1457</f>
        <v/>
      </c>
      <c r="BA120" s="20">
        <f>1000000000-AV120-AW120-AX120-AY120-AZ120</f>
        <v/>
      </c>
      <c r="BB120" s="21" t="n">
        <v>244.9</v>
      </c>
      <c r="BC120" s="21">
        <f>BA120/1000000-BB120</f>
        <v/>
      </c>
      <c r="BD120" s="22">
        <f>BA120*16.03</f>
        <v/>
      </c>
    </row>
    <row r="121">
      <c r="A121" s="10" t="n">
        <v>45743</v>
      </c>
      <c r="B121" s="11" t="n">
        <v>2968017787.671563</v>
      </c>
      <c r="C121" s="11" t="n"/>
      <c r="D121" s="11" t="n">
        <v>87102845</v>
      </c>
      <c r="E121" s="11" t="n"/>
      <c r="M121" s="22">
        <f>Z121/(1-R121)</f>
        <v/>
      </c>
      <c r="N121" s="11" t="n"/>
      <c r="O121" s="11" t="n">
        <v>12229</v>
      </c>
      <c r="P121" s="11" t="n"/>
      <c r="Q121" s="22">
        <f>M121+N121+O121+P121</f>
        <v/>
      </c>
      <c r="R121" s="12" t="n">
        <v>0.03</v>
      </c>
      <c r="S121" s="22">
        <f>M121*R121</f>
        <v/>
      </c>
      <c r="T121" s="22">
        <f>N121*R121</f>
        <v/>
      </c>
      <c r="U121" s="22">
        <f>(O121-V121)*R121</f>
        <v/>
      </c>
      <c r="V121" s="11" t="n"/>
      <c r="W121" s="11" t="n"/>
      <c r="X121" s="22">
        <f>S121+T121+U121+V121+W121</f>
        <v/>
      </c>
      <c r="Y121" s="11" t="n"/>
      <c r="Z121" s="22">
        <f>AE121-AB121-AA121-AC121</f>
        <v/>
      </c>
      <c r="AA121" s="22">
        <f>N121-T121-W121</f>
        <v/>
      </c>
      <c r="AB121" s="22">
        <f>O121-V121-U121</f>
        <v/>
      </c>
      <c r="AC121" s="22">
        <f>P121</f>
        <v/>
      </c>
      <c r="AD121" s="23">
        <f>Z121+AA121+AB121+AC121</f>
        <v/>
      </c>
      <c r="AE121" s="11" t="n">
        <v>1118366.468</v>
      </c>
      <c r="AF121" s="24">
        <f>AD121-AE121</f>
        <v/>
      </c>
      <c r="AG121" s="13">
        <f>IF(OR(B121="",B121=0,M121=""),"",M121/B121*10000)</f>
        <v/>
      </c>
      <c r="AH121" s="13">
        <f>IF(OR(C121="",C121=0),"",N121/C121*10000)</f>
        <v/>
      </c>
      <c r="AI121" s="13">
        <f>IF(OR(D121="",D121=0),"",O121/D121*10000)</f>
        <v/>
      </c>
      <c r="AJ121" s="11" t="n">
        <v>170.7250606801719</v>
      </c>
      <c r="AK121" s="11" t="n">
        <v>145034.84</v>
      </c>
      <c r="AL121" s="22">
        <f>AE121+AJ121+AK121</f>
        <v/>
      </c>
      <c r="AM121" s="22">
        <f>AE121</f>
        <v/>
      </c>
      <c r="AN121" s="14" t="n">
        <v>77117.5</v>
      </c>
      <c r="AO121" s="15" t="n">
        <v>14.50211</v>
      </c>
      <c r="AP121" s="14" t="n">
        <v>18151380.5</v>
      </c>
      <c r="AQ121" s="14" t="n">
        <v>26404.3816</v>
      </c>
      <c r="AR121" s="14" t="n">
        <v>3348.6945</v>
      </c>
      <c r="AS121" s="14" t="n"/>
      <c r="AT121" s="16" t="n">
        <v>421.9501884402633</v>
      </c>
      <c r="AU121" s="17" t="n">
        <v>0.0217068926</v>
      </c>
      <c r="AV121" s="14" t="n">
        <v>425739679.8059</v>
      </c>
      <c r="AW121" s="18" t="n">
        <v>60100000</v>
      </c>
      <c r="AX121" s="19" t="n">
        <v>18151380.5</v>
      </c>
      <c r="AY121" s="18" t="n">
        <v>3100000</v>
      </c>
      <c r="AZ121" s="18">
        <f>1000000000-999806995.4512</f>
        <v/>
      </c>
      <c r="BA121" s="20">
        <f>1000000000-AV121-AW121-AX121-AY121-AZ121</f>
        <v/>
      </c>
      <c r="BB121" s="21" t="n">
        <v>244.9</v>
      </c>
      <c r="BC121" s="21">
        <f>BA121/1000000-BB121</f>
        <v/>
      </c>
      <c r="BD121" s="22">
        <f>BA121*14.06</f>
        <v/>
      </c>
    </row>
    <row r="122">
      <c r="A122" s="10" t="n">
        <v>45744</v>
      </c>
      <c r="B122" s="11" t="n">
        <v>4696027441.767789</v>
      </c>
      <c r="C122" s="11" t="n"/>
      <c r="D122" s="11" t="n">
        <v>108552416</v>
      </c>
      <c r="E122" s="11" t="n"/>
      <c r="M122" s="22">
        <f>Z122/(1-R122)</f>
        <v/>
      </c>
      <c r="N122" s="11" t="n"/>
      <c r="O122" s="11" t="n">
        <v>18181</v>
      </c>
      <c r="P122" s="11" t="n"/>
      <c r="Q122" s="22">
        <f>M122+N122+O122+P122</f>
        <v/>
      </c>
      <c r="R122" s="12" t="n">
        <v>0.03</v>
      </c>
      <c r="S122" s="22">
        <f>M122*R122</f>
        <v/>
      </c>
      <c r="T122" s="22">
        <f>N122*R122</f>
        <v/>
      </c>
      <c r="U122" s="22">
        <f>(O122-V122)*R122</f>
        <v/>
      </c>
      <c r="V122" s="11" t="n"/>
      <c r="W122" s="11" t="n"/>
      <c r="X122" s="22">
        <f>S122+T122+U122+V122+W122</f>
        <v/>
      </c>
      <c r="Y122" s="11" t="n"/>
      <c r="Z122" s="22">
        <f>AE122-AB122-AA122-AC122</f>
        <v/>
      </c>
      <c r="AA122" s="22">
        <f>N122-T122-W122</f>
        <v/>
      </c>
      <c r="AB122" s="22">
        <f>O122-V122-U122</f>
        <v/>
      </c>
      <c r="AC122" s="22">
        <f>P122</f>
        <v/>
      </c>
      <c r="AD122" s="23">
        <f>Z122+AA122+AB122+AC122</f>
        <v/>
      </c>
      <c r="AE122" s="11" t="n">
        <v>828868.4987</v>
      </c>
      <c r="AF122" s="24">
        <f>AD122-AE122</f>
        <v/>
      </c>
      <c r="AG122" s="13">
        <f>IF(OR(B122="",B122=0,M122=""),"",M122/B122*10000)</f>
        <v/>
      </c>
      <c r="AH122" s="13">
        <f>IF(OR(C122="",C122=0),"",N122/C122*10000)</f>
        <v/>
      </c>
      <c r="AI122" s="13">
        <f>IF(OR(D122="",D122=0),"",O122/D122*10000)</f>
        <v/>
      </c>
      <c r="AJ122" s="11" t="n">
        <v>148.9020700611663</v>
      </c>
      <c r="AK122" s="11" t="n">
        <v>0</v>
      </c>
      <c r="AL122" s="22">
        <f>AE122+AJ122+AK122</f>
        <v/>
      </c>
      <c r="AM122" s="22">
        <f>AE122</f>
        <v/>
      </c>
      <c r="AN122" s="14" t="n">
        <v>62740.01</v>
      </c>
      <c r="AO122" s="15" t="n">
        <v>13.211163</v>
      </c>
      <c r="AP122" s="14" t="n">
        <v>18214120.51</v>
      </c>
      <c r="AQ122" s="14" t="n">
        <v>26355.4575</v>
      </c>
      <c r="AR122" s="14" t="n">
        <v>572.3714</v>
      </c>
      <c r="AS122" s="14" t="n"/>
      <c r="AT122" s="16" t="n">
        <v>422.2067138080201</v>
      </c>
      <c r="AU122" s="17" t="n">
        <v>0.0217003742</v>
      </c>
      <c r="AV122" s="14" t="n">
        <v>425713324.3484</v>
      </c>
      <c r="AW122" s="18" t="n">
        <v>60100000</v>
      </c>
      <c r="AX122" s="19" t="n">
        <v>18214120.51</v>
      </c>
      <c r="AY122" s="18" t="n">
        <v>3100000</v>
      </c>
      <c r="AZ122" s="18">
        <f>1000000000-999806423.0798</f>
        <v/>
      </c>
      <c r="BA122" s="20">
        <f>1000000000-AV122-AW122-AX122-AY122-AZ122</f>
        <v/>
      </c>
      <c r="BB122" s="21" t="n">
        <v>244.9</v>
      </c>
      <c r="BC122" s="21">
        <f>BA122/1000000-BB122</f>
        <v/>
      </c>
      <c r="BD122" s="22">
        <f>BA122*14.59</f>
        <v/>
      </c>
    </row>
    <row r="123">
      <c r="A123" s="10" t="n">
        <v>45745</v>
      </c>
      <c r="B123" s="11" t="n">
        <v>3300437272.578557</v>
      </c>
      <c r="C123" s="11" t="n"/>
      <c r="D123" s="11" t="n">
        <v>87727670</v>
      </c>
      <c r="E123" s="11" t="n"/>
      <c r="M123" s="22">
        <f>Z123/(1-R123)</f>
        <v/>
      </c>
      <c r="N123" s="11" t="n"/>
      <c r="O123" s="11" t="n">
        <v>12604</v>
      </c>
      <c r="P123" s="11" t="n"/>
      <c r="Q123" s="22">
        <f>M123+N123+O123+P123</f>
        <v/>
      </c>
      <c r="R123" s="12" t="n">
        <v>0.03</v>
      </c>
      <c r="S123" s="22">
        <f>M123*R123</f>
        <v/>
      </c>
      <c r="T123" s="22">
        <f>N123*R123</f>
        <v/>
      </c>
      <c r="U123" s="22">
        <f>(O123-V123)*R123</f>
        <v/>
      </c>
      <c r="V123" s="11" t="n"/>
      <c r="W123" s="11" t="n"/>
      <c r="X123" s="22">
        <f>S123+T123+U123+V123+W123</f>
        <v/>
      </c>
      <c r="Y123" s="11" t="n"/>
      <c r="Z123" s="22">
        <f>AE123-AB123-AA123-AC123</f>
        <v/>
      </c>
      <c r="AA123" s="22">
        <f>N123-T123-W123</f>
        <v/>
      </c>
      <c r="AB123" s="22">
        <f>O123-V123-U123</f>
        <v/>
      </c>
      <c r="AC123" s="22">
        <f>P123</f>
        <v/>
      </c>
      <c r="AD123" s="23">
        <f>Z123+AA123+AB123+AC123</f>
        <v/>
      </c>
      <c r="AE123" s="11" t="n">
        <v>901117.2336</v>
      </c>
      <c r="AF123" s="24">
        <f>AD123-AE123</f>
        <v/>
      </c>
      <c r="AG123" s="13">
        <f>IF(OR(B123="",B123=0,M123=""),"",M123/B123*10000)</f>
        <v/>
      </c>
      <c r="AH123" s="13">
        <f>IF(OR(C123="",C123=0),"",N123/C123*10000)</f>
        <v/>
      </c>
      <c r="AI123" s="13">
        <f>IF(OR(D123="",D123=0),"",O123/D123*10000)</f>
        <v/>
      </c>
      <c r="AJ123" s="11" t="n">
        <v>123.1480614605451</v>
      </c>
      <c r="AK123" s="11" t="n">
        <v>53370.55</v>
      </c>
      <c r="AL123" s="22">
        <f>AE123+AJ123+AK123</f>
        <v/>
      </c>
      <c r="AM123" s="22">
        <f>AE123</f>
        <v/>
      </c>
      <c r="AN123" s="14" t="n">
        <v>70357.02</v>
      </c>
      <c r="AO123" s="15" t="n">
        <v>12.80778</v>
      </c>
      <c r="AP123" s="14" t="n">
        <v>18284477.53</v>
      </c>
      <c r="AQ123" s="14" t="n">
        <v>26368.156</v>
      </c>
      <c r="AR123" s="14" t="n">
        <v>574.8896</v>
      </c>
      <c r="AS123" s="14" t="n"/>
      <c r="AT123" s="16" t="n">
        <v>421.7610880131157</v>
      </c>
      <c r="AU123" s="17" t="n">
        <v>0.02171170139999999</v>
      </c>
      <c r="AV123" s="14" t="n">
        <v>425686956.1925</v>
      </c>
      <c r="AW123" s="18" t="n">
        <v>60100000</v>
      </c>
      <c r="AX123" s="19" t="n">
        <v>18284477.53</v>
      </c>
      <c r="AY123" s="18" t="n">
        <v>3100000</v>
      </c>
      <c r="AZ123" s="18">
        <f>1000000000-999805848.1902</f>
        <v/>
      </c>
      <c r="BA123" s="20">
        <f>1000000000-AV123-AW123-AX123-AY123-AZ123</f>
        <v/>
      </c>
      <c r="BB123" s="21" t="n">
        <v>244.9</v>
      </c>
      <c r="BC123" s="21">
        <f>BA123/1000000-BB123</f>
        <v/>
      </c>
      <c r="BD123" s="22">
        <f>BA123*13.39</f>
        <v/>
      </c>
    </row>
    <row r="124">
      <c r="A124" s="10" t="n">
        <v>45746</v>
      </c>
      <c r="B124" s="11" t="n">
        <v>2774062341.433435</v>
      </c>
      <c r="C124" s="11" t="n"/>
      <c r="D124" s="11" t="n">
        <v>50858942</v>
      </c>
      <c r="E124" s="11" t="n"/>
      <c r="M124" s="22">
        <f>Z124/(1-R124)</f>
        <v/>
      </c>
      <c r="N124" s="11" t="n"/>
      <c r="O124" s="11" t="n">
        <v>7425</v>
      </c>
      <c r="P124" s="11" t="n"/>
      <c r="Q124" s="22">
        <f>M124+N124+O124+P124</f>
        <v/>
      </c>
      <c r="R124" s="12" t="n">
        <v>0.03</v>
      </c>
      <c r="S124" s="22">
        <f>M124*R124</f>
        <v/>
      </c>
      <c r="T124" s="22">
        <f>N124*R124</f>
        <v/>
      </c>
      <c r="U124" s="22">
        <f>(O124-V124)*R124</f>
        <v/>
      </c>
      <c r="V124" s="11" t="n"/>
      <c r="W124" s="11" t="n"/>
      <c r="X124" s="22">
        <f>S124+T124+U124+V124+W124</f>
        <v/>
      </c>
      <c r="Y124" s="11" t="n"/>
      <c r="Z124" s="22">
        <f>AE124-AB124-AA124-AC124</f>
        <v/>
      </c>
      <c r="AA124" s="22">
        <f>N124-T124-W124</f>
        <v/>
      </c>
      <c r="AB124" s="22">
        <f>O124-V124-U124</f>
        <v/>
      </c>
      <c r="AC124" s="22">
        <f>P124</f>
        <v/>
      </c>
      <c r="AD124" s="23">
        <f>Z124+AA124+AB124+AC124</f>
        <v/>
      </c>
      <c r="AE124" s="11" t="n">
        <v>696924.2389999999</v>
      </c>
      <c r="AF124" s="24">
        <f>AD124-AE124</f>
        <v/>
      </c>
      <c r="AG124" s="13">
        <f>IF(OR(B124="",B124=0,M124=""),"",M124/B124*10000)</f>
        <v/>
      </c>
      <c r="AH124" s="13">
        <f>IF(OR(C124="",C124=0),"",N124/C124*10000)</f>
        <v/>
      </c>
      <c r="AI124" s="13">
        <f>IF(OR(D124="",D124=0),"",O124/D124*10000)</f>
        <v/>
      </c>
      <c r="AJ124" s="11" t="n">
        <v>101.8783737082079</v>
      </c>
      <c r="AK124" s="11" t="n">
        <v>45820.11</v>
      </c>
      <c r="AL124" s="22">
        <f>AE124+AJ124+AK124</f>
        <v/>
      </c>
      <c r="AM124" s="22">
        <f>AE124</f>
        <v/>
      </c>
      <c r="AN124" s="14" t="n">
        <v>55468.07</v>
      </c>
      <c r="AO124" s="15" t="n">
        <v>12.564422</v>
      </c>
      <c r="AP124" s="14" t="n">
        <v>18339945.6</v>
      </c>
      <c r="AQ124" s="14" t="n">
        <v>26361.1944</v>
      </c>
      <c r="AR124" s="14" t="n">
        <v>564.418</v>
      </c>
      <c r="AS124" s="14" t="n"/>
      <c r="AT124" s="16" t="n">
        <v>421.4595047908898</v>
      </c>
      <c r="AU124" s="17" t="n">
        <v>0.0217193774</v>
      </c>
      <c r="AV124" s="14" t="n">
        <v>425660594.9981</v>
      </c>
      <c r="AW124" s="18" t="n">
        <v>60100000</v>
      </c>
      <c r="AX124" s="19" t="n">
        <v>18339945.6</v>
      </c>
      <c r="AY124" s="18" t="n">
        <v>3100000</v>
      </c>
      <c r="AZ124" s="18">
        <f>1000000000-999805283.7722</f>
        <v/>
      </c>
      <c r="BA124" s="20">
        <f>1000000000-AV124-AW124-AX124-AY124-AZ124</f>
        <v/>
      </c>
      <c r="BB124" s="21" t="n">
        <v>244.9</v>
      </c>
      <c r="BC124" s="21">
        <f>BA124/1000000-BB124</f>
        <v/>
      </c>
      <c r="BD124" s="22">
        <f>BA124*12.8</f>
        <v/>
      </c>
    </row>
    <row r="125">
      <c r="A125" s="10" t="n">
        <v>45747</v>
      </c>
      <c r="B125" s="11" t="n">
        <v>5786815779.419011</v>
      </c>
      <c r="C125" s="11" t="n"/>
      <c r="D125" s="11" t="n">
        <v>90964477</v>
      </c>
      <c r="E125" s="11" t="n"/>
      <c r="M125" s="22">
        <f>Z125/(1-R125)</f>
        <v/>
      </c>
      <c r="N125" s="11" t="n"/>
      <c r="O125" s="11" t="n">
        <v>12648</v>
      </c>
      <c r="P125" s="11" t="n"/>
      <c r="Q125" s="22">
        <f>M125+N125+O125+P125</f>
        <v/>
      </c>
      <c r="R125" s="12" t="n">
        <v>0.03</v>
      </c>
      <c r="S125" s="22">
        <f>M125*R125</f>
        <v/>
      </c>
      <c r="T125" s="22">
        <f>N125*R125</f>
        <v/>
      </c>
      <c r="U125" s="22">
        <f>(O125-V125)*R125</f>
        <v/>
      </c>
      <c r="V125" s="11" t="n"/>
      <c r="W125" s="11" t="n"/>
      <c r="X125" s="22">
        <f>S125+T125+U125+V125+W125</f>
        <v/>
      </c>
      <c r="Y125" s="11" t="n"/>
      <c r="Z125" s="22">
        <f>AE125-AB125-AA125-AC125</f>
        <v/>
      </c>
      <c r="AA125" s="22">
        <f>N125-T125-W125</f>
        <v/>
      </c>
      <c r="AB125" s="22">
        <f>O125-V125-U125</f>
        <v/>
      </c>
      <c r="AC125" s="22">
        <f>P125</f>
        <v/>
      </c>
      <c r="AD125" s="23">
        <f>Z125+AA125+AB125+AC125</f>
        <v/>
      </c>
      <c r="AE125" s="11" t="n">
        <v>895707.816</v>
      </c>
      <c r="AF125" s="24">
        <f>AD125-AE125</f>
        <v/>
      </c>
      <c r="AG125" s="13">
        <f>IF(OR(B125="",B125=0,M125=""),"",M125/B125*10000)</f>
        <v/>
      </c>
      <c r="AH125" s="13">
        <f>IF(OR(C125="",C125=0),"",N125/C125*10000)</f>
        <v/>
      </c>
      <c r="AI125" s="13">
        <f>IF(OR(D125="",D125=0),"",O125/D125*10000)</f>
        <v/>
      </c>
      <c r="AJ125" s="11" t="n">
        <v>396.5736642050702</v>
      </c>
      <c r="AK125" s="11" t="n">
        <v>0</v>
      </c>
      <c r="AL125" s="22">
        <f>AE125+AJ125+AK125</f>
        <v/>
      </c>
      <c r="AM125" s="22">
        <f>AE125</f>
        <v/>
      </c>
      <c r="AN125" s="14" t="n">
        <v>68018.00999999999</v>
      </c>
      <c r="AO125" s="15" t="n">
        <v>13.168686</v>
      </c>
      <c r="AP125" s="14" t="n">
        <v>18407963.61</v>
      </c>
      <c r="AQ125" s="14" t="n">
        <v>26329.3381</v>
      </c>
      <c r="AR125" s="14" t="n">
        <v>300.1917</v>
      </c>
      <c r="AS125" s="14" t="n"/>
      <c r="AT125" s="16" t="n">
        <v>421.3321222003672</v>
      </c>
      <c r="AU125" s="17" t="n">
        <v>0.021722622</v>
      </c>
      <c r="AV125" s="14" t="n">
        <v>425634265.66</v>
      </c>
      <c r="AW125" s="18" t="n">
        <v>60100000</v>
      </c>
      <c r="AX125" s="19" t="n">
        <v>18407963.61</v>
      </c>
      <c r="AY125" s="18" t="n">
        <v>3100000</v>
      </c>
      <c r="AZ125" s="18">
        <f>1000000000-999804983.5805</f>
        <v/>
      </c>
      <c r="BA125" s="20">
        <f>1000000000-AV125-AW125-AX125-AY125-AZ125</f>
        <v/>
      </c>
      <c r="BB125" s="21" t="n">
        <v>244.9</v>
      </c>
      <c r="BC125" s="21">
        <f>BA125/1000000-BB125</f>
        <v/>
      </c>
      <c r="BD125" s="22">
        <f>BA125*12.48</f>
        <v/>
      </c>
    </row>
    <row r="126">
      <c r="A126" s="10" t="n">
        <v>45748</v>
      </c>
      <c r="B126" s="11" t="n">
        <v>5024540120.028457</v>
      </c>
      <c r="C126" s="11" t="n"/>
      <c r="D126" s="11" t="n">
        <v>67302035</v>
      </c>
      <c r="E126" s="11" t="n"/>
      <c r="M126" s="22">
        <f>Z126/(1-R126)</f>
        <v/>
      </c>
      <c r="N126" s="11" t="n"/>
      <c r="O126" s="11" t="n">
        <v>9206</v>
      </c>
      <c r="P126" s="11" t="n"/>
      <c r="Q126" s="22">
        <f>M126+N126+O126+P126</f>
        <v/>
      </c>
      <c r="R126" s="12" t="n">
        <v>0.03</v>
      </c>
      <c r="S126" s="22">
        <f>M126*R126</f>
        <v/>
      </c>
      <c r="T126" s="22">
        <f>N126*R126</f>
        <v/>
      </c>
      <c r="U126" s="22">
        <f>(O126-V126)*R126</f>
        <v/>
      </c>
      <c r="V126" s="11" t="n">
        <v>2590</v>
      </c>
      <c r="W126" s="11" t="n"/>
      <c r="X126" s="22">
        <f>S126+T126+U126+V126+W126</f>
        <v/>
      </c>
      <c r="Y126" s="11" t="n"/>
      <c r="Z126" s="22">
        <f>AE126-AB126-AA126-AC126</f>
        <v/>
      </c>
      <c r="AA126" s="22">
        <f>N126-T126-W126</f>
        <v/>
      </c>
      <c r="AB126" s="22">
        <f>O126-V126-U126</f>
        <v/>
      </c>
      <c r="AC126" s="22">
        <f>P126</f>
        <v/>
      </c>
      <c r="AD126" s="23">
        <f>Z126+AA126+AB126+AC126</f>
        <v/>
      </c>
      <c r="AE126" s="11" t="n">
        <v>1148306.088</v>
      </c>
      <c r="AF126" s="24">
        <f>AD126-AE126</f>
        <v/>
      </c>
      <c r="AG126" s="13">
        <f>IF(OR(B126="",B126=0,M126=""),"",M126/B126*10000)</f>
        <v/>
      </c>
      <c r="AH126" s="13">
        <f>IF(OR(C126="",C126=0),"",N126/C126*10000)</f>
        <v/>
      </c>
      <c r="AI126" s="13">
        <f>IF(OR(D126="",D126=0),"",O126/D126*10000)</f>
        <v/>
      </c>
      <c r="AJ126" s="11" t="n">
        <v>239.9249564471868</v>
      </c>
      <c r="AK126" s="11" t="n">
        <v>49127.38</v>
      </c>
      <c r="AL126" s="22">
        <f>AE126+AJ126+AK126</f>
        <v/>
      </c>
      <c r="AM126" s="22">
        <f>AE126</f>
        <v/>
      </c>
      <c r="AN126" s="14" t="n">
        <v>85214.7</v>
      </c>
      <c r="AO126" s="15" t="n">
        <v>13.475446</v>
      </c>
      <c r="AP126" s="14" t="n">
        <v>18493178.31</v>
      </c>
      <c r="AQ126" s="14" t="n">
        <v>26348.1635</v>
      </c>
      <c r="AR126" s="14" t="n">
        <v>564.9225</v>
      </c>
      <c r="AS126" s="14" t="n"/>
      <c r="AT126" s="16" t="n">
        <v>421.3516815743759</v>
      </c>
      <c r="AU126" s="17" t="n">
        <v>0.0217221237</v>
      </c>
      <c r="AV126" s="14" t="n">
        <v>425607917.4965</v>
      </c>
      <c r="AW126" s="18" t="n">
        <v>60100000</v>
      </c>
      <c r="AX126" s="19" t="n">
        <v>18493178.31</v>
      </c>
      <c r="AY126" s="18" t="n">
        <v>3100000</v>
      </c>
      <c r="AZ126" s="18">
        <f>1000000000-999804418.658</f>
        <v/>
      </c>
      <c r="BA126" s="20">
        <f>1000000000-AV126-AW126-AX126-AY126-AZ126</f>
        <v/>
      </c>
      <c r="BB126" s="21" t="n">
        <v>244.9</v>
      </c>
      <c r="BC126" s="21">
        <f>BA126/1000000-BB126</f>
        <v/>
      </c>
      <c r="BD126" s="22">
        <f>BA126*12.99</f>
        <v/>
      </c>
    </row>
    <row r="127">
      <c r="A127" s="10" t="n">
        <v>45749</v>
      </c>
      <c r="B127" s="11" t="n">
        <v>8109376458.284445</v>
      </c>
      <c r="C127" s="11" t="n"/>
      <c r="D127" s="11" t="n">
        <v>148833454</v>
      </c>
      <c r="E127" s="11" t="n"/>
      <c r="M127" s="22">
        <f>Z127/(1-R127)</f>
        <v/>
      </c>
      <c r="N127" s="11" t="n"/>
      <c r="O127" s="11" t="n">
        <v>22319</v>
      </c>
      <c r="P127" s="11" t="n"/>
      <c r="Q127" s="22">
        <f>M127+N127+O127+P127</f>
        <v/>
      </c>
      <c r="R127" s="12" t="n">
        <v>0.03</v>
      </c>
      <c r="S127" s="22">
        <f>M127*R127</f>
        <v/>
      </c>
      <c r="T127" s="22">
        <f>N127*R127</f>
        <v/>
      </c>
      <c r="U127" s="22">
        <f>(O127-V127)*R127</f>
        <v/>
      </c>
      <c r="V127" s="11" t="n">
        <v>3644</v>
      </c>
      <c r="W127" s="11" t="n"/>
      <c r="X127" s="22">
        <f>S127+T127+U127+V127+W127</f>
        <v/>
      </c>
      <c r="Y127" s="11" t="n"/>
      <c r="Z127" s="22">
        <f>AE127-AB127-AA127-AC127</f>
        <v/>
      </c>
      <c r="AA127" s="22">
        <f>N127-T127-W127</f>
        <v/>
      </c>
      <c r="AB127" s="22">
        <f>O127-V127-U127</f>
        <v/>
      </c>
      <c r="AC127" s="22">
        <f>P127</f>
        <v/>
      </c>
      <c r="AD127" s="23">
        <f>Z127+AA127+AB127+AC127</f>
        <v/>
      </c>
      <c r="AE127" s="11" t="n">
        <v>999399.2316000001</v>
      </c>
      <c r="AF127" s="24">
        <f>AD127-AE127</f>
        <v/>
      </c>
      <c r="AG127" s="13">
        <f>IF(OR(B127="",B127=0,M127=""),"",M127/B127*10000)</f>
        <v/>
      </c>
      <c r="AH127" s="13">
        <f>IF(OR(C127="",C127=0),"",N127/C127*10000)</f>
        <v/>
      </c>
      <c r="AI127" s="13">
        <f>IF(OR(D127="",D127=0),"",O127/D127*10000)</f>
        <v/>
      </c>
      <c r="AJ127" s="11" t="n">
        <v>190.268371598262</v>
      </c>
      <c r="AK127" s="11" t="n">
        <v>40627.7</v>
      </c>
      <c r="AL127" s="22">
        <f>AE127+AJ127+AK127</f>
        <v/>
      </c>
      <c r="AM127" s="22">
        <f>AE127</f>
        <v/>
      </c>
      <c r="AN127" s="14" t="n">
        <v>83892.06</v>
      </c>
      <c r="AO127" s="15" t="n">
        <v>11.912918</v>
      </c>
      <c r="AP127" s="14" t="n">
        <v>18577070.37</v>
      </c>
      <c r="AQ127" s="14" t="n">
        <v>6623.2099</v>
      </c>
      <c r="AR127" s="14" t="n">
        <v>54.2361</v>
      </c>
      <c r="AS127" s="14" t="n"/>
      <c r="AT127" s="16" t="n">
        <v>421.2962508275731</v>
      </c>
      <c r="AU127" s="17" t="n">
        <v>0.0217235359</v>
      </c>
      <c r="AV127" s="14" t="n">
        <v>425574952.9648</v>
      </c>
      <c r="AW127" s="18" t="n">
        <v>60100000</v>
      </c>
      <c r="AX127" s="19" t="n">
        <v>18577070.37</v>
      </c>
      <c r="AY127" s="18" t="n">
        <v>3100000</v>
      </c>
      <c r="AZ127" s="18">
        <f>1000000000-999803866.1991</f>
        <v/>
      </c>
      <c r="BA127" s="20">
        <f>1000000000-AV127-AW127-AX127-AY127-AZ127</f>
        <v/>
      </c>
      <c r="BB127" s="21" t="n">
        <v>244.9</v>
      </c>
      <c r="BC127" s="21">
        <f>BA127/1000000-BB127</f>
        <v/>
      </c>
      <c r="BD127" s="22">
        <f>BA127*13.03</f>
        <v/>
      </c>
    </row>
    <row r="128">
      <c r="A128" s="10" t="n">
        <v>45750</v>
      </c>
      <c r="B128" s="11" t="n">
        <v>5930229209.413551</v>
      </c>
      <c r="C128" s="11" t="n"/>
      <c r="D128" s="11" t="n">
        <v>119560562</v>
      </c>
      <c r="E128" s="11" t="n"/>
      <c r="M128" s="22">
        <f>Z128/(1-R128)</f>
        <v/>
      </c>
      <c r="N128" s="11" t="n"/>
      <c r="O128" s="11" t="n">
        <v>18496</v>
      </c>
      <c r="P128" s="11" t="n"/>
      <c r="Q128" s="22">
        <f>M128+N128+O128+P128</f>
        <v/>
      </c>
      <c r="R128" s="12" t="n">
        <v>0.03</v>
      </c>
      <c r="S128" s="22">
        <f>M128*R128</f>
        <v/>
      </c>
      <c r="T128" s="22">
        <f>N128*R128</f>
        <v/>
      </c>
      <c r="U128" s="22">
        <f>(O128-V128)*R128</f>
        <v/>
      </c>
      <c r="V128" s="11" t="n">
        <v>2465</v>
      </c>
      <c r="W128" s="11" t="n"/>
      <c r="X128" s="22">
        <f>S128+T128+U128+V128+W128</f>
        <v/>
      </c>
      <c r="Y128" s="11" t="n"/>
      <c r="Z128" s="22">
        <f>AE128-AB128-AA128-AC128</f>
        <v/>
      </c>
      <c r="AA128" s="22">
        <f>N128-T128-W128</f>
        <v/>
      </c>
      <c r="AB128" s="22">
        <f>O128-V128-U128</f>
        <v/>
      </c>
      <c r="AC128" s="22">
        <f>P128</f>
        <v/>
      </c>
      <c r="AD128" s="23">
        <f>Z128+AA128+AB128+AC128</f>
        <v/>
      </c>
      <c r="AE128" s="11" t="n">
        <v>1706987.162</v>
      </c>
      <c r="AF128" s="24">
        <f>AD128-AE128</f>
        <v/>
      </c>
      <c r="AG128" s="13">
        <f>IF(OR(B128="",B128=0,M128=""),"",M128/B128*10000)</f>
        <v/>
      </c>
      <c r="AH128" s="13">
        <f>IF(OR(C128="",C128=0),"",N128/C128*10000)</f>
        <v/>
      </c>
      <c r="AI128" s="13">
        <f>IF(OR(D128="",D128=0),"",O128/D128*10000)</f>
        <v/>
      </c>
      <c r="AJ128" s="11" t="n">
        <v>137.8949377601271</v>
      </c>
      <c r="AK128" s="11" t="n">
        <v>43356.89</v>
      </c>
      <c r="AL128" s="22">
        <f>AE128+AJ128+AK128</f>
        <v/>
      </c>
      <c r="AM128" s="22">
        <f>AE128</f>
        <v/>
      </c>
      <c r="AN128" s="14" t="n">
        <v>147349.1</v>
      </c>
      <c r="AO128" s="15" t="n">
        <v>11.584646</v>
      </c>
      <c r="AP128" s="14" t="n">
        <v>18724419.47</v>
      </c>
      <c r="AQ128" s="14" t="n">
        <v>19999.2249</v>
      </c>
      <c r="AR128" s="14" t="n">
        <v>883.6477</v>
      </c>
      <c r="AS128" s="14" t="n"/>
      <c r="AT128" s="16" t="n">
        <v>421.3262946596562</v>
      </c>
      <c r="AU128" s="17" t="n">
        <v>0.0217227705</v>
      </c>
      <c r="AV128" s="14" t="n">
        <v>425554953.7399</v>
      </c>
      <c r="AW128" s="18" t="n">
        <v>60100000</v>
      </c>
      <c r="AX128" s="19" t="n">
        <v>18724419.47</v>
      </c>
      <c r="AY128" s="18" t="n">
        <v>3100000</v>
      </c>
      <c r="AZ128" s="18">
        <f>1000000000-999802982.5513</f>
        <v/>
      </c>
      <c r="BA128" s="20">
        <f>1000000000-AV128-AW128-AX128-AY128-AZ128</f>
        <v/>
      </c>
      <c r="BB128" s="21" t="n">
        <v>244.9</v>
      </c>
      <c r="BC128" s="21">
        <f>BA128/1000000-BB128</f>
        <v/>
      </c>
      <c r="BD128" s="22">
        <f>BA128*12.06</f>
        <v/>
      </c>
    </row>
    <row r="129">
      <c r="A129" s="10" t="n">
        <v>45751</v>
      </c>
      <c r="B129" s="11" t="n">
        <v>7751080977.472291</v>
      </c>
      <c r="C129" s="11" t="n"/>
      <c r="D129" s="11" t="n">
        <v>129690210</v>
      </c>
      <c r="E129" s="11" t="n"/>
      <c r="M129" s="22">
        <f>Z129/(1-R129)</f>
        <v/>
      </c>
      <c r="N129" s="11" t="n"/>
      <c r="O129" s="11" t="n">
        <v>17493</v>
      </c>
      <c r="P129" s="11" t="n"/>
      <c r="Q129" s="22">
        <f>M129+N129+O129+P129</f>
        <v/>
      </c>
      <c r="R129" s="12" t="n">
        <v>0.03</v>
      </c>
      <c r="S129" s="22">
        <f>M129*R129</f>
        <v/>
      </c>
      <c r="T129" s="22">
        <f>N129*R129</f>
        <v/>
      </c>
      <c r="U129" s="22">
        <f>(O129-V129)*R129</f>
        <v/>
      </c>
      <c r="V129" s="11" t="n">
        <v>4562</v>
      </c>
      <c r="W129" s="11" t="n"/>
      <c r="X129" s="22">
        <f>S129+T129+U129+V129+W129</f>
        <v/>
      </c>
      <c r="Y129" s="11" t="n"/>
      <c r="Z129" s="22">
        <f>AE129-AB129-AA129-AC129</f>
        <v/>
      </c>
      <c r="AA129" s="22">
        <f>N129-T129-W129</f>
        <v/>
      </c>
      <c r="AB129" s="22">
        <f>O129-V129-U129</f>
        <v/>
      </c>
      <c r="AC129" s="22">
        <f>P129</f>
        <v/>
      </c>
      <c r="AD129" s="23">
        <f>Z129+AA129+AB129+AC129</f>
        <v/>
      </c>
      <c r="AE129" s="11" t="n">
        <v>1341664.156</v>
      </c>
      <c r="AF129" s="24">
        <f>AD129-AE129</f>
        <v/>
      </c>
      <c r="AG129" s="13">
        <f>IF(OR(B129="",B129=0,M129=""),"",M129/B129*10000)</f>
        <v/>
      </c>
      <c r="AH129" s="13">
        <f>IF(OR(C129="",C129=0),"",N129/C129*10000)</f>
        <v/>
      </c>
      <c r="AI129" s="13">
        <f>IF(OR(D129="",D129=0),"",O129/D129*10000)</f>
        <v/>
      </c>
      <c r="AJ129" s="11" t="n">
        <v>141.3380405329709</v>
      </c>
      <c r="AK129" s="11" t="n">
        <v>47949.77</v>
      </c>
      <c r="AL129" s="22">
        <f>AE129+AJ129+AK129</f>
        <v/>
      </c>
      <c r="AM129" s="22">
        <f>AE129</f>
        <v/>
      </c>
      <c r="AN129" s="14" t="n">
        <v>110859.2</v>
      </c>
      <c r="AO129" s="15" t="n">
        <v>12.102416</v>
      </c>
      <c r="AP129" s="14" t="n">
        <v>18835278.67</v>
      </c>
      <c r="AQ129" s="14" t="n">
        <v>26342.9936</v>
      </c>
      <c r="AR129" s="14" t="n">
        <v>1167.9452</v>
      </c>
      <c r="AS129" s="14" t="n"/>
      <c r="AT129" s="16" t="n">
        <v>420.8668433375315</v>
      </c>
      <c r="AU129" s="17" t="n">
        <v>0.0217344857</v>
      </c>
      <c r="AV129" s="14" t="n">
        <v>425528610.7463</v>
      </c>
      <c r="AW129" s="18" t="n">
        <v>60100000</v>
      </c>
      <c r="AX129" s="19" t="n">
        <v>18835278.67</v>
      </c>
      <c r="AY129" s="18" t="n">
        <v>3100000</v>
      </c>
      <c r="AZ129" s="18">
        <f>1000000000-999801814.6061</f>
        <v/>
      </c>
      <c r="BA129" s="20">
        <f>1000000000-AV129-AW129-AX129-AY129-AZ129</f>
        <v/>
      </c>
      <c r="BB129" s="21" t="n">
        <v>244.9</v>
      </c>
      <c r="BC129" s="21">
        <f>BA129/1000000-BB129</f>
        <v/>
      </c>
      <c r="BD129" s="22">
        <f>BA129*11.78</f>
        <v/>
      </c>
    </row>
    <row r="130">
      <c r="A130" s="10" t="n">
        <v>45752</v>
      </c>
      <c r="B130" s="11" t="n">
        <v>2430774311.148821</v>
      </c>
      <c r="C130" s="11" t="n"/>
      <c r="D130" s="11" t="n">
        <v>42672433</v>
      </c>
      <c r="E130" s="11" t="n"/>
      <c r="M130" s="22">
        <f>Z130/(1-R130)</f>
        <v/>
      </c>
      <c r="N130" s="11" t="n"/>
      <c r="O130" s="11" t="n">
        <v>6171</v>
      </c>
      <c r="P130" s="11" t="n"/>
      <c r="Q130" s="22">
        <f>M130+N130+O130+P130</f>
        <v/>
      </c>
      <c r="R130" s="12" t="n">
        <v>0.03</v>
      </c>
      <c r="S130" s="22">
        <f>M130*R130</f>
        <v/>
      </c>
      <c r="T130" s="22">
        <f>N130*R130</f>
        <v/>
      </c>
      <c r="U130" s="22">
        <f>(O130-V130)*R130</f>
        <v/>
      </c>
      <c r="V130" s="11" t="n">
        <v>1563</v>
      </c>
      <c r="W130" s="11" t="n"/>
      <c r="X130" s="22">
        <f>S130+T130+U130+V130+W130</f>
        <v/>
      </c>
      <c r="Y130" s="11" t="n"/>
      <c r="Z130" s="22">
        <f>AE130-AB130-AA130-AC130</f>
        <v/>
      </c>
      <c r="AA130" s="22">
        <f>N130-T130-W130</f>
        <v/>
      </c>
      <c r="AB130" s="22">
        <f>O130-V130-U130</f>
        <v/>
      </c>
      <c r="AC130" s="22">
        <f>P130</f>
        <v/>
      </c>
      <c r="AD130" s="23">
        <f>Z130+AA130+AB130+AC130</f>
        <v/>
      </c>
      <c r="AE130" s="11" t="n">
        <v>1806393.176</v>
      </c>
      <c r="AF130" s="24">
        <f>AD130-AE130</f>
        <v/>
      </c>
      <c r="AG130" s="13">
        <f>IF(OR(B130="",B130=0,M130=""),"",M130/B130*10000)</f>
        <v/>
      </c>
      <c r="AH130" s="13">
        <f>IF(OR(C130="",C130=0),"",N130/C130*10000)</f>
        <v/>
      </c>
      <c r="AI130" s="13">
        <f>IF(OR(D130="",D130=0),"",O130/D130*10000)</f>
        <v/>
      </c>
      <c r="AJ130" s="11" t="n">
        <v>70.23900232124376</v>
      </c>
      <c r="AK130" s="11" t="n">
        <v>0</v>
      </c>
      <c r="AL130" s="22">
        <f>AE130+AJ130+AK130</f>
        <v/>
      </c>
      <c r="AM130" s="22">
        <f>AE130</f>
        <v/>
      </c>
      <c r="AN130" s="14" t="n">
        <v>153210.93</v>
      </c>
      <c r="AO130" s="15" t="n">
        <v>11.790237</v>
      </c>
      <c r="AP130" s="14" t="n">
        <v>18988489.6</v>
      </c>
      <c r="AQ130" s="14" t="n">
        <v>26344.3158</v>
      </c>
      <c r="AR130" s="14" t="n">
        <v>1096.1885</v>
      </c>
      <c r="AS130" s="14" t="n"/>
      <c r="AT130" s="16" t="n">
        <v>420.5198976877521</v>
      </c>
      <c r="AU130" s="17" t="n">
        <v>0.0217433449</v>
      </c>
      <c r="AV130" s="14" t="n">
        <v>425502266.4305</v>
      </c>
      <c r="AW130" s="18" t="n">
        <v>60100000</v>
      </c>
      <c r="AX130" s="19" t="n">
        <v>18988489.6</v>
      </c>
      <c r="AY130" s="18" t="n">
        <v>3100000</v>
      </c>
      <c r="AZ130" s="18">
        <f>1000000000-999800718.4176</f>
        <v/>
      </c>
      <c r="BA130" s="20">
        <f>1000000000-AV130-AW130-AX130-AY130-AZ130</f>
        <v/>
      </c>
      <c r="BB130" s="21" t="n">
        <v>244.9</v>
      </c>
      <c r="BC130" s="21">
        <f>BA130/1000000-BB130</f>
        <v/>
      </c>
      <c r="BD130" s="22">
        <f>BA130*11.93</f>
        <v/>
      </c>
    </row>
    <row r="131">
      <c r="A131" s="10" t="n">
        <v>45753</v>
      </c>
      <c r="B131" s="11" t="n">
        <v>7538397804.353545</v>
      </c>
      <c r="C131" s="11" t="n"/>
      <c r="D131" s="11" t="n">
        <v>148050393</v>
      </c>
      <c r="E131" s="11" t="n"/>
      <c r="M131" s="22">
        <f>Z131/(1-R131)</f>
        <v/>
      </c>
      <c r="N131" s="11" t="n"/>
      <c r="O131" s="11" t="n">
        <v>18329</v>
      </c>
      <c r="P131" s="11" t="n"/>
      <c r="Q131" s="22">
        <f>M131+N131+O131+P131</f>
        <v/>
      </c>
      <c r="R131" s="12" t="n">
        <v>0.03</v>
      </c>
      <c r="S131" s="22">
        <f>M131*R131</f>
        <v/>
      </c>
      <c r="T131" s="22">
        <f>N131*R131</f>
        <v/>
      </c>
      <c r="U131" s="22">
        <f>(O131-V131)*R131</f>
        <v/>
      </c>
      <c r="V131" s="11" t="n">
        <v>5782</v>
      </c>
      <c r="W131" s="11" t="n"/>
      <c r="X131" s="22">
        <f>S131+T131+U131+V131+W131</f>
        <v/>
      </c>
      <c r="Y131" s="11" t="n"/>
      <c r="Z131" s="22">
        <f>AE131-AB131-AA131-AC131</f>
        <v/>
      </c>
      <c r="AA131" s="22">
        <f>N131-T131-W131</f>
        <v/>
      </c>
      <c r="AB131" s="22">
        <f>O131-V131-U131</f>
        <v/>
      </c>
      <c r="AC131" s="22">
        <f>P131</f>
        <v/>
      </c>
      <c r="AD131" s="23">
        <f>Z131+AA131+AB131+AC131</f>
        <v/>
      </c>
      <c r="AE131" s="11" t="n">
        <v>456748.8161</v>
      </c>
      <c r="AF131" s="24">
        <f>AD131-AE131</f>
        <v/>
      </c>
      <c r="AG131" s="13">
        <f>IF(OR(B131="",B131=0,M131=""),"",M131/B131*10000)</f>
        <v/>
      </c>
      <c r="AH131" s="13">
        <f>IF(OR(C131="",C131=0),"",N131/C131*10000)</f>
        <v/>
      </c>
      <c r="AI131" s="13">
        <f>IF(OR(D131="",D131=0),"",O131/D131*10000)</f>
        <v/>
      </c>
      <c r="AJ131" s="11" t="n">
        <v>86.21783880466637</v>
      </c>
      <c r="AK131" s="11" t="n">
        <v>31043.55</v>
      </c>
      <c r="AL131" s="22">
        <f>AE131+AJ131+AK131</f>
        <v/>
      </c>
      <c r="AM131" s="22">
        <f>AE131</f>
        <v/>
      </c>
      <c r="AN131" s="14" t="n">
        <v>42454.63</v>
      </c>
      <c r="AO131" s="15" t="n">
        <v>10.758516</v>
      </c>
      <c r="AP131" s="14" t="n">
        <v>19030944.23</v>
      </c>
      <c r="AQ131" s="14" t="n">
        <v>26306.8726</v>
      </c>
      <c r="AR131" s="14" t="n">
        <v>316.5482</v>
      </c>
      <c r="AS131" s="14" t="n"/>
      <c r="AT131" s="16" t="n">
        <v>420.5791343918523</v>
      </c>
      <c r="AU131" s="17" t="n">
        <v>0.0217418315</v>
      </c>
      <c r="AV131" s="14" t="n">
        <v>425475959.5579</v>
      </c>
      <c r="AW131" s="18" t="n">
        <v>60100000</v>
      </c>
      <c r="AX131" s="19" t="n">
        <v>19030944.23</v>
      </c>
      <c r="AY131" s="18" t="n">
        <v>3100000</v>
      </c>
      <c r="AZ131" s="18">
        <f>1000000000-999800401.8694</f>
        <v/>
      </c>
      <c r="BA131" s="20">
        <f>1000000000-AV131-AW131-AX131-AY131-AZ131</f>
        <v/>
      </c>
      <c r="BB131" s="21" t="n">
        <v>244.9</v>
      </c>
      <c r="BC131" s="21">
        <f>BA131/1000000-BB131</f>
        <v/>
      </c>
      <c r="BD131" s="22">
        <f>BA131*11.92</f>
        <v/>
      </c>
    </row>
    <row r="132">
      <c r="A132" s="10" t="n">
        <v>45754</v>
      </c>
      <c r="B132" s="11" t="n">
        <v>13309974115.71172</v>
      </c>
      <c r="C132" s="11" t="n"/>
      <c r="D132" s="11" t="n">
        <v>254918742</v>
      </c>
      <c r="E132" s="11" t="n"/>
      <c r="M132" s="22">
        <f>Z132/(1-R132)</f>
        <v/>
      </c>
      <c r="N132" s="11" t="n"/>
      <c r="O132" s="11" t="n">
        <v>36051</v>
      </c>
      <c r="P132" s="11" t="n"/>
      <c r="Q132" s="22">
        <f>M132+N132+O132+P132</f>
        <v/>
      </c>
      <c r="R132" s="12" t="n">
        <v>0.03</v>
      </c>
      <c r="S132" s="22">
        <f>M132*R132</f>
        <v/>
      </c>
      <c r="T132" s="22">
        <f>N132*R132</f>
        <v/>
      </c>
      <c r="U132" s="22">
        <f>(O132-V132)*R132</f>
        <v/>
      </c>
      <c r="V132" s="11" t="n">
        <v>12982</v>
      </c>
      <c r="W132" s="11" t="n"/>
      <c r="X132" s="22">
        <f>S132+T132+U132+V132+W132</f>
        <v/>
      </c>
      <c r="Y132" s="11" t="n"/>
      <c r="Z132" s="22">
        <f>AE132-AB132-AA132-AC132</f>
        <v/>
      </c>
      <c r="AA132" s="22">
        <f>N132-T132-W132</f>
        <v/>
      </c>
      <c r="AB132" s="22">
        <f>O132-V132-U132</f>
        <v/>
      </c>
      <c r="AC132" s="22">
        <f>P132</f>
        <v/>
      </c>
      <c r="AD132" s="23">
        <f>Z132+AA132+AB132+AC132</f>
        <v/>
      </c>
      <c r="AE132" s="11" t="n">
        <v>2696151.302</v>
      </c>
      <c r="AF132" s="24">
        <f>AD132-AE132</f>
        <v/>
      </c>
      <c r="AG132" s="13">
        <f>IF(OR(B132="",B132=0,M132=""),"",M132/B132*10000)</f>
        <v/>
      </c>
      <c r="AH132" s="13">
        <f>IF(OR(C132="",C132=0),"",N132/C132*10000)</f>
        <v/>
      </c>
      <c r="AI132" s="13">
        <f>IF(OR(D132="",D132=0),"",O132/D132*10000)</f>
        <v/>
      </c>
      <c r="AJ132" s="11" t="n">
        <v>159.4357757973535</v>
      </c>
      <c r="AK132" s="11" t="n">
        <v>21948.67</v>
      </c>
      <c r="AL132" s="22">
        <f>AE132+AJ132+AK132</f>
        <v/>
      </c>
      <c r="AM132" s="22">
        <f>AE132</f>
        <v/>
      </c>
      <c r="AN132" s="14" t="n">
        <v>256254.02</v>
      </c>
      <c r="AO132" s="15" t="n">
        <v>10.521401</v>
      </c>
      <c r="AP132" s="14" t="n">
        <v>19287198.25</v>
      </c>
      <c r="AQ132" s="14" t="n">
        <v>26316.4147</v>
      </c>
      <c r="AR132" s="14" t="n">
        <v>939.6004</v>
      </c>
      <c r="AS132" s="14" t="n"/>
      <c r="AT132" s="16" t="n">
        <v>421.5515595656925</v>
      </c>
      <c r="AU132" s="17" t="n">
        <v>0.0217170335</v>
      </c>
      <c r="AV132" s="14" t="n">
        <v>425449643.1433</v>
      </c>
      <c r="AW132" s="18" t="n">
        <v>60100000</v>
      </c>
      <c r="AX132" s="19" t="n">
        <v>19287198.25</v>
      </c>
      <c r="AY132" s="18" t="n">
        <v>3100000</v>
      </c>
      <c r="AZ132" s="18">
        <f>1000000000-999799462.269</f>
        <v/>
      </c>
      <c r="BA132" s="20">
        <f>1000000000-AV132-AW132-AX132-AY132-AZ132</f>
        <v/>
      </c>
      <c r="BB132" s="21" t="n">
        <v>244.9</v>
      </c>
      <c r="BC132" s="21">
        <f>BA132/1000000-BB132</f>
        <v/>
      </c>
      <c r="BD132" s="22">
        <f>BA132*10.02</f>
        <v/>
      </c>
    </row>
    <row r="133">
      <c r="A133" s="10" t="n">
        <v>45755</v>
      </c>
      <c r="B133" s="11" t="n">
        <v>7663480477.189616</v>
      </c>
      <c r="C133" s="11" t="n"/>
      <c r="D133" s="11" t="n">
        <v>163870707</v>
      </c>
      <c r="E133" s="11" t="n"/>
      <c r="M133" s="22">
        <f>Z133/(1-R133)</f>
        <v/>
      </c>
      <c r="N133" s="11" t="n"/>
      <c r="O133" s="11" t="n">
        <v>20897</v>
      </c>
      <c r="P133" s="11" t="n"/>
      <c r="Q133" s="22">
        <f>M133+N133+O133+P133</f>
        <v/>
      </c>
      <c r="R133" s="12" t="n">
        <v>0.03</v>
      </c>
      <c r="S133" s="22">
        <f>M133*R133</f>
        <v/>
      </c>
      <c r="T133" s="22">
        <f>N133*R133</f>
        <v/>
      </c>
      <c r="U133" s="22">
        <f>(O133-V133)*R133</f>
        <v/>
      </c>
      <c r="V133" s="11" t="n">
        <v>5459</v>
      </c>
      <c r="W133" s="11" t="n"/>
      <c r="X133" s="22">
        <f>S133+T133+U133+V133+W133</f>
        <v/>
      </c>
      <c r="Y133" s="11" t="n"/>
      <c r="Z133" s="22">
        <f>AE133-AB133-AA133-AC133</f>
        <v/>
      </c>
      <c r="AA133" s="22">
        <f>N133-T133-W133</f>
        <v/>
      </c>
      <c r="AB133" s="22">
        <f>O133-V133-U133</f>
        <v/>
      </c>
      <c r="AC133" s="22">
        <f>P133</f>
        <v/>
      </c>
      <c r="AD133" s="23">
        <f>Z133+AA133+AB133+AC133</f>
        <v/>
      </c>
      <c r="AE133" s="11" t="n">
        <v>2383035.646</v>
      </c>
      <c r="AF133" s="24">
        <f>AD133-AE133</f>
        <v/>
      </c>
      <c r="AG133" s="13">
        <f>IF(OR(B133="",B133=0,M133=""),"",M133/B133*10000)</f>
        <v/>
      </c>
      <c r="AH133" s="13">
        <f>IF(OR(C133="",C133=0),"",N133/C133*10000)</f>
        <v/>
      </c>
      <c r="AI133" s="13">
        <f>IF(OR(D133="",D133=0),"",O133/D133*10000)</f>
        <v/>
      </c>
      <c r="AJ133" s="11" t="n">
        <v>260.9064576519706</v>
      </c>
      <c r="AK133" s="11" t="n">
        <v>27563.24</v>
      </c>
      <c r="AL133" s="22">
        <f>AE133+AJ133+AK133</f>
        <v/>
      </c>
      <c r="AM133" s="22">
        <f>AE133</f>
        <v/>
      </c>
      <c r="AN133" s="14" t="n">
        <v>209565.99</v>
      </c>
      <c r="AO133" s="15" t="n">
        <v>11.37129</v>
      </c>
      <c r="AP133" s="14" t="n">
        <v>19496764.24</v>
      </c>
      <c r="AQ133" s="14" t="n">
        <v>26338.7732</v>
      </c>
      <c r="AR133" s="14" t="n">
        <v>2135.0213</v>
      </c>
      <c r="AS133" s="14" t="n"/>
      <c r="AT133" s="16" t="n">
        <v>421.5786515770515</v>
      </c>
      <c r="AU133" s="17" t="n">
        <v>0.0217163438</v>
      </c>
      <c r="AV133" s="14" t="n">
        <v>425423304.3701</v>
      </c>
      <c r="AW133" s="18" t="n">
        <v>60100000</v>
      </c>
      <c r="AX133" s="19" t="n">
        <v>19496764.24</v>
      </c>
      <c r="AY133" s="18" t="n">
        <v>3100000</v>
      </c>
      <c r="AZ133" s="18">
        <f>1000000000-999797327.2477</f>
        <v/>
      </c>
      <c r="BA133" s="20">
        <f>1000000000-AV133-AW133-AX133-AY133-AZ133</f>
        <v/>
      </c>
      <c r="BB133" s="21" t="n">
        <v>244.9</v>
      </c>
      <c r="BC133" s="21">
        <f>BA133/1000000-BB133</f>
        <v/>
      </c>
      <c r="BD133" s="22">
        <f>BA133*11.61</f>
        <v/>
      </c>
    </row>
    <row r="134">
      <c r="A134" s="10" t="n">
        <v>45756</v>
      </c>
      <c r="B134" s="11" t="n">
        <v>12444620477.97867</v>
      </c>
      <c r="C134" s="11" t="n"/>
      <c r="D134" s="11" t="n">
        <v>256513559</v>
      </c>
      <c r="E134" s="11" t="n"/>
      <c r="M134" s="22">
        <f>Z134/(1-R134)</f>
        <v/>
      </c>
      <c r="N134" s="11" t="n"/>
      <c r="O134" s="11" t="n">
        <v>36874</v>
      </c>
      <c r="P134" s="11" t="n"/>
      <c r="Q134" s="22">
        <f>M134+N134+O134+P134</f>
        <v/>
      </c>
      <c r="R134" s="12" t="n">
        <v>0.03</v>
      </c>
      <c r="S134" s="22">
        <f>M134*R134</f>
        <v/>
      </c>
      <c r="T134" s="22">
        <f>N134*R134</f>
        <v/>
      </c>
      <c r="U134" s="22">
        <f>(O134-V134)*R134</f>
        <v/>
      </c>
      <c r="V134" s="11" t="n">
        <v>11098</v>
      </c>
      <c r="W134" s="11" t="n"/>
      <c r="X134" s="22">
        <f>S134+T134+U134+V134+W134</f>
        <v/>
      </c>
      <c r="Y134" s="11" t="n"/>
      <c r="Z134" s="22">
        <f>AE134-AB134-AA134-AC134</f>
        <v/>
      </c>
      <c r="AA134" s="22">
        <f>N134-T134-W134</f>
        <v/>
      </c>
      <c r="AB134" s="22">
        <f>O134-V134-U134</f>
        <v/>
      </c>
      <c r="AC134" s="22">
        <f>P134</f>
        <v/>
      </c>
      <c r="AD134" s="23">
        <f>Z134+AA134+AB134+AC134</f>
        <v/>
      </c>
      <c r="AE134" s="11" t="n">
        <v>2265416.302</v>
      </c>
      <c r="AF134" s="24">
        <f>AD134-AE134</f>
        <v/>
      </c>
      <c r="AG134" s="13">
        <f>IF(OR(B134="",B134=0,M134=""),"",M134/B134*10000)</f>
        <v/>
      </c>
      <c r="AH134" s="13">
        <f>IF(OR(C134="",C134=0),"",N134/C134*10000)</f>
        <v/>
      </c>
      <c r="AI134" s="13">
        <f>IF(OR(D134="",D134=0),"",O134/D134*10000)</f>
        <v/>
      </c>
      <c r="AJ134" s="11" t="n">
        <v>1499.456863071</v>
      </c>
      <c r="AK134" s="11" t="n">
        <v>0</v>
      </c>
      <c r="AL134" s="22">
        <f>AE134+AJ134+AK134</f>
        <v/>
      </c>
      <c r="AM134" s="22">
        <f>AE134</f>
        <v/>
      </c>
      <c r="AN134" s="14" t="n">
        <v>177028.08</v>
      </c>
      <c r="AO134" s="15" t="n">
        <v>12.796932</v>
      </c>
      <c r="AP134" s="14" t="n">
        <v>19673792.32</v>
      </c>
      <c r="AQ134" s="14" t="n">
        <v>26379.045</v>
      </c>
      <c r="AR134" s="14" t="n">
        <v>1189.0274</v>
      </c>
      <c r="AS134" s="14" t="n"/>
      <c r="AT134" s="16" t="n">
        <v>421.7924521721882</v>
      </c>
      <c r="AU134" s="17" t="n">
        <v>0.0217109036</v>
      </c>
      <c r="AV134" s="14" t="n">
        <v>425396925.3251</v>
      </c>
      <c r="AW134" s="18" t="n">
        <v>60100000</v>
      </c>
      <c r="AX134" s="19" t="n">
        <v>19673792.32</v>
      </c>
      <c r="AY134" s="18" t="n">
        <v>3100000</v>
      </c>
      <c r="AZ134" s="18">
        <f>1000000000-999796138.2203</f>
        <v/>
      </c>
      <c r="BA134" s="20">
        <f>1000000000-AV134-AW134-AX134-AY134-AZ134</f>
        <v/>
      </c>
      <c r="BB134" s="21" t="n">
        <v>244.9</v>
      </c>
      <c r="BC134" s="21">
        <f>BA134/1000000-BB134</f>
        <v/>
      </c>
      <c r="BD134" s="22">
        <f>BA134*11.53</f>
        <v/>
      </c>
    </row>
    <row r="135">
      <c r="A135" s="10" t="n">
        <v>45757</v>
      </c>
      <c r="B135" s="11" t="n">
        <v>7229336568.384927</v>
      </c>
      <c r="C135" s="11" t="n"/>
      <c r="D135" s="11" t="n">
        <v>165359677</v>
      </c>
      <c r="E135" s="11" t="n"/>
      <c r="M135" s="22">
        <f>Z135/(1-R135)</f>
        <v/>
      </c>
      <c r="N135" s="11" t="n"/>
      <c r="O135" s="11" t="n">
        <v>22705</v>
      </c>
      <c r="P135" s="11" t="n"/>
      <c r="Q135" s="22">
        <f>M135+N135+O135+P135</f>
        <v/>
      </c>
      <c r="R135" s="12" t="n">
        <v>0.03</v>
      </c>
      <c r="S135" s="22">
        <f>M135*R135</f>
        <v/>
      </c>
      <c r="T135" s="22">
        <f>N135*R135</f>
        <v/>
      </c>
      <c r="U135" s="22">
        <f>(O135-V135)*R135</f>
        <v/>
      </c>
      <c r="V135" s="11" t="n">
        <v>7205</v>
      </c>
      <c r="W135" s="11" t="n"/>
      <c r="X135" s="22">
        <f>S135+T135+U135+V135+W135</f>
        <v/>
      </c>
      <c r="Y135" s="11" t="n"/>
      <c r="Z135" s="22">
        <f>AE135-AB135-AA135-AC135</f>
        <v/>
      </c>
      <c r="AA135" s="22">
        <f>N135-T135-W135</f>
        <v/>
      </c>
      <c r="AB135" s="22">
        <f>O135-V135-U135</f>
        <v/>
      </c>
      <c r="AC135" s="22">
        <f>P135</f>
        <v/>
      </c>
      <c r="AD135" s="23">
        <f>Z135+AA135+AB135+AC135</f>
        <v/>
      </c>
      <c r="AE135" s="11" t="n">
        <v>2469028.056</v>
      </c>
      <c r="AF135" s="24">
        <f>AD135-AE135</f>
        <v/>
      </c>
      <c r="AG135" s="13">
        <f>IF(OR(B135="",B135=0,M135=""),"",M135/B135*10000)</f>
        <v/>
      </c>
      <c r="AH135" s="13">
        <f>IF(OR(C135="",C135=0),"",N135/C135*10000)</f>
        <v/>
      </c>
      <c r="AI135" s="13">
        <f>IF(OR(D135="",D135=0),"",O135/D135*10000)</f>
        <v/>
      </c>
      <c r="AJ135" s="11" t="n">
        <v>1905.243982577854</v>
      </c>
      <c r="AK135" s="11" t="n">
        <v>34630.96</v>
      </c>
      <c r="AL135" s="22">
        <f>AE135+AJ135+AK135</f>
        <v/>
      </c>
      <c r="AM135" s="22">
        <f>AE135</f>
        <v/>
      </c>
      <c r="AN135" s="14" t="n">
        <v>179849.25</v>
      </c>
      <c r="AO135" s="15" t="n">
        <v>13.72832</v>
      </c>
      <c r="AP135" s="14" t="n">
        <v>19853641.57</v>
      </c>
      <c r="AQ135" s="14" t="n">
        <v>26339.0337</v>
      </c>
      <c r="AR135" s="14" t="n">
        <v>2125.1637</v>
      </c>
      <c r="AS135" s="14" t="n"/>
      <c r="AT135" s="16" t="n">
        <v>421.8856640033089</v>
      </c>
      <c r="AU135" s="17" t="n">
        <v>0.0217085331</v>
      </c>
      <c r="AV135" s="14" t="n">
        <v>425370586.2914</v>
      </c>
      <c r="AW135" s="18" t="n">
        <v>60100000</v>
      </c>
      <c r="AX135" s="19" t="n">
        <v>19853641.57</v>
      </c>
      <c r="AY135" s="18" t="n">
        <v>3100000</v>
      </c>
      <c r="AZ135" s="18">
        <f>1000000000-999794013.0566</f>
        <v/>
      </c>
      <c r="BA135" s="20">
        <f>1000000000-AV135-AW135-AX135-AY135-AZ135</f>
        <v/>
      </c>
      <c r="BB135" s="21" t="n">
        <v>244.9</v>
      </c>
      <c r="BC135" s="21">
        <f>BA135/1000000-BB135</f>
        <v/>
      </c>
      <c r="BD135" s="22">
        <f>BA135*13.53</f>
        <v/>
      </c>
    </row>
    <row r="136">
      <c r="A136" s="10" t="n">
        <v>45758</v>
      </c>
      <c r="B136" s="11" t="n">
        <v>5544362890.154925</v>
      </c>
      <c r="C136" s="11" t="n"/>
      <c r="D136" s="11" t="n">
        <v>187070232</v>
      </c>
      <c r="E136" s="11" t="n"/>
      <c r="M136" s="22">
        <f>Z136/(1-R136)</f>
        <v/>
      </c>
      <c r="N136" s="11" t="n"/>
      <c r="O136" s="11" t="n">
        <v>24450</v>
      </c>
      <c r="P136" s="11" t="n"/>
      <c r="Q136" s="22">
        <f>M136+N136+O136+P136</f>
        <v/>
      </c>
      <c r="R136" s="12" t="n">
        <v>0.03</v>
      </c>
      <c r="S136" s="22">
        <f>M136*R136</f>
        <v/>
      </c>
      <c r="T136" s="22">
        <f>N136*R136</f>
        <v/>
      </c>
      <c r="U136" s="22">
        <f>(O136-V136)*R136</f>
        <v/>
      </c>
      <c r="V136" s="11" t="n">
        <v>9894</v>
      </c>
      <c r="W136" s="11" t="n"/>
      <c r="X136" s="22">
        <f>S136+T136+U136+V136+W136</f>
        <v/>
      </c>
      <c r="Y136" s="11" t="n"/>
      <c r="Z136" s="22">
        <f>AE136-AB136-AA136-AC136</f>
        <v/>
      </c>
      <c r="AA136" s="22">
        <f>N136-T136-W136</f>
        <v/>
      </c>
      <c r="AB136" s="22">
        <f>O136-V136-U136</f>
        <v/>
      </c>
      <c r="AC136" s="22">
        <f>P136</f>
        <v/>
      </c>
      <c r="AD136" s="23">
        <f>Z136+AA136+AB136+AC136</f>
        <v/>
      </c>
      <c r="AE136" s="11" t="n">
        <v>1682430.291</v>
      </c>
      <c r="AF136" s="24">
        <f>AD136-AE136</f>
        <v/>
      </c>
      <c r="AG136" s="13">
        <f>IF(OR(B136="",B136=0,M136=""),"",M136/B136*10000)</f>
        <v/>
      </c>
      <c r="AH136" s="13">
        <f>IF(OR(C136="",C136=0),"",N136/C136*10000)</f>
        <v/>
      </c>
      <c r="AI136" s="13">
        <f>IF(OR(D136="",D136=0),"",O136/D136*10000)</f>
        <v/>
      </c>
      <c r="AJ136" s="11" t="n">
        <v>2810.807794830194</v>
      </c>
      <c r="AK136" s="11" t="n">
        <v>34139.03</v>
      </c>
      <c r="AL136" s="22">
        <f>AE136+AJ136+AK136</f>
        <v/>
      </c>
      <c r="AM136" s="22">
        <f>AE136</f>
        <v/>
      </c>
      <c r="AN136" s="14" t="n">
        <v>109034.1</v>
      </c>
      <c r="AO136" s="15" t="n">
        <v>15.430313</v>
      </c>
      <c r="AP136" s="14" t="n">
        <v>19962675.67</v>
      </c>
      <c r="AQ136" s="14" t="n">
        <v>26358.6189</v>
      </c>
      <c r="AR136" s="14" t="n">
        <v>1005.1581</v>
      </c>
      <c r="AS136" s="14" t="n"/>
      <c r="AT136" s="16" t="n">
        <v>421.9128187075878</v>
      </c>
      <c r="AU136" s="17" t="n">
        <v>0.0217078426</v>
      </c>
      <c r="AV136" s="14" t="n">
        <v>425344227.6724</v>
      </c>
      <c r="AW136" s="18" t="n">
        <v>60100000</v>
      </c>
      <c r="AX136" s="19" t="n">
        <v>19962675.67</v>
      </c>
      <c r="AY136" s="18" t="n">
        <v>3100000</v>
      </c>
      <c r="AZ136" s="18">
        <f>1000000000-999793007.8985</f>
        <v/>
      </c>
      <c r="BA136" s="20">
        <f>1000000000-AV136-AW136-AX136-AY136-AZ136</f>
        <v/>
      </c>
      <c r="BB136" s="21" t="n">
        <v>244.9</v>
      </c>
      <c r="BC136" s="21">
        <f>BA136/1000000-BB136</f>
        <v/>
      </c>
      <c r="BD136" s="22">
        <f>BA136*14.18</f>
        <v/>
      </c>
    </row>
    <row r="137">
      <c r="A137" s="10" t="n">
        <v>45759</v>
      </c>
      <c r="B137" s="11" t="n">
        <v>4949382648.127316</v>
      </c>
      <c r="C137" s="11" t="n"/>
      <c r="D137" s="11" t="n">
        <v>121367900</v>
      </c>
      <c r="E137" s="11" t="n"/>
      <c r="M137" s="22">
        <f>Z137/(1-R137)</f>
        <v/>
      </c>
      <c r="N137" s="11" t="n"/>
      <c r="O137" s="11" t="n">
        <v>15701</v>
      </c>
      <c r="P137" s="11" t="n"/>
      <c r="Q137" s="22">
        <f>M137+N137+O137+P137</f>
        <v/>
      </c>
      <c r="R137" s="12" t="n">
        <v>0.03</v>
      </c>
      <c r="S137" s="22">
        <f>M137*R137</f>
        <v/>
      </c>
      <c r="T137" s="22">
        <f>N137*R137</f>
        <v/>
      </c>
      <c r="U137" s="22">
        <f>(O137-V137)*R137</f>
        <v/>
      </c>
      <c r="V137" s="11" t="n">
        <v>4408</v>
      </c>
      <c r="W137" s="11" t="n"/>
      <c r="X137" s="22">
        <f>S137+T137+U137+V137+W137</f>
        <v/>
      </c>
      <c r="Y137" s="11" t="n"/>
      <c r="Z137" s="22">
        <f>AE137-AB137-AA137-AC137</f>
        <v/>
      </c>
      <c r="AA137" s="22">
        <f>N137-T137-W137</f>
        <v/>
      </c>
      <c r="AB137" s="22">
        <f>O137-V137-U137</f>
        <v/>
      </c>
      <c r="AC137" s="22">
        <f>P137</f>
        <v/>
      </c>
      <c r="AD137" s="23">
        <f>Z137+AA137+AB137+AC137</f>
        <v/>
      </c>
      <c r="AE137" s="11" t="n">
        <v>1296921.483</v>
      </c>
      <c r="AF137" s="24">
        <f>AD137-AE137</f>
        <v/>
      </c>
      <c r="AG137" s="13">
        <f>IF(OR(B137="",B137=0,M137=""),"",M137/B137*10000)</f>
        <v/>
      </c>
      <c r="AH137" s="13">
        <f>IF(OR(C137="",C137=0),"",N137/C137*10000)</f>
        <v/>
      </c>
      <c r="AI137" s="13">
        <f>IF(OR(D137="",D137=0),"",O137/D137*10000)</f>
        <v/>
      </c>
      <c r="AJ137" s="11" t="n">
        <v>2732.477308877567</v>
      </c>
      <c r="AK137" s="11" t="n">
        <v>0</v>
      </c>
      <c r="AL137" s="22">
        <f>AE137+AJ137+AK137</f>
        <v/>
      </c>
      <c r="AM137" s="22">
        <f>AE137</f>
        <v/>
      </c>
      <c r="AN137" s="14" t="n">
        <v>81751.52</v>
      </c>
      <c r="AO137" s="15" t="n">
        <v>15.864188</v>
      </c>
      <c r="AP137" s="14" t="n">
        <v>20044427.19</v>
      </c>
      <c r="AQ137" s="14" t="n">
        <v>26323.9627</v>
      </c>
      <c r="AR137" s="14" t="n">
        <v>1029.4553</v>
      </c>
      <c r="AS137" s="14" t="n"/>
      <c r="AT137" s="16" t="n">
        <v>420.0977769667492</v>
      </c>
      <c r="AU137" s="17" t="n">
        <v>0.0217541383</v>
      </c>
      <c r="AV137" s="14" t="n">
        <v>425317903.7097</v>
      </c>
      <c r="AW137" s="18" t="n">
        <v>60100000</v>
      </c>
      <c r="AX137" s="19" t="n">
        <v>20044427.19</v>
      </c>
      <c r="AY137" s="18" t="n">
        <v>3100000</v>
      </c>
      <c r="AZ137" s="18">
        <f>1000000000-999791978.4431</f>
        <v/>
      </c>
      <c r="BA137" s="20">
        <f>1000000000-AV137-AW137-AX137-AY137-AZ137</f>
        <v/>
      </c>
      <c r="BB137" s="21" t="n">
        <v>244.9</v>
      </c>
      <c r="BC137" s="21">
        <f>BA137/1000000-BB137</f>
        <v/>
      </c>
      <c r="BD137" s="22">
        <f>BA137*15.53</f>
        <v/>
      </c>
    </row>
    <row r="138">
      <c r="A138" s="10" t="n">
        <v>45760</v>
      </c>
      <c r="B138" s="11" t="n">
        <v>6199138478.012774</v>
      </c>
      <c r="C138" s="11" t="n"/>
      <c r="D138" s="11" t="n">
        <v>134246965</v>
      </c>
      <c r="E138" s="11" t="n"/>
      <c r="M138" s="22">
        <f>Z138/(1-R138)</f>
        <v/>
      </c>
      <c r="N138" s="11" t="n"/>
      <c r="O138" s="11" t="n">
        <v>18682</v>
      </c>
      <c r="P138" s="11" t="n"/>
      <c r="Q138" s="22">
        <f>M138+N138+O138+P138</f>
        <v/>
      </c>
      <c r="R138" s="12" t="n">
        <v>0.03</v>
      </c>
      <c r="S138" s="22">
        <f>M138*R138</f>
        <v/>
      </c>
      <c r="T138" s="22">
        <f>N138*R138</f>
        <v/>
      </c>
      <c r="U138" s="22">
        <f>(O138-V138)*R138</f>
        <v/>
      </c>
      <c r="V138" s="11" t="n">
        <v>5066</v>
      </c>
      <c r="W138" s="11" t="n"/>
      <c r="X138" s="22">
        <f>S138+T138+U138+V138+W138</f>
        <v/>
      </c>
      <c r="Y138" s="11" t="n"/>
      <c r="Z138" s="22">
        <f>AE138-AB138-AA138-AC138</f>
        <v/>
      </c>
      <c r="AA138" s="22">
        <f>N138-T138-W138</f>
        <v/>
      </c>
      <c r="AB138" s="22">
        <f>O138-V138-U138</f>
        <v/>
      </c>
      <c r="AC138" s="22">
        <f>P138</f>
        <v/>
      </c>
      <c r="AD138" s="23">
        <f>Z138+AA138+AB138+AC138</f>
        <v/>
      </c>
      <c r="AE138" s="11" t="n">
        <v>1071942.308</v>
      </c>
      <c r="AF138" s="24">
        <f>AD138-AE138</f>
        <v/>
      </c>
      <c r="AG138" s="13">
        <f>IF(OR(B138="",B138=0,M138=""),"",M138/B138*10000)</f>
        <v/>
      </c>
      <c r="AH138" s="13">
        <f>IF(OR(C138="",C138=0),"",N138/C138*10000)</f>
        <v/>
      </c>
      <c r="AI138" s="13">
        <f>IF(OR(D138="",D138=0),"",O138/D138*10000)</f>
        <v/>
      </c>
      <c r="AJ138" s="11" t="n">
        <v>3018.641321384335</v>
      </c>
      <c r="AK138" s="11" t="n">
        <v>17255.98</v>
      </c>
      <c r="AL138" s="22">
        <f>AE138+AJ138+AK138</f>
        <v/>
      </c>
      <c r="AM138" s="22">
        <f>AE138</f>
        <v/>
      </c>
      <c r="AN138" s="14" t="n">
        <v>69492.77</v>
      </c>
      <c r="AO138" s="15" t="n">
        <v>15.425235</v>
      </c>
      <c r="AP138" s="14" t="n">
        <v>20113919.96</v>
      </c>
      <c r="AQ138" s="14" t="n">
        <v>26301.9331</v>
      </c>
      <c r="AR138" s="14" t="n">
        <v>774.0534</v>
      </c>
      <c r="AS138" s="14" t="n"/>
      <c r="AT138" s="16" t="n">
        <v>419.8745198562257</v>
      </c>
      <c r="AU138" s="17" t="n">
        <v>0.0217598534</v>
      </c>
      <c r="AV138" s="14" t="n">
        <v>425291601.7767</v>
      </c>
      <c r="AW138" s="18" t="n">
        <v>60100000</v>
      </c>
      <c r="AX138" s="19" t="n">
        <v>20113919.96</v>
      </c>
      <c r="AY138" s="18" t="n">
        <v>3100000</v>
      </c>
      <c r="AZ138" s="18">
        <f>1000000000-999791204.3897</f>
        <v/>
      </c>
      <c r="BA138" s="20">
        <f>1000000000-AV138-AW138-AX138-AY138-AZ138</f>
        <v/>
      </c>
      <c r="BB138" s="21" t="n">
        <v>244.9</v>
      </c>
      <c r="BC138" s="21">
        <f>BA138/1000000-BB138</f>
        <v/>
      </c>
      <c r="BD138" s="22">
        <f>BA138*16.47</f>
        <v/>
      </c>
    </row>
    <row r="139">
      <c r="A139" s="10" t="n">
        <v>45761</v>
      </c>
      <c r="B139" s="11" t="n">
        <v>6189611973.531875</v>
      </c>
      <c r="C139" s="11" t="n"/>
      <c r="D139" s="11" t="n">
        <v>126974634</v>
      </c>
      <c r="E139" s="11" t="n"/>
      <c r="M139" s="22">
        <f>Z139/(1-R139)</f>
        <v/>
      </c>
      <c r="N139" s="11" t="n"/>
      <c r="O139" s="11" t="n">
        <v>17486</v>
      </c>
      <c r="P139" s="11" t="n"/>
      <c r="Q139" s="22">
        <f>M139+N139+O139+P139</f>
        <v/>
      </c>
      <c r="R139" s="12" t="n">
        <v>0.03</v>
      </c>
      <c r="S139" s="22">
        <f>M139*R139</f>
        <v/>
      </c>
      <c r="T139" s="22">
        <f>N139*R139</f>
        <v/>
      </c>
      <c r="U139" s="22">
        <f>(O139-V139)*R139</f>
        <v/>
      </c>
      <c r="V139" s="11" t="n">
        <v>5472</v>
      </c>
      <c r="W139" s="11" t="n"/>
      <c r="X139" s="22">
        <f>S139+T139+U139+V139+W139</f>
        <v/>
      </c>
      <c r="Y139" s="11" t="n"/>
      <c r="Z139" s="22">
        <f>AE139-AB139-AA139-AC139</f>
        <v/>
      </c>
      <c r="AA139" s="22">
        <f>N139-T139-W139</f>
        <v/>
      </c>
      <c r="AB139" s="22">
        <f>O139-V139-U139</f>
        <v/>
      </c>
      <c r="AC139" s="22">
        <f>P139</f>
        <v/>
      </c>
      <c r="AD139" s="23">
        <f>Z139+AA139+AB139+AC139</f>
        <v/>
      </c>
      <c r="AE139" s="11" t="n">
        <v>1453677.389</v>
      </c>
      <c r="AF139" s="24">
        <f>AD139-AE139</f>
        <v/>
      </c>
      <c r="AG139" s="13">
        <f>IF(OR(B139="",B139=0,M139=""),"",M139/B139*10000)</f>
        <v/>
      </c>
      <c r="AH139" s="13">
        <f>IF(OR(C139="",C139=0),"",N139/C139*10000)</f>
        <v/>
      </c>
      <c r="AI139" s="13">
        <f>IF(OR(D139="",D139=0),"",O139/D139*10000)</f>
        <v/>
      </c>
      <c r="AJ139" s="11" t="n">
        <v>5224.690037634058</v>
      </c>
      <c r="AK139" s="11" t="n">
        <v>17255.11</v>
      </c>
      <c r="AL139" s="22">
        <f>AE139+AJ139+AK139</f>
        <v/>
      </c>
      <c r="AM139" s="22">
        <f>AE139</f>
        <v/>
      </c>
      <c r="AN139" s="14" t="n">
        <v>92420.11</v>
      </c>
      <c r="AO139" s="15" t="n">
        <v>15.729016</v>
      </c>
      <c r="AP139" s="14" t="n">
        <v>20206340.07</v>
      </c>
      <c r="AQ139" s="14" t="n">
        <v>26276.6359</v>
      </c>
      <c r="AR139" s="14" t="n">
        <v>666.1597</v>
      </c>
      <c r="AS139" s="14" t="n"/>
      <c r="AT139" s="16" t="n">
        <v>418.8627396129651</v>
      </c>
      <c r="AU139" s="17" t="n">
        <v>0.0217858105</v>
      </c>
      <c r="AV139" s="14" t="n">
        <v>425265325.1408</v>
      </c>
      <c r="AW139" s="18" t="n">
        <v>60100000</v>
      </c>
      <c r="AX139" s="19" t="n">
        <v>20206340.07</v>
      </c>
      <c r="AY139" s="18" t="n">
        <v>3100000</v>
      </c>
      <c r="AZ139" s="18">
        <f>1000000000-999790538.23</f>
        <v/>
      </c>
      <c r="BA139" s="20">
        <f>1000000000-AV139-AW139-AX139-AY139-AZ139</f>
        <v/>
      </c>
      <c r="BB139" s="21" t="n">
        <v>244.9</v>
      </c>
      <c r="BC139" s="21">
        <f>BA139/1000000-BB139</f>
        <v/>
      </c>
      <c r="BD139" s="22">
        <f>BA139*15.64</f>
        <v/>
      </c>
    </row>
    <row r="140">
      <c r="A140" s="10" t="n">
        <v>45762</v>
      </c>
      <c r="B140" s="11" t="n">
        <v>5704397495.460091</v>
      </c>
      <c r="C140" s="11" t="n"/>
      <c r="D140" s="11" t="n">
        <v>120978471</v>
      </c>
      <c r="E140" s="11" t="n"/>
      <c r="M140" s="22">
        <f>Z140/(1-R140)</f>
        <v/>
      </c>
      <c r="N140" s="11" t="n"/>
      <c r="O140" s="11" t="n">
        <v>16028</v>
      </c>
      <c r="P140" s="11" t="n"/>
      <c r="Q140" s="22">
        <f>M140+N140+O140+P140</f>
        <v/>
      </c>
      <c r="R140" s="12" t="n">
        <v>0.03</v>
      </c>
      <c r="S140" s="22">
        <f>M140*R140</f>
        <v/>
      </c>
      <c r="T140" s="22">
        <f>N140*R140</f>
        <v/>
      </c>
      <c r="U140" s="22">
        <f>(O140-V140)*R140</f>
        <v/>
      </c>
      <c r="V140" s="11" t="n">
        <v>4206</v>
      </c>
      <c r="W140" s="11" t="n"/>
      <c r="X140" s="22">
        <f>S140+T140+U140+V140+W140</f>
        <v/>
      </c>
      <c r="Y140" s="11" t="n"/>
      <c r="Z140" s="22">
        <f>AE140-AB140-AA140-AC140</f>
        <v/>
      </c>
      <c r="AA140" s="22">
        <f>N140-T140-W140</f>
        <v/>
      </c>
      <c r="AB140" s="22">
        <f>O140-V140-U140</f>
        <v/>
      </c>
      <c r="AC140" s="22">
        <f>P140</f>
        <v/>
      </c>
      <c r="AD140" s="23">
        <f>Z140+AA140+AB140+AC140</f>
        <v/>
      </c>
      <c r="AE140" s="11" t="n">
        <v>1263352.3</v>
      </c>
      <c r="AF140" s="24">
        <f>AD140-AE140</f>
        <v/>
      </c>
      <c r="AG140" s="13">
        <f>IF(OR(B140="",B140=0,M140=""),"",M140/B140*10000)</f>
        <v/>
      </c>
      <c r="AH140" s="13">
        <f>IF(OR(C140="",C140=0),"",N140/C140*10000)</f>
        <v/>
      </c>
      <c r="AI140" s="13">
        <f>IF(OR(D140="",D140=0),"",O140/D140*10000)</f>
        <v/>
      </c>
      <c r="AJ140" s="11" t="n">
        <v>2522.51747421389</v>
      </c>
      <c r="AK140" s="11" t="n">
        <v>24391.53</v>
      </c>
      <c r="AL140" s="22">
        <f>AE140+AJ140+AK140</f>
        <v/>
      </c>
      <c r="AM140" s="22">
        <f>AE140</f>
        <v/>
      </c>
      <c r="AN140" s="14" t="n">
        <v>83639.50999999999</v>
      </c>
      <c r="AO140" s="15" t="n">
        <v>15.104731</v>
      </c>
      <c r="AP140" s="14" t="n">
        <v>20289979.58</v>
      </c>
      <c r="AQ140" s="14" t="n">
        <v>26283.8481</v>
      </c>
      <c r="AR140" s="14" t="n">
        <v>636.1099</v>
      </c>
      <c r="AS140" s="14" t="n"/>
      <c r="AT140" s="16" t="n">
        <v>419.4075071821727</v>
      </c>
      <c r="AU140" s="17" t="n">
        <v>0.021771823</v>
      </c>
      <c r="AV140" s="14" t="n">
        <v>425239041.2926</v>
      </c>
      <c r="AW140" s="18" t="n">
        <v>60100000</v>
      </c>
      <c r="AX140" s="19" t="n">
        <v>20289979.58</v>
      </c>
      <c r="AY140" s="18" t="n">
        <v>3100000</v>
      </c>
      <c r="AZ140" s="18">
        <f>1000000000-999789902.1201</f>
        <v/>
      </c>
      <c r="BA140" s="20">
        <f>1000000000-AV140-AW140-AX140-AY140-AZ140</f>
        <v/>
      </c>
      <c r="BB140" s="21" t="n">
        <v>244.9</v>
      </c>
      <c r="BC140" s="21">
        <f>BA140/1000000-BB140</f>
        <v/>
      </c>
      <c r="BD140" s="22">
        <f>BA140*15.62</f>
        <v/>
      </c>
    </row>
    <row r="141">
      <c r="A141" s="10" t="n">
        <v>45763</v>
      </c>
      <c r="B141" s="11" t="n">
        <v>6826966423.241995</v>
      </c>
      <c r="C141" s="11" t="n"/>
      <c r="D141" s="11" t="n">
        <v>155624952</v>
      </c>
      <c r="E141" s="11" t="n"/>
      <c r="M141" s="22">
        <f>Z141/(1-R141)</f>
        <v/>
      </c>
      <c r="N141" s="11" t="n"/>
      <c r="O141" s="11" t="n">
        <v>21088</v>
      </c>
      <c r="P141" s="11" t="n"/>
      <c r="Q141" s="22">
        <f>M141+N141+O141+P141</f>
        <v/>
      </c>
      <c r="R141" s="12" t="n">
        <v>0.03</v>
      </c>
      <c r="S141" s="22">
        <f>M141*R141</f>
        <v/>
      </c>
      <c r="T141" s="22">
        <f>N141*R141</f>
        <v/>
      </c>
      <c r="U141" s="22">
        <f>(O141-V141)*R141</f>
        <v/>
      </c>
      <c r="V141" s="11" t="n">
        <v>7617</v>
      </c>
      <c r="W141" s="11" t="n"/>
      <c r="X141" s="22">
        <f>S141+T141+U141+V141+W141</f>
        <v/>
      </c>
      <c r="Y141" s="11" t="n"/>
      <c r="Z141" s="22">
        <f>AE141-AB141-AA141-AC141</f>
        <v/>
      </c>
      <c r="AA141" s="22">
        <f>N141-T141-W141</f>
        <v/>
      </c>
      <c r="AB141" s="22">
        <f>O141-V141-U141</f>
        <v/>
      </c>
      <c r="AC141" s="22">
        <f>P141</f>
        <v/>
      </c>
      <c r="AD141" s="23">
        <f>Z141+AA141+AB141+AC141</f>
        <v/>
      </c>
      <c r="AE141" s="11" t="n">
        <v>1260681.212</v>
      </c>
      <c r="AF141" s="24">
        <f>AD141-AE141</f>
        <v/>
      </c>
      <c r="AG141" s="13">
        <f>IF(OR(B141="",B141=0,M141=""),"",M141/B141*10000)</f>
        <v/>
      </c>
      <c r="AH141" s="13">
        <f>IF(OR(C141="",C141=0),"",N141/C141*10000)</f>
        <v/>
      </c>
      <c r="AI141" s="13">
        <f>IF(OR(D141="",D141=0),"",O141/D141*10000)</f>
        <v/>
      </c>
      <c r="AJ141" s="11" t="n">
        <v>3345.623242206836</v>
      </c>
      <c r="AK141" s="11" t="n">
        <v>20090.65</v>
      </c>
      <c r="AL141" s="22">
        <f>AE141+AJ141+AK141</f>
        <v/>
      </c>
      <c r="AM141" s="22">
        <f>AE141</f>
        <v/>
      </c>
      <c r="AN141" s="14" t="n">
        <v>81538.27</v>
      </c>
      <c r="AO141" s="15" t="n">
        <v>15.461221</v>
      </c>
      <c r="AP141" s="14" t="n">
        <v>20371517.85</v>
      </c>
      <c r="AQ141" s="14" t="n">
        <v>26320.225</v>
      </c>
      <c r="AR141" s="14" t="n">
        <v>567.9891</v>
      </c>
      <c r="AS141" s="14" t="n"/>
      <c r="AT141" s="16" t="n">
        <v>420.1960675011709</v>
      </c>
      <c r="AU141" s="17" t="n">
        <v>0.0217516236</v>
      </c>
      <c r="AV141" s="14" t="n">
        <v>425212721.0676</v>
      </c>
      <c r="AW141" s="18" t="n">
        <v>60100000</v>
      </c>
      <c r="AX141" s="19" t="n">
        <v>20371517.85</v>
      </c>
      <c r="AY141" s="18" t="n">
        <v>3100000</v>
      </c>
      <c r="AZ141" s="18">
        <f>1000000000-999789334.131</f>
        <v/>
      </c>
      <c r="BA141" s="20">
        <f>1000000000-AV141-AW141-AX141-AY141-AZ141</f>
        <v/>
      </c>
      <c r="BB141" s="21" t="n">
        <v>244.9</v>
      </c>
      <c r="BC141" s="21">
        <f>BA141/1000000-BB141</f>
        <v/>
      </c>
      <c r="BD141" s="22">
        <f>BA141*15.01</f>
        <v/>
      </c>
    </row>
    <row r="142">
      <c r="A142" s="10" t="n">
        <v>45764</v>
      </c>
      <c r="B142" s="11" t="n">
        <v>4931816793.507854</v>
      </c>
      <c r="C142" s="11" t="n"/>
      <c r="D142" s="11" t="n">
        <v>171271416</v>
      </c>
      <c r="E142" s="11" t="n"/>
      <c r="M142" s="22">
        <f>Z142/(1-R142)</f>
        <v/>
      </c>
      <c r="N142" s="11" t="n"/>
      <c r="O142" s="11" t="n">
        <v>20603</v>
      </c>
      <c r="P142" s="11" t="n"/>
      <c r="Q142" s="22">
        <f>M142+N142+O142+P142</f>
        <v/>
      </c>
      <c r="R142" s="12" t="n">
        <v>0.03</v>
      </c>
      <c r="S142" s="22">
        <f>M142*R142</f>
        <v/>
      </c>
      <c r="T142" s="22">
        <f>N142*R142</f>
        <v/>
      </c>
      <c r="U142" s="22">
        <f>(O142-V142)*R142</f>
        <v/>
      </c>
      <c r="V142" s="11" t="n">
        <v>6280</v>
      </c>
      <c r="W142" s="11" t="n"/>
      <c r="X142" s="22">
        <f>S142+T142+U142+V142+W142</f>
        <v/>
      </c>
      <c r="Y142" s="11" t="n"/>
      <c r="Z142" s="22">
        <f>AE142-AB142-AA142-AC142</f>
        <v/>
      </c>
      <c r="AA142" s="22">
        <f>N142-T142-W142</f>
        <v/>
      </c>
      <c r="AB142" s="22">
        <f>O142-V142-U142</f>
        <v/>
      </c>
      <c r="AC142" s="22">
        <f>P142</f>
        <v/>
      </c>
      <c r="AD142" s="23">
        <f>Z142+AA142+AB142+AC142</f>
        <v/>
      </c>
      <c r="AE142" s="11" t="n">
        <v>1446889.317</v>
      </c>
      <c r="AF142" s="24">
        <f>AD142-AE142</f>
        <v/>
      </c>
      <c r="AG142" s="13">
        <f>IF(OR(B142="",B142=0,M142=""),"",M142/B142*10000)</f>
        <v/>
      </c>
      <c r="AH142" s="13">
        <f>IF(OR(C142="",C142=0),"",N142/C142*10000)</f>
        <v/>
      </c>
      <c r="AI142" s="13">
        <f>IF(OR(D142="",D142=0),"",O142/D142*10000)</f>
        <v/>
      </c>
      <c r="AJ142" s="11" t="n">
        <v>2049.849132518398</v>
      </c>
      <c r="AK142" s="11" t="n">
        <v>0</v>
      </c>
      <c r="AL142" s="22">
        <f>AE142+AJ142+AK142</f>
        <v/>
      </c>
      <c r="AM142" s="22">
        <f>AE142</f>
        <v/>
      </c>
      <c r="AN142" s="14" t="n">
        <v>88253.77</v>
      </c>
      <c r="AO142" s="15" t="n">
        <v>16.394646</v>
      </c>
      <c r="AP142" s="14" t="n">
        <v>20459771.62</v>
      </c>
      <c r="AQ142" s="14" t="n">
        <v>26296.1442</v>
      </c>
      <c r="AR142" s="14" t="n">
        <v>643.2034</v>
      </c>
      <c r="AS142" s="14" t="n"/>
      <c r="AT142" s="16" t="n">
        <v>420.2605946881386</v>
      </c>
      <c r="AU142" s="17" t="n">
        <v>0.0217499732</v>
      </c>
      <c r="AV142" s="14" t="n">
        <v>425186424.9234</v>
      </c>
      <c r="AW142" s="18" t="n">
        <v>60100000</v>
      </c>
      <c r="AX142" s="19" t="n">
        <v>20459771.62</v>
      </c>
      <c r="AY142" s="18" t="n">
        <v>3100000</v>
      </c>
      <c r="AZ142" s="18">
        <f>1000000000-999788690.9277</f>
        <v/>
      </c>
      <c r="BA142" s="20">
        <f>1000000000-AV142-AW142-AX142-AY142-AZ142</f>
        <v/>
      </c>
      <c r="BB142" s="21" t="n">
        <v>244.9</v>
      </c>
      <c r="BC142" s="21">
        <f>BA142/1000000-BB142</f>
        <v/>
      </c>
      <c r="BD142" s="22">
        <f>BA142*15.7</f>
        <v/>
      </c>
    </row>
    <row r="143">
      <c r="A143" s="10" t="n">
        <v>45765</v>
      </c>
      <c r="B143" s="11" t="n">
        <v>2170024470.50174</v>
      </c>
      <c r="C143" s="11" t="n"/>
      <c r="D143" s="11" t="n">
        <v>94799665</v>
      </c>
      <c r="E143" s="11" t="n"/>
      <c r="M143" s="22">
        <f>Z143/(1-R143)</f>
        <v/>
      </c>
      <c r="N143" s="11" t="n"/>
      <c r="O143" s="11" t="n">
        <v>12428</v>
      </c>
      <c r="P143" s="11" t="n"/>
      <c r="Q143" s="22">
        <f>M143+N143+O143+P143</f>
        <v/>
      </c>
      <c r="R143" s="12" t="n">
        <v>0.03</v>
      </c>
      <c r="S143" s="22">
        <f>M143*R143</f>
        <v/>
      </c>
      <c r="T143" s="22">
        <f>N143*R143</f>
        <v/>
      </c>
      <c r="U143" s="22">
        <f>(O143-V143)*R143</f>
        <v/>
      </c>
      <c r="V143" s="11" t="n">
        <v>2951</v>
      </c>
      <c r="W143" s="11" t="n"/>
      <c r="X143" s="22">
        <f>S143+T143+U143+V143+W143</f>
        <v/>
      </c>
      <c r="Y143" s="11" t="n"/>
      <c r="Z143" s="22">
        <f>AE143-AB143-AA143-AC143</f>
        <v/>
      </c>
      <c r="AA143" s="22">
        <f>N143-T143-W143</f>
        <v/>
      </c>
      <c r="AB143" s="22">
        <f>O143-V143-U143</f>
        <v/>
      </c>
      <c r="AC143" s="22">
        <f>P143</f>
        <v/>
      </c>
      <c r="AD143" s="23">
        <f>Z143+AA143+AB143+AC143</f>
        <v/>
      </c>
      <c r="AE143" s="11" t="n">
        <v>884257.6583</v>
      </c>
      <c r="AF143" s="24">
        <f>AD143-AE143</f>
        <v/>
      </c>
      <c r="AG143" s="13">
        <f>IF(OR(B143="",B143=0,M143=""),"",M143/B143*10000)</f>
        <v/>
      </c>
      <c r="AH143" s="13">
        <f>IF(OR(C143="",C143=0),"",N143/C143*10000)</f>
        <v/>
      </c>
      <c r="AI143" s="13">
        <f>IF(OR(D143="",D143=0),"",O143/D143*10000)</f>
        <v/>
      </c>
      <c r="AJ143" s="11" t="n">
        <v>3051.85154063489</v>
      </c>
      <c r="AK143" s="11" t="n">
        <v>18209.58</v>
      </c>
      <c r="AL143" s="22">
        <f>AE143+AJ143+AK143</f>
        <v/>
      </c>
      <c r="AM143" s="22">
        <f>AE143</f>
        <v/>
      </c>
      <c r="AN143" s="14" t="n">
        <v>52023.07</v>
      </c>
      <c r="AO143" s="15" t="n">
        <v>16.997414</v>
      </c>
      <c r="AP143" s="14" t="n">
        <v>20511794.69</v>
      </c>
      <c r="AQ143" s="14" t="n">
        <v>26303.0308</v>
      </c>
      <c r="AR143" s="14" t="n">
        <v>940.704</v>
      </c>
      <c r="AS143" s="14" t="n"/>
      <c r="AT143" s="16" t="n">
        <v>419.3445206851328</v>
      </c>
      <c r="AU143" s="17" t="n">
        <v>0.0217734389</v>
      </c>
      <c r="AV143" s="14" t="n">
        <v>425160121.8925</v>
      </c>
      <c r="AW143" s="18" t="n">
        <v>60100000</v>
      </c>
      <c r="AX143" s="19" t="n">
        <v>20511794.69</v>
      </c>
      <c r="AY143" s="18" t="n">
        <v>3100000</v>
      </c>
      <c r="AZ143" s="18">
        <f>1000000000-999787750.2236</f>
        <v/>
      </c>
      <c r="BA143" s="20">
        <f>1000000000-AV143-AW143-AX143-AY143-AZ143</f>
        <v/>
      </c>
      <c r="BB143" s="21" t="n">
        <v>244.9</v>
      </c>
      <c r="BC143" s="21">
        <f>BA143/1000000-BB143</f>
        <v/>
      </c>
      <c r="BD143" s="22">
        <f>BA143*17.15</f>
        <v/>
      </c>
    </row>
    <row r="144">
      <c r="A144" s="10" t="n">
        <v>45766</v>
      </c>
      <c r="B144" s="11" t="n">
        <v>2477853939.365164</v>
      </c>
      <c r="C144" s="11" t="n"/>
      <c r="D144" s="11" t="n">
        <v>93687537</v>
      </c>
      <c r="E144" s="11" t="n"/>
      <c r="M144" s="22">
        <f>Z144/(1-R144)</f>
        <v/>
      </c>
      <c r="N144" s="11" t="n"/>
      <c r="O144" s="11" t="n">
        <v>12659</v>
      </c>
      <c r="P144" s="11" t="n"/>
      <c r="Q144" s="22">
        <f>M144+N144+O144+P144</f>
        <v/>
      </c>
      <c r="R144" s="12" t="n">
        <v>0.03</v>
      </c>
      <c r="S144" s="22">
        <f>M144*R144</f>
        <v/>
      </c>
      <c r="T144" s="22">
        <f>N144*R144</f>
        <v/>
      </c>
      <c r="U144" s="22">
        <f>(O144-V144)*R144</f>
        <v/>
      </c>
      <c r="V144" s="11" t="n">
        <v>2290</v>
      </c>
      <c r="W144" s="11" t="n"/>
      <c r="X144" s="22">
        <f>S144+T144+U144+V144+W144</f>
        <v/>
      </c>
      <c r="Y144" s="11" t="n"/>
      <c r="Z144" s="22">
        <f>AE144-AB144-AA144-AC144</f>
        <v/>
      </c>
      <c r="AA144" s="22">
        <f>N144-T144-W144</f>
        <v/>
      </c>
      <c r="AB144" s="22">
        <f>O144-V144-U144</f>
        <v/>
      </c>
      <c r="AC144" s="22">
        <f>P144</f>
        <v/>
      </c>
      <c r="AD144" s="23">
        <f>Z144+AA144+AB144+AC144</f>
        <v/>
      </c>
      <c r="AE144" s="11" t="n">
        <v>562035.0159</v>
      </c>
      <c r="AF144" s="24">
        <f>AD144-AE144</f>
        <v/>
      </c>
      <c r="AG144" s="13">
        <f>IF(OR(B144="",B144=0,M144=""),"",M144/B144*10000)</f>
        <v/>
      </c>
      <c r="AH144" s="13">
        <f>IF(OR(C144="",C144=0),"",N144/C144*10000)</f>
        <v/>
      </c>
      <c r="AI144" s="13">
        <f>IF(OR(D144="",D144=0),"",O144/D144*10000)</f>
        <v/>
      </c>
      <c r="AJ144" s="11" t="n">
        <v>1444.78104201302</v>
      </c>
      <c r="AK144" s="11" t="n">
        <v>18219.28</v>
      </c>
      <c r="AL144" s="22">
        <f>AE144+AJ144+AK144</f>
        <v/>
      </c>
      <c r="AM144" s="22">
        <f>AE144</f>
        <v/>
      </c>
      <c r="AN144" s="14" t="n">
        <v>31600.29</v>
      </c>
      <c r="AO144" s="15" t="n">
        <v>17.785755</v>
      </c>
      <c r="AP144" s="14" t="n">
        <v>20543394.98</v>
      </c>
      <c r="AQ144" s="14" t="n">
        <v>26285.6979</v>
      </c>
      <c r="AR144" s="14" t="n">
        <v>520.8593</v>
      </c>
      <c r="AS144" s="14" t="n"/>
      <c r="AT144" s="16" t="n">
        <v>418.6746519887438</v>
      </c>
      <c r="AU144" s="17" t="n">
        <v>0.0217906462</v>
      </c>
      <c r="AV144" s="14" t="n">
        <v>425133836.1946</v>
      </c>
      <c r="AW144" s="18" t="n">
        <v>60100000</v>
      </c>
      <c r="AX144" s="19" t="n">
        <v>20543394.98</v>
      </c>
      <c r="AY144" s="18" t="n">
        <v>3100000</v>
      </c>
      <c r="AZ144" s="18">
        <f>1000000000-999787229.3643</f>
        <v/>
      </c>
      <c r="BA144" s="20">
        <f>1000000000-AV144-AW144-AX144-AY144-AZ144</f>
        <v/>
      </c>
      <c r="BB144" s="21" t="n">
        <v>244.9</v>
      </c>
      <c r="BC144" s="21">
        <f>BA144/1000000-BB144</f>
        <v/>
      </c>
      <c r="BD144" s="22">
        <f>BA144*16.92</f>
        <v/>
      </c>
    </row>
    <row r="145">
      <c r="A145" s="10" t="n">
        <v>45767</v>
      </c>
      <c r="B145" s="11" t="n">
        <v>2831191375.860566</v>
      </c>
      <c r="C145" s="11" t="n"/>
      <c r="D145" s="11" t="n">
        <v>92510970</v>
      </c>
      <c r="E145" s="11" t="n"/>
      <c r="M145" s="22">
        <f>Z145/(1-R145)</f>
        <v/>
      </c>
      <c r="N145" s="11" t="n"/>
      <c r="O145" s="11" t="n">
        <v>10920</v>
      </c>
      <c r="P145" s="11" t="n"/>
      <c r="Q145" s="22">
        <f>M145+N145+O145+P145</f>
        <v/>
      </c>
      <c r="R145" s="12" t="n">
        <v>0.03</v>
      </c>
      <c r="S145" s="22">
        <f>M145*R145</f>
        <v/>
      </c>
      <c r="T145" s="22">
        <f>N145*R145</f>
        <v/>
      </c>
      <c r="U145" s="22">
        <f>(O145-V145)*R145</f>
        <v/>
      </c>
      <c r="V145" s="11" t="n">
        <v>2130</v>
      </c>
      <c r="W145" s="11" t="n"/>
      <c r="X145" s="22">
        <f>S145+T145+U145+V145+W145</f>
        <v/>
      </c>
      <c r="Y145" s="11" t="n"/>
      <c r="Z145" s="22">
        <f>AE145-AB145-AA145-AC145</f>
        <v/>
      </c>
      <c r="AA145" s="22">
        <f>N145-T145-W145</f>
        <v/>
      </c>
      <c r="AB145" s="22">
        <f>O145-V145-U145</f>
        <v/>
      </c>
      <c r="AC145" s="22">
        <f>P145</f>
        <v/>
      </c>
      <c r="AD145" s="23">
        <f>Z145+AA145+AB145+AC145</f>
        <v/>
      </c>
      <c r="AE145" s="11" t="n">
        <v>503819.1862</v>
      </c>
      <c r="AF145" s="24">
        <f>AD145-AE145</f>
        <v/>
      </c>
      <c r="AG145" s="13">
        <f>IF(OR(B145="",B145=0,M145=""),"",M145/B145*10000)</f>
        <v/>
      </c>
      <c r="AH145" s="13">
        <f>IF(OR(C145="",C145=0),"",N145/C145*10000)</f>
        <v/>
      </c>
      <c r="AI145" s="13">
        <f>IF(OR(D145="",D145=0),"",O145/D145*10000)</f>
        <v/>
      </c>
      <c r="AJ145" s="11" t="n">
        <v>1231.31182639604</v>
      </c>
      <c r="AK145" s="11" t="n">
        <v>18279.54</v>
      </c>
      <c r="AL145" s="22">
        <f>AE145+AJ145+AK145</f>
        <v/>
      </c>
      <c r="AM145" s="22">
        <f>AE145</f>
        <v/>
      </c>
      <c r="AN145" s="14" t="n">
        <v>28426.6</v>
      </c>
      <c r="AO145" s="15" t="n">
        <v>17.723512</v>
      </c>
      <c r="AP145" s="14" t="n">
        <v>20571821.58</v>
      </c>
      <c r="AQ145" s="14" t="n">
        <v>26264.1199</v>
      </c>
      <c r="AR145" s="14" t="n">
        <v>529.2375</v>
      </c>
      <c r="AS145" s="14" t="n"/>
      <c r="AT145" s="16" t="n">
        <v>418.5526087844802</v>
      </c>
      <c r="AU145" s="17" t="n">
        <v>0.0217937856</v>
      </c>
      <c r="AV145" s="14" t="n">
        <v>425107572.0747</v>
      </c>
      <c r="AW145" s="18" t="n">
        <v>60100000</v>
      </c>
      <c r="AX145" s="19" t="n">
        <v>20571821.58</v>
      </c>
      <c r="AY145" s="18" t="n">
        <v>3100000</v>
      </c>
      <c r="AZ145" s="18">
        <f>1000000000-999786700.1268</f>
        <v/>
      </c>
      <c r="BA145" s="20">
        <f>1000000000-AV145-AW145-AX145-AY145-AZ145</f>
        <v/>
      </c>
      <c r="BB145" s="21" t="n">
        <v>244.9</v>
      </c>
      <c r="BC145" s="21">
        <f>BA145/1000000-BB145</f>
        <v/>
      </c>
      <c r="BD145" s="22">
        <f>BA145*18.08</f>
        <v/>
      </c>
    </row>
    <row r="146">
      <c r="A146" s="10" t="n">
        <v>45768</v>
      </c>
      <c r="B146" s="11" t="n">
        <v>6514487934.799059</v>
      </c>
      <c r="C146" s="11" t="n"/>
      <c r="D146" s="11" t="n">
        <v>153905343</v>
      </c>
      <c r="E146" s="11" t="n"/>
      <c r="M146" s="22">
        <f>Z146/(1-R146)</f>
        <v/>
      </c>
      <c r="N146" s="11" t="n"/>
      <c r="O146" s="11" t="n">
        <v>20816</v>
      </c>
      <c r="P146" s="11" t="n"/>
      <c r="Q146" s="22">
        <f>M146+N146+O146+P146</f>
        <v/>
      </c>
      <c r="R146" s="12" t="n">
        <v>0.03</v>
      </c>
      <c r="S146" s="22">
        <f>M146*R146</f>
        <v/>
      </c>
      <c r="T146" s="22">
        <f>N146*R146</f>
        <v/>
      </c>
      <c r="U146" s="22">
        <f>(O146-V146)*R146</f>
        <v/>
      </c>
      <c r="V146" s="11" t="n">
        <v>6332</v>
      </c>
      <c r="W146" s="11" t="n"/>
      <c r="X146" s="22">
        <f>S146+T146+U146+V146+W146</f>
        <v/>
      </c>
      <c r="Y146" s="11" t="n"/>
      <c r="Z146" s="22">
        <f>AE146-AB146-AA146-AC146</f>
        <v/>
      </c>
      <c r="AA146" s="22">
        <f>N146-T146-W146</f>
        <v/>
      </c>
      <c r="AB146" s="22">
        <f>O146-V146-U146</f>
        <v/>
      </c>
      <c r="AC146" s="22">
        <f>P146</f>
        <v/>
      </c>
      <c r="AD146" s="23">
        <f>Z146+AA146+AB146+AC146</f>
        <v/>
      </c>
      <c r="AE146" s="11" t="n">
        <v>938622.6024</v>
      </c>
      <c r="AF146" s="24">
        <f>AD146-AE146</f>
        <v/>
      </c>
      <c r="AG146" s="13">
        <f>IF(OR(B146="",B146=0,M146=""),"",M146/B146*10000)</f>
        <v/>
      </c>
      <c r="AH146" s="13">
        <f>IF(OR(C146="",C146=0),"",N146/C146*10000)</f>
        <v/>
      </c>
      <c r="AI146" s="13">
        <f>IF(OR(D146="",D146=0),"",O146/D146*10000)</f>
        <v/>
      </c>
      <c r="AJ146" s="11" t="n">
        <v>4424.654530647215</v>
      </c>
      <c r="AK146" s="11" t="n">
        <v>19083.9</v>
      </c>
      <c r="AL146" s="22">
        <f>AE146+AJ146+AK146</f>
        <v/>
      </c>
      <c r="AM146" s="22">
        <f>AE146</f>
        <v/>
      </c>
      <c r="AN146" s="14" t="n">
        <v>52255.23</v>
      </c>
      <c r="AO146" s="15" t="n">
        <v>17.962271</v>
      </c>
      <c r="AP146" s="14" t="n">
        <v>20624076.81</v>
      </c>
      <c r="AQ146" s="14" t="n">
        <v>26218.992</v>
      </c>
      <c r="AR146" s="14" t="n">
        <v>410.4167</v>
      </c>
      <c r="AS146" s="14" t="n"/>
      <c r="AT146" s="16" t="n">
        <v>418.405018308155</v>
      </c>
      <c r="AU146" s="17" t="n">
        <v>0.021797584</v>
      </c>
      <c r="AV146" s="14" t="n">
        <v>425081353.0828</v>
      </c>
      <c r="AW146" s="18" t="n">
        <v>60100000</v>
      </c>
      <c r="AX146" s="19" t="n">
        <v>20624076.81</v>
      </c>
      <c r="AY146" s="18" t="n">
        <v>3100000</v>
      </c>
      <c r="AZ146" s="18">
        <f>1000000000-999786289.7101</f>
        <v/>
      </c>
      <c r="BA146" s="20">
        <f>1000000000-AV146-AW146-AX146-AY146-AZ146</f>
        <v/>
      </c>
      <c r="BB146" s="21" t="n">
        <v>244.9</v>
      </c>
      <c r="BC146" s="21">
        <f>BA146/1000000-BB146</f>
        <v/>
      </c>
      <c r="BD146" s="22">
        <f>BA146*17.66</f>
        <v/>
      </c>
    </row>
    <row r="147">
      <c r="A147" s="10" t="n">
        <v>45769</v>
      </c>
      <c r="B147" s="11" t="n">
        <v>9749391466.017874</v>
      </c>
      <c r="C147" s="11" t="n"/>
      <c r="D147" s="11" t="n">
        <v>167698100</v>
      </c>
      <c r="E147" s="11" t="n"/>
      <c r="M147" s="22">
        <f>Z147/(1-R147)</f>
        <v/>
      </c>
      <c r="N147" s="11" t="n"/>
      <c r="O147" s="11" t="n">
        <v>20644</v>
      </c>
      <c r="P147" s="11" t="n"/>
      <c r="Q147" s="22">
        <f>M147+N147+O147+P147</f>
        <v/>
      </c>
      <c r="R147" s="12" t="n">
        <v>0.03</v>
      </c>
      <c r="S147" s="22">
        <f>M147*R147</f>
        <v/>
      </c>
      <c r="T147" s="22">
        <f>N147*R147</f>
        <v/>
      </c>
      <c r="U147" s="22">
        <f>(O147-V147)*R147</f>
        <v/>
      </c>
      <c r="V147" s="11" t="n">
        <v>7287</v>
      </c>
      <c r="W147" s="11" t="n"/>
      <c r="X147" s="22">
        <f>S147+T147+U147+V147+W147</f>
        <v/>
      </c>
      <c r="Y147" s="11" t="n"/>
      <c r="Z147" s="22">
        <f>AE147-AB147-AA147-AC147</f>
        <v/>
      </c>
      <c r="AA147" s="22">
        <f>N147-T147-W147</f>
        <v/>
      </c>
      <c r="AB147" s="22">
        <f>O147-V147-U147</f>
        <v/>
      </c>
      <c r="AC147" s="22">
        <f>P147</f>
        <v/>
      </c>
      <c r="AD147" s="23">
        <f>Z147+AA147+AB147+AC147</f>
        <v/>
      </c>
      <c r="AE147" s="11" t="n">
        <v>1423075.149</v>
      </c>
      <c r="AF147" s="24">
        <f>AD147-AE147</f>
        <v/>
      </c>
      <c r="AG147" s="13">
        <f>IF(OR(B147="",B147=0,M147=""),"",M147/B147*10000)</f>
        <v/>
      </c>
      <c r="AH147" s="13">
        <f>IF(OR(C147="",C147=0),"",N147/C147*10000)</f>
        <v/>
      </c>
      <c r="AI147" s="13">
        <f>IF(OR(D147="",D147=0),"",O147/D147*10000)</f>
        <v/>
      </c>
      <c r="AJ147" s="11" t="n">
        <v>4155.0142763256</v>
      </c>
      <c r="AK147" s="11" t="n">
        <v>0</v>
      </c>
      <c r="AL147" s="22">
        <f>AE147+AJ147+AK147</f>
        <v/>
      </c>
      <c r="AM147" s="22">
        <f>AE147</f>
        <v/>
      </c>
      <c r="AN147" s="14" t="n">
        <v>76482.66</v>
      </c>
      <c r="AO147" s="15" t="n">
        <v>18.606507</v>
      </c>
      <c r="AP147" s="14" t="n">
        <v>20700559.47</v>
      </c>
      <c r="AQ147" s="14" t="n">
        <v>26258.8912</v>
      </c>
      <c r="AR147" s="14" t="n">
        <v>648.3471</v>
      </c>
      <c r="AS147" s="14" t="n"/>
      <c r="AT147" s="16" t="n">
        <v>418.565837454183</v>
      </c>
      <c r="AU147" s="17" t="n">
        <v>0.0217934453</v>
      </c>
      <c r="AV147" s="14" t="n">
        <v>425055094.1916</v>
      </c>
      <c r="AW147" s="18" t="n">
        <v>60100000</v>
      </c>
      <c r="AX147" s="19" t="n">
        <v>20700559.47</v>
      </c>
      <c r="AY147" s="18" t="n">
        <v>3100000</v>
      </c>
      <c r="AZ147" s="18">
        <f>1000000000-999785641.3631</f>
        <v/>
      </c>
      <c r="BA147" s="20">
        <f>1000000000-AV147-AW147-AX147-AY147-AZ147</f>
        <v/>
      </c>
      <c r="BB147" s="21" t="n">
        <v>244.9</v>
      </c>
      <c r="BC147" s="21">
        <f>BA147/1000000-BB147</f>
        <v/>
      </c>
      <c r="BD147" s="22">
        <f>BA147*18.09</f>
        <v/>
      </c>
    </row>
    <row r="148">
      <c r="A148" s="10" t="n">
        <v>45770</v>
      </c>
      <c r="B148" s="11" t="n">
        <v>8586739199.556433</v>
      </c>
      <c r="C148" s="11" t="n"/>
      <c r="D148" s="11" t="n">
        <v>169388947</v>
      </c>
      <c r="E148" s="11" t="n"/>
      <c r="M148" s="22">
        <f>Z148/(1-R148)</f>
        <v/>
      </c>
      <c r="N148" s="11" t="n"/>
      <c r="O148" s="11" t="n">
        <v>24465</v>
      </c>
      <c r="P148" s="11" t="n"/>
      <c r="Q148" s="22">
        <f>M148+N148+O148+P148</f>
        <v/>
      </c>
      <c r="R148" s="12" t="n">
        <v>0.03</v>
      </c>
      <c r="S148" s="22">
        <f>M148*R148</f>
        <v/>
      </c>
      <c r="T148" s="22">
        <f>N148*R148</f>
        <v/>
      </c>
      <c r="U148" s="22">
        <f>(O148-V148)*R148</f>
        <v/>
      </c>
      <c r="V148" s="11" t="n">
        <v>7409</v>
      </c>
      <c r="W148" s="11" t="n"/>
      <c r="X148" s="22">
        <f>S148+T148+U148+V148+W148</f>
        <v/>
      </c>
      <c r="Y148" s="11" t="n"/>
      <c r="Z148" s="22">
        <f>AE148-AB148-AA148-AC148</f>
        <v/>
      </c>
      <c r="AA148" s="22">
        <f>N148-T148-W148</f>
        <v/>
      </c>
      <c r="AB148" s="22">
        <f>O148-V148-U148</f>
        <v/>
      </c>
      <c r="AC148" s="22">
        <f>P148</f>
        <v/>
      </c>
      <c r="AD148" s="23">
        <f>Z148+AA148+AB148+AC148</f>
        <v/>
      </c>
      <c r="AE148" s="11" t="n">
        <v>2257032.676</v>
      </c>
      <c r="AF148" s="24">
        <f>AD148-AE148</f>
        <v/>
      </c>
      <c r="AG148" s="13">
        <f>IF(OR(B148="",B148=0,M148=""),"",M148/B148*10000)</f>
        <v/>
      </c>
      <c r="AH148" s="13">
        <f>IF(OR(C148="",C148=0),"",N148/C148*10000)</f>
        <v/>
      </c>
      <c r="AI148" s="13">
        <f>IF(OR(D148="",D148=0),"",O148/D148*10000)</f>
        <v/>
      </c>
      <c r="AJ148" s="11" t="n">
        <v>5131.081096013228</v>
      </c>
      <c r="AK148" s="11" t="n">
        <v>23592.15</v>
      </c>
      <c r="AL148" s="22">
        <f>AE148+AJ148+AK148</f>
        <v/>
      </c>
      <c r="AM148" s="22">
        <f>AE148</f>
        <v/>
      </c>
      <c r="AN148" s="14" t="n">
        <v>120992.35</v>
      </c>
      <c r="AO148" s="15" t="n">
        <v>18.654342</v>
      </c>
      <c r="AP148" s="14" t="n">
        <v>20821551.82</v>
      </c>
      <c r="AQ148" s="14" t="n">
        <v>26217.4408</v>
      </c>
      <c r="AR148" s="14" t="n">
        <v>708.6571</v>
      </c>
      <c r="AS148" s="14" t="n"/>
      <c r="AT148" s="16" t="n">
        <v>417.6498781900325</v>
      </c>
      <c r="AU148" s="17" t="n">
        <v>0.0218170496</v>
      </c>
      <c r="AV148" s="14" t="n">
        <v>425028876.7508</v>
      </c>
      <c r="AW148" s="18" t="n">
        <v>60100000</v>
      </c>
      <c r="AX148" s="19" t="n">
        <v>20821551.82</v>
      </c>
      <c r="AY148" s="18" t="n">
        <v>3100000</v>
      </c>
      <c r="AZ148" s="18">
        <f>1000000000-999784932.706</f>
        <v/>
      </c>
      <c r="BA148" s="20">
        <f>1000000000-AV148-AW148-AX148-AY148-AZ148</f>
        <v/>
      </c>
      <c r="BB148" s="21" t="n">
        <v>244.9</v>
      </c>
      <c r="BC148" s="21">
        <f>BA148/1000000-BB148</f>
        <v/>
      </c>
      <c r="BD148" s="22">
        <f>BA148*19.11</f>
        <v/>
      </c>
    </row>
    <row r="149">
      <c r="A149" s="10" t="n">
        <v>45771</v>
      </c>
      <c r="B149" s="11" t="n">
        <v>5758061914.11327</v>
      </c>
      <c r="C149" s="11" t="n"/>
      <c r="D149" s="11" t="n">
        <v>117675576</v>
      </c>
      <c r="E149" s="11" t="n"/>
      <c r="M149" s="22">
        <f>Z149/(1-R149)</f>
        <v/>
      </c>
      <c r="N149" s="11" t="n"/>
      <c r="O149" s="11" t="n">
        <v>15562</v>
      </c>
      <c r="P149" s="11" t="n"/>
      <c r="Q149" s="22">
        <f>M149+N149+O149+P149</f>
        <v/>
      </c>
      <c r="R149" s="12" t="n">
        <v>0.03</v>
      </c>
      <c r="S149" s="22">
        <f>M149*R149</f>
        <v/>
      </c>
      <c r="T149" s="22">
        <f>N149*R149</f>
        <v/>
      </c>
      <c r="U149" s="22">
        <f>(O149-V149)*R149</f>
        <v/>
      </c>
      <c r="V149" s="11" t="n">
        <v>4551</v>
      </c>
      <c r="W149" s="11" t="n"/>
      <c r="X149" s="22">
        <f>S149+T149+U149+V149+W149</f>
        <v/>
      </c>
      <c r="Y149" s="11" t="n"/>
      <c r="Z149" s="22">
        <f>AE149-AB149-AA149-AC149</f>
        <v/>
      </c>
      <c r="AA149" s="22">
        <f>N149-T149-W149</f>
        <v/>
      </c>
      <c r="AB149" s="22">
        <f>O149-V149-U149</f>
        <v/>
      </c>
      <c r="AC149" s="22">
        <f>P149</f>
        <v/>
      </c>
      <c r="AD149" s="23">
        <f>Z149+AA149+AB149+AC149</f>
        <v/>
      </c>
      <c r="AE149" s="11" t="n">
        <v>1763542.077</v>
      </c>
      <c r="AF149" s="24">
        <f>AD149-AE149</f>
        <v/>
      </c>
      <c r="AG149" s="13">
        <f>IF(OR(B149="",B149=0,M149=""),"",M149/B149*10000)</f>
        <v/>
      </c>
      <c r="AH149" s="13">
        <f>IF(OR(C149="",C149=0),"",N149/C149*10000)</f>
        <v/>
      </c>
      <c r="AI149" s="13">
        <f>IF(OR(D149="",D149=0),"",O149/D149*10000)</f>
        <v/>
      </c>
      <c r="AJ149" s="11" t="n">
        <v>2281.184420243312</v>
      </c>
      <c r="AK149" s="11" t="n">
        <v>19881.93</v>
      </c>
      <c r="AL149" s="22">
        <f>AE149+AJ149+AK149</f>
        <v/>
      </c>
      <c r="AM149" s="22">
        <f>AE149</f>
        <v/>
      </c>
      <c r="AN149" s="14" t="n">
        <v>96372.78</v>
      </c>
      <c r="AO149" s="15" t="n">
        <v>18.299172</v>
      </c>
      <c r="AP149" s="14" t="n">
        <v>20917924.6</v>
      </c>
      <c r="AQ149" s="14" t="n">
        <v>26193.1501</v>
      </c>
      <c r="AR149" s="14" t="n">
        <v>671.4738</v>
      </c>
      <c r="AS149" s="14" t="n"/>
      <c r="AT149" s="16" t="n">
        <v>416.6244602456657</v>
      </c>
      <c r="AU149" s="17" t="n">
        <v>0.0218435663</v>
      </c>
      <c r="AV149" s="14" t="n">
        <v>425002683.6007</v>
      </c>
      <c r="AW149" s="18" t="n">
        <v>60100000</v>
      </c>
      <c r="AX149" s="19" t="n">
        <v>20917924.6</v>
      </c>
      <c r="AY149" s="18" t="n">
        <v>3100000</v>
      </c>
      <c r="AZ149" s="18">
        <f>1000000000-999784261.2322</f>
        <v/>
      </c>
      <c r="BA149" s="20">
        <f>1000000000-AV149-AW149-AX149-AY149-AZ149</f>
        <v/>
      </c>
      <c r="BB149" s="21" t="n">
        <v>244.9</v>
      </c>
      <c r="BC149" s="21">
        <f>BA149/1000000-BB149</f>
        <v/>
      </c>
      <c r="BD149" s="22">
        <f>BA149*18.32</f>
        <v/>
      </c>
    </row>
    <row r="150">
      <c r="A150" s="10" t="n">
        <v>45772</v>
      </c>
      <c r="B150" s="11" t="n">
        <v>7060976063.80115</v>
      </c>
      <c r="C150" s="11" t="n"/>
      <c r="D150" s="11" t="n">
        <v>114067436</v>
      </c>
      <c r="E150" s="11" t="n"/>
      <c r="M150" s="22">
        <f>Z150/(1-R150)</f>
        <v/>
      </c>
      <c r="N150" s="11" t="n"/>
      <c r="O150" s="11" t="n">
        <v>16124</v>
      </c>
      <c r="P150" s="11" t="n"/>
      <c r="Q150" s="22">
        <f>M150+N150+O150+P150</f>
        <v/>
      </c>
      <c r="R150" s="12" t="n">
        <v>0.03</v>
      </c>
      <c r="S150" s="22">
        <f>M150*R150</f>
        <v/>
      </c>
      <c r="T150" s="22">
        <f>N150*R150</f>
        <v/>
      </c>
      <c r="U150" s="22">
        <f>(O150-V150)*R150</f>
        <v/>
      </c>
      <c r="V150" s="11" t="n">
        <v>4088</v>
      </c>
      <c r="W150" s="11" t="n"/>
      <c r="X150" s="22">
        <f>S150+T150+U150+V150+W150</f>
        <v/>
      </c>
      <c r="Y150" s="11" t="n"/>
      <c r="Z150" s="22">
        <f>AE150-AB150-AA150-AC150</f>
        <v/>
      </c>
      <c r="AA150" s="22">
        <f>N150-T150-W150</f>
        <v/>
      </c>
      <c r="AB150" s="22">
        <f>O150-V150-U150</f>
        <v/>
      </c>
      <c r="AC150" s="22">
        <f>P150</f>
        <v/>
      </c>
      <c r="AD150" s="23">
        <f>Z150+AA150+AB150+AC150</f>
        <v/>
      </c>
      <c r="AE150" s="11" t="n">
        <v>1305000.805</v>
      </c>
      <c r="AF150" s="24">
        <f>AD150-AE150</f>
        <v/>
      </c>
      <c r="AG150" s="13">
        <f>IF(OR(B150="",B150=0,M150=""),"",M150/B150*10000)</f>
        <v/>
      </c>
      <c r="AH150" s="13">
        <f>IF(OR(C150="",C150=0),"",N150/C150*10000)</f>
        <v/>
      </c>
      <c r="AI150" s="13">
        <f>IF(OR(D150="",D150=0),"",O150/D150*10000)</f>
        <v/>
      </c>
      <c r="AJ150" s="11" t="n">
        <v>2166.061415683268</v>
      </c>
      <c r="AK150" s="11" t="n">
        <v>26183.79</v>
      </c>
      <c r="AL150" s="22">
        <f>AE150+AJ150+AK150</f>
        <v/>
      </c>
      <c r="AM150" s="22">
        <f>AE150</f>
        <v/>
      </c>
      <c r="AN150" s="14" t="n">
        <v>69908.78999999999</v>
      </c>
      <c r="AO150" s="15" t="n">
        <v>18.667192</v>
      </c>
      <c r="AP150" s="14" t="n">
        <v>20987833.39</v>
      </c>
      <c r="AQ150" s="14" t="n">
        <v>26180.0593</v>
      </c>
      <c r="AR150" s="14" t="n">
        <v>486.2935</v>
      </c>
      <c r="AS150" s="14" t="n"/>
      <c r="AT150" s="16" t="n">
        <v>415.9460776323631</v>
      </c>
      <c r="AU150" s="17" t="n">
        <v>0.0218611623</v>
      </c>
      <c r="AV150" s="14" t="n">
        <v>424976503.5414</v>
      </c>
      <c r="AW150" s="18" t="n">
        <v>60100000</v>
      </c>
      <c r="AX150" s="19" t="n">
        <v>20987833.39</v>
      </c>
      <c r="AY150" s="18" t="n">
        <v>3100000</v>
      </c>
      <c r="AZ150" s="18">
        <f>1000000000-999783774.9388</f>
        <v/>
      </c>
      <c r="BA150" s="20">
        <f>1000000000-AV150-AW150-AX150-AY150-AZ150</f>
        <v/>
      </c>
      <c r="BB150" s="21" t="n">
        <v>244.9</v>
      </c>
      <c r="BC150" s="21">
        <f>BA150/1000000-BB150</f>
        <v/>
      </c>
      <c r="BD150" s="22">
        <f>BA150*18.93</f>
        <v/>
      </c>
    </row>
    <row r="151">
      <c r="A151" s="10" t="n">
        <v>45773</v>
      </c>
      <c r="B151" s="11" t="n">
        <v>3839502376.340041</v>
      </c>
      <c r="C151" s="11" t="n"/>
      <c r="D151" s="11" t="n">
        <v>89325385</v>
      </c>
      <c r="E151" s="11" t="n"/>
      <c r="M151" s="22">
        <f>Z151/(1-R151)</f>
        <v/>
      </c>
      <c r="N151" s="11" t="n"/>
      <c r="O151" s="11" t="n">
        <v>11829</v>
      </c>
      <c r="P151" s="11" t="n"/>
      <c r="Q151" s="22">
        <f>M151+N151+O151+P151</f>
        <v/>
      </c>
      <c r="R151" s="12" t="n">
        <v>0.03</v>
      </c>
      <c r="S151" s="22">
        <f>M151*R151</f>
        <v/>
      </c>
      <c r="T151" s="22">
        <f>N151*R151</f>
        <v/>
      </c>
      <c r="U151" s="22">
        <f>(O151-V151)*R151</f>
        <v/>
      </c>
      <c r="V151" s="11" t="n">
        <v>2822</v>
      </c>
      <c r="W151" s="11" t="n"/>
      <c r="X151" s="22">
        <f>S151+T151+U151+V151+W151</f>
        <v/>
      </c>
      <c r="Y151" s="11" t="n"/>
      <c r="Z151" s="22">
        <f>AE151-AB151-AA151-AC151</f>
        <v/>
      </c>
      <c r="AA151" s="22">
        <f>N151-T151-W151</f>
        <v/>
      </c>
      <c r="AB151" s="22">
        <f>O151-V151-U151</f>
        <v/>
      </c>
      <c r="AC151" s="22">
        <f>P151</f>
        <v/>
      </c>
      <c r="AD151" s="23">
        <f>Z151+AA151+AB151+AC151</f>
        <v/>
      </c>
      <c r="AE151" s="11" t="n">
        <v>1427722.029</v>
      </c>
      <c r="AF151" s="24">
        <f>AD151-AE151</f>
        <v/>
      </c>
      <c r="AG151" s="13">
        <f>IF(OR(B151="",B151=0,M151=""),"",M151/B151*10000)</f>
        <v/>
      </c>
      <c r="AH151" s="13">
        <f>IF(OR(C151="",C151=0),"",N151/C151*10000)</f>
        <v/>
      </c>
      <c r="AI151" s="13">
        <f>IF(OR(D151="",D151=0),"",O151/D151*10000)</f>
        <v/>
      </c>
      <c r="AJ151" s="11" t="n">
        <v>4132.27839602638</v>
      </c>
      <c r="AK151" s="11" t="n">
        <v>0</v>
      </c>
      <c r="AL151" s="22">
        <f>AE151+AJ151+AK151</f>
        <v/>
      </c>
      <c r="AM151" s="22">
        <f>AE151</f>
        <v/>
      </c>
      <c r="AN151" s="14" t="n">
        <v>80199.64999999999</v>
      </c>
      <c r="AO151" s="15" t="n">
        <v>17.802098</v>
      </c>
      <c r="AP151" s="14" t="n">
        <v>21068033.04</v>
      </c>
      <c r="AQ151" s="14" t="n">
        <v>26167.7741</v>
      </c>
      <c r="AR151" s="14" t="n">
        <v>470.6409</v>
      </c>
      <c r="AS151" s="14" t="n"/>
      <c r="AT151" s="16" t="n">
        <v>415.6020811706861</v>
      </c>
      <c r="AU151" s="17" t="n">
        <v>0.0218701013</v>
      </c>
      <c r="AV151" s="14" t="n">
        <v>424950335.7673</v>
      </c>
      <c r="AW151" s="18" t="n">
        <v>60100000</v>
      </c>
      <c r="AX151" s="19" t="n">
        <v>21068033.04</v>
      </c>
      <c r="AY151" s="18" t="n">
        <v>3100000</v>
      </c>
      <c r="AZ151" s="18">
        <f>1000000000-999783304.2979</f>
        <v/>
      </c>
      <c r="BA151" s="20">
        <f>1000000000-AV151-AW151-AX151-AY151-AZ151</f>
        <v/>
      </c>
      <c r="BB151" s="21" t="n">
        <v>244.9</v>
      </c>
      <c r="BC151" s="21">
        <f>BA151/1000000-BB151</f>
        <v/>
      </c>
      <c r="BD151" s="22">
        <f>BA151*18.41</f>
        <v/>
      </c>
    </row>
    <row r="152">
      <c r="A152" s="10" t="n">
        <v>45774</v>
      </c>
      <c r="B152" s="11" t="n">
        <v>3382764141.414567</v>
      </c>
      <c r="C152" s="11" t="n"/>
      <c r="D152" s="11" t="n">
        <v>65942651</v>
      </c>
      <c r="E152" s="11" t="n"/>
      <c r="M152" s="22">
        <f>Z152/(1-R152)</f>
        <v/>
      </c>
      <c r="N152" s="11" t="n"/>
      <c r="O152" s="11" t="n">
        <v>10180</v>
      </c>
      <c r="P152" s="11" t="n"/>
      <c r="Q152" s="22">
        <f>M152+N152+O152+P152</f>
        <v/>
      </c>
      <c r="R152" s="12" t="n">
        <v>0.03</v>
      </c>
      <c r="S152" s="22">
        <f>M152*R152</f>
        <v/>
      </c>
      <c r="T152" s="22">
        <f>N152*R152</f>
        <v/>
      </c>
      <c r="U152" s="22">
        <f>(O152-V152)*R152</f>
        <v/>
      </c>
      <c r="V152" s="11" t="n">
        <v>2076</v>
      </c>
      <c r="W152" s="11" t="n"/>
      <c r="X152" s="22">
        <f>S152+T152+U152+V152+W152</f>
        <v/>
      </c>
      <c r="Y152" s="11" t="n"/>
      <c r="Z152" s="22">
        <f>AE152-AB152-AA152-AC152</f>
        <v/>
      </c>
      <c r="AA152" s="22">
        <f>N152-T152-W152</f>
        <v/>
      </c>
      <c r="AB152" s="22">
        <f>O152-V152-U152</f>
        <v/>
      </c>
      <c r="AC152" s="22">
        <f>P152</f>
        <v/>
      </c>
      <c r="AD152" s="23">
        <f>Z152+AA152+AB152+AC152</f>
        <v/>
      </c>
      <c r="AE152" s="11" t="n">
        <v>816115.3855</v>
      </c>
      <c r="AF152" s="24">
        <f>AD152-AE152</f>
        <v/>
      </c>
      <c r="AG152" s="13">
        <f>IF(OR(B152="",B152=0,M152=""),"",M152/B152*10000)</f>
        <v/>
      </c>
      <c r="AH152" s="13">
        <f>IF(OR(C152="",C152=0),"",N152/C152*10000)</f>
        <v/>
      </c>
      <c r="AI152" s="13">
        <f>IF(OR(D152="",D152=0),"",O152/D152*10000)</f>
        <v/>
      </c>
      <c r="AJ152" s="11" t="n">
        <v>3549.158766957544</v>
      </c>
      <c r="AK152" s="11" t="n">
        <v>18345.18</v>
      </c>
      <c r="AL152" s="22">
        <f>AE152+AJ152+AK152</f>
        <v/>
      </c>
      <c r="AM152" s="22">
        <f>AE152</f>
        <v/>
      </c>
      <c r="AN152" s="14" t="n">
        <v>46152.81</v>
      </c>
      <c r="AO152" s="15" t="n">
        <v>17.682897</v>
      </c>
      <c r="AP152" s="14" t="n">
        <v>21114185.85</v>
      </c>
      <c r="AQ152" s="14" t="n">
        <v>26128.5247</v>
      </c>
      <c r="AR152" s="14" t="n">
        <v>319.0979</v>
      </c>
      <c r="AS152" s="14" t="n"/>
      <c r="AT152" s="16" t="n">
        <v>415.108588235036</v>
      </c>
      <c r="AU152" s="17" t="n">
        <v>0.0218829443</v>
      </c>
      <c r="AV152" s="14" t="n">
        <v>424924207.2426</v>
      </c>
      <c r="AW152" s="18" t="n">
        <v>60100000</v>
      </c>
      <c r="AX152" s="19" t="n">
        <v>21114185.85</v>
      </c>
      <c r="AY152" s="18" t="n">
        <v>3100000</v>
      </c>
      <c r="AZ152" s="18">
        <f>1000000000-999782985.2</f>
        <v/>
      </c>
      <c r="BA152" s="20">
        <f>1000000000-AV152-AW152-AX152-AY152-AZ152</f>
        <v/>
      </c>
      <c r="BB152" s="21" t="n">
        <v>244.9</v>
      </c>
      <c r="BC152" s="21">
        <f>BA152/1000000-BB152</f>
        <v/>
      </c>
      <c r="BD152" s="22">
        <f>BA152*17.99</f>
        <v/>
      </c>
    </row>
    <row r="153">
      <c r="A153" s="10" t="n">
        <v>45775</v>
      </c>
      <c r="B153" s="11" t="n">
        <v>6671543330.523771</v>
      </c>
      <c r="C153" s="11" t="n"/>
      <c r="D153" s="11" t="n">
        <v>156064089</v>
      </c>
      <c r="E153" s="11" t="n"/>
      <c r="M153" s="22">
        <f>Z153/(1-R153)</f>
        <v/>
      </c>
      <c r="N153" s="11" t="n"/>
      <c r="O153" s="11" t="n">
        <v>19745</v>
      </c>
      <c r="P153" s="11" t="n"/>
      <c r="Q153" s="22">
        <f>M153+N153+O153+P153</f>
        <v/>
      </c>
      <c r="R153" s="12" t="n">
        <v>0.03</v>
      </c>
      <c r="S153" s="22">
        <f>M153*R153</f>
        <v/>
      </c>
      <c r="T153" s="22">
        <f>N153*R153</f>
        <v/>
      </c>
      <c r="U153" s="22">
        <f>(O153-V153)*R153</f>
        <v/>
      </c>
      <c r="V153" s="11" t="n">
        <v>4173</v>
      </c>
      <c r="W153" s="11" t="n"/>
      <c r="X153" s="22">
        <f>S153+T153+U153+V153+W153</f>
        <v/>
      </c>
      <c r="Y153" s="11" t="n"/>
      <c r="Z153" s="22">
        <f>AE153-AB153-AA153-AC153</f>
        <v/>
      </c>
      <c r="AA153" s="22">
        <f>N153-T153-W153</f>
        <v/>
      </c>
      <c r="AB153" s="22">
        <f>O153-V153-U153</f>
        <v/>
      </c>
      <c r="AC153" s="22">
        <f>P153</f>
        <v/>
      </c>
      <c r="AD153" s="23">
        <f>Z153+AA153+AB153+AC153</f>
        <v/>
      </c>
      <c r="AE153" s="11" t="n">
        <v>790516.2383</v>
      </c>
      <c r="AF153" s="24">
        <f>AD153-AE153</f>
        <v/>
      </c>
      <c r="AG153" s="13">
        <f>IF(OR(B153="",B153=0,M153=""),"",M153/B153*10000)</f>
        <v/>
      </c>
      <c r="AH153" s="13">
        <f>IF(OR(C153="",C153=0),"",N153/C153*10000)</f>
        <v/>
      </c>
      <c r="AI153" s="13">
        <f>IF(OR(D153="",D153=0),"",O153/D153*10000)</f>
        <v/>
      </c>
      <c r="AJ153" s="11" t="n">
        <v>11047.25477620505</v>
      </c>
      <c r="AK153" s="11" t="n">
        <v>19387.81</v>
      </c>
      <c r="AL153" s="22">
        <f>AE153+AJ153+AK153</f>
        <v/>
      </c>
      <c r="AM153" s="22">
        <f>AE153</f>
        <v/>
      </c>
      <c r="AN153" s="14" t="n">
        <v>44835</v>
      </c>
      <c r="AO153" s="15" t="n">
        <v>17.631677</v>
      </c>
      <c r="AP153" s="14" t="n">
        <v>21159020.85</v>
      </c>
      <c r="AQ153" s="14" t="n">
        <v>26136.1052</v>
      </c>
      <c r="AR153" s="14" t="n">
        <v>272.2418</v>
      </c>
      <c r="AS153" s="14" t="n"/>
      <c r="AT153" s="16" t="n">
        <v>414.8005480452459</v>
      </c>
      <c r="AU153" s="17" t="n">
        <v>0.0218909724</v>
      </c>
      <c r="AV153" s="14" t="n">
        <v>424898071.1374</v>
      </c>
      <c r="AW153" s="18" t="n">
        <v>60100000</v>
      </c>
      <c r="AX153" s="19" t="n">
        <v>21159020.85</v>
      </c>
      <c r="AY153" s="18" t="n">
        <v>3100000</v>
      </c>
      <c r="AZ153" s="18">
        <f>1000000000-999782712.9583</f>
        <v/>
      </c>
      <c r="BA153" s="20">
        <f>1000000000-AV153-AW153-AX153-AY153-AZ153</f>
        <v/>
      </c>
      <c r="BB153" s="21" t="n">
        <v>244.9</v>
      </c>
      <c r="BC153" s="21">
        <f>BA153/1000000-BB153</f>
        <v/>
      </c>
      <c r="BD153" s="22">
        <f>BA153*17.35</f>
        <v/>
      </c>
    </row>
    <row r="154">
      <c r="A154" s="10" t="n">
        <v>45776</v>
      </c>
      <c r="B154" s="11" t="n">
        <v>4981695000.898414</v>
      </c>
      <c r="C154" s="11" t="n"/>
      <c r="D154" s="11" t="n">
        <v>133602416</v>
      </c>
      <c r="E154" s="11" t="n"/>
      <c r="M154" s="22">
        <f>Z154/(1-R154)</f>
        <v/>
      </c>
      <c r="N154" s="11" t="n"/>
      <c r="O154" s="11" t="n">
        <v>17990</v>
      </c>
      <c r="P154" s="11" t="n"/>
      <c r="Q154" s="22">
        <f>M154+N154+O154+P154</f>
        <v/>
      </c>
      <c r="R154" s="12" t="n">
        <v>0.03</v>
      </c>
      <c r="S154" s="22">
        <f>M154*R154</f>
        <v/>
      </c>
      <c r="T154" s="22">
        <f>N154*R154</f>
        <v/>
      </c>
      <c r="U154" s="22">
        <f>(O154-V154)*R154</f>
        <v/>
      </c>
      <c r="V154" s="11" t="n">
        <v>4068</v>
      </c>
      <c r="W154" s="11" t="n"/>
      <c r="X154" s="22">
        <f>S154+T154+U154+V154+W154</f>
        <v/>
      </c>
      <c r="Y154" s="11" t="n"/>
      <c r="Z154" s="22">
        <f>AE154-AB154-AA154-AC154</f>
        <v/>
      </c>
      <c r="AA154" s="22">
        <f>N154-T154-W154</f>
        <v/>
      </c>
      <c r="AB154" s="22">
        <f>O154-V154-U154</f>
        <v/>
      </c>
      <c r="AC154" s="22">
        <f>P154</f>
        <v/>
      </c>
      <c r="AD154" s="23">
        <f>Z154+AA154+AB154+AC154</f>
        <v/>
      </c>
      <c r="AE154" s="11" t="n">
        <v>1345956.884</v>
      </c>
      <c r="AF154" s="24">
        <f>AD154-AE154</f>
        <v/>
      </c>
      <c r="AG154" s="13">
        <f>IF(OR(B154="",B154=0,M154=""),"",M154/B154*10000)</f>
        <v/>
      </c>
      <c r="AH154" s="13">
        <f>IF(OR(C154="",C154=0),"",N154/C154*10000)</f>
        <v/>
      </c>
      <c r="AI154" s="13">
        <f>IF(OR(D154="",D154=0),"",O154/D154*10000)</f>
        <v/>
      </c>
      <c r="AJ154" s="11" t="n">
        <v>5627.005665572719</v>
      </c>
      <c r="AK154" s="11" t="n">
        <v>24783.17</v>
      </c>
      <c r="AL154" s="22">
        <f>AE154+AJ154+AK154</f>
        <v/>
      </c>
      <c r="AM154" s="22">
        <f>AE154</f>
        <v/>
      </c>
      <c r="AN154" s="14" t="n">
        <v>71896.23</v>
      </c>
      <c r="AO154" s="15" t="n">
        <v>18.720827</v>
      </c>
      <c r="AP154" s="14" t="n">
        <v>21230917.08</v>
      </c>
      <c r="AQ154" s="14" t="n">
        <v>26145.6743</v>
      </c>
      <c r="AR154" s="14" t="n">
        <v>685.8724</v>
      </c>
      <c r="AS154" s="14" t="n"/>
      <c r="AT154" s="16" t="n">
        <v>416.3401422226734</v>
      </c>
      <c r="AU154" s="17" t="n">
        <v>0.0218509358</v>
      </c>
      <c r="AV154" s="14" t="n">
        <v>424871925.4631</v>
      </c>
      <c r="AW154" s="18" t="n">
        <v>60100000</v>
      </c>
      <c r="AX154" s="19" t="n">
        <v>21230917.08</v>
      </c>
      <c r="AY154" s="18" t="n">
        <v>3100000</v>
      </c>
      <c r="AZ154" s="18">
        <f>1000000000-999782027.0859</f>
        <v/>
      </c>
      <c r="BA154" s="20">
        <f>1000000000-AV154-AW154-AX154-AY154-AZ154</f>
        <v/>
      </c>
      <c r="BB154" s="21" t="n">
        <v>244.9</v>
      </c>
      <c r="BC154" s="21">
        <f>BA154/1000000-BB154</f>
        <v/>
      </c>
      <c r="BD154" s="22">
        <f>BA154*18.69</f>
        <v/>
      </c>
    </row>
    <row r="155">
      <c r="A155" s="10" t="n">
        <v>45777</v>
      </c>
      <c r="B155" s="11" t="n">
        <v>5886017387.242141</v>
      </c>
      <c r="C155" s="11" t="n"/>
      <c r="D155" s="11" t="n">
        <v>171764916</v>
      </c>
      <c r="E155" s="11" t="n"/>
      <c r="M155" s="22">
        <f>Z155/(1-R155)</f>
        <v/>
      </c>
      <c r="N155" s="11" t="n"/>
      <c r="O155" s="11" t="n">
        <v>18830</v>
      </c>
      <c r="P155" s="11" t="n"/>
      <c r="Q155" s="22">
        <f>M155+N155+O155+P155</f>
        <v/>
      </c>
      <c r="R155" s="12" t="n">
        <v>0.03</v>
      </c>
      <c r="S155" s="22">
        <f>M155*R155</f>
        <v/>
      </c>
      <c r="T155" s="22">
        <f>N155*R155</f>
        <v/>
      </c>
      <c r="U155" s="22">
        <f>(O155-V155)*R155</f>
        <v/>
      </c>
      <c r="V155" s="11" t="n">
        <v>4522</v>
      </c>
      <c r="W155" s="11" t="n"/>
      <c r="X155" s="22">
        <f>S155+T155+U155+V155+W155</f>
        <v/>
      </c>
      <c r="Y155" s="11" t="n"/>
      <c r="Z155" s="22">
        <f>AE155-AB155-AA155-AC155</f>
        <v/>
      </c>
      <c r="AA155" s="22">
        <f>N155-T155-W155</f>
        <v/>
      </c>
      <c r="AB155" s="22">
        <f>O155-V155-U155</f>
        <v/>
      </c>
      <c r="AC155" s="22">
        <f>P155</f>
        <v/>
      </c>
      <c r="AD155" s="23">
        <f>Z155+AA155+AB155+AC155</f>
        <v/>
      </c>
      <c r="AE155" s="11" t="n">
        <v>1104429.803</v>
      </c>
      <c r="AF155" s="24">
        <f>AD155-AE155</f>
        <v/>
      </c>
      <c r="AG155" s="13">
        <f>IF(OR(B155="",B155=0,M155=""),"",M155/B155*10000)</f>
        <v/>
      </c>
      <c r="AH155" s="13">
        <f>IF(OR(C155="",C155=0),"",N155/C155*10000)</f>
        <v/>
      </c>
      <c r="AI155" s="13">
        <f>IF(OR(D155="",D155=0),"",O155/D155*10000)</f>
        <v/>
      </c>
      <c r="AJ155" s="11" t="n">
        <v>7879.375304898586</v>
      </c>
      <c r="AK155" s="11" t="n">
        <v>24975.33</v>
      </c>
      <c r="AL155" s="22">
        <f>AE155+AJ155+AK155</f>
        <v/>
      </c>
      <c r="AM155" s="22">
        <f>AE155</f>
        <v/>
      </c>
      <c r="AN155" s="14" t="n">
        <v>60069.57</v>
      </c>
      <c r="AO155" s="15" t="n">
        <v>18.385845</v>
      </c>
      <c r="AP155" s="14" t="n">
        <v>21290986.65</v>
      </c>
      <c r="AQ155" s="14" t="n">
        <v>26180.9241</v>
      </c>
      <c r="AR155" s="14" t="n">
        <v>623.4232</v>
      </c>
      <c r="AS155" s="14" t="n"/>
      <c r="AT155" s="16" t="n">
        <v>416.1782378768902</v>
      </c>
      <c r="AU155" s="17" t="n">
        <v>0.0218551357</v>
      </c>
      <c r="AV155" s="14" t="n">
        <v>424845744.539</v>
      </c>
      <c r="AW155" s="18" t="n">
        <v>60100000</v>
      </c>
      <c r="AX155" s="19" t="n">
        <v>21290986.65</v>
      </c>
      <c r="AY155" s="18" t="n">
        <v>3100000</v>
      </c>
      <c r="AZ155" s="18">
        <f>1000000000-999781403.6627</f>
        <v/>
      </c>
      <c r="BA155" s="20">
        <f>1000000000-AV155-AW155-AX155-AY155-AZ155</f>
        <v/>
      </c>
      <c r="BB155" s="21" t="n">
        <v>244.9</v>
      </c>
      <c r="BC155" s="21">
        <f>BA155/1000000-BB155</f>
        <v/>
      </c>
      <c r="BD155" s="22">
        <f>BA155*18.49</f>
        <v/>
      </c>
    </row>
    <row r="156">
      <c r="A156" s="10" t="n">
        <v>45778</v>
      </c>
      <c r="B156" s="11" t="n">
        <v>5844761153.41146</v>
      </c>
      <c r="C156" s="11" t="n"/>
      <c r="D156" s="11" t="n">
        <v>176430408</v>
      </c>
      <c r="E156" s="11" t="n"/>
      <c r="M156" s="22">
        <f>Z156/(1-R156)</f>
        <v/>
      </c>
      <c r="N156" s="11" t="n"/>
      <c r="O156" s="11" t="n">
        <v>27300</v>
      </c>
      <c r="P156" s="11" t="n"/>
      <c r="Q156" s="22">
        <f>M156+N156+O156+P156</f>
        <v/>
      </c>
      <c r="R156" s="12" t="n">
        <v>0.03</v>
      </c>
      <c r="S156" s="22">
        <f>M156*R156</f>
        <v/>
      </c>
      <c r="T156" s="22">
        <f>N156*R156</f>
        <v/>
      </c>
      <c r="U156" s="22">
        <f>(O156-V156)*R156</f>
        <v/>
      </c>
      <c r="V156" s="11" t="n">
        <v>4704</v>
      </c>
      <c r="W156" s="11" t="n"/>
      <c r="X156" s="22">
        <f>S156+T156+U156+V156+W156</f>
        <v/>
      </c>
      <c r="Y156" s="11" t="n"/>
      <c r="Z156" s="22">
        <f>AE156-AB156-AA156-AC156</f>
        <v/>
      </c>
      <c r="AA156" s="22">
        <f>N156-T156-W156</f>
        <v/>
      </c>
      <c r="AB156" s="22">
        <f>O156-V156-U156</f>
        <v/>
      </c>
      <c r="AC156" s="22">
        <f>P156</f>
        <v/>
      </c>
      <c r="AD156" s="23">
        <f>Z156+AA156+AB156+AC156</f>
        <v/>
      </c>
      <c r="AE156" s="11" t="n">
        <v>1369589.548</v>
      </c>
      <c r="AF156" s="24">
        <f>AD156-AE156</f>
        <v/>
      </c>
      <c r="AG156" s="13">
        <f>IF(OR(B156="",B156=0,M156=""),"",M156/B156*10000)</f>
        <v/>
      </c>
      <c r="AH156" s="13">
        <f>IF(OR(C156="",C156=0),"",N156/C156*10000)</f>
        <v/>
      </c>
      <c r="AI156" s="13">
        <f>IF(OR(D156="",D156=0),"",O156/D156*10000)</f>
        <v/>
      </c>
      <c r="AJ156" s="11" t="n">
        <v>9592.893420177576</v>
      </c>
      <c r="AK156" s="11" t="n">
        <v>32916.44</v>
      </c>
      <c r="AL156" s="22">
        <f>AE156+AJ156+AK156</f>
        <v/>
      </c>
      <c r="AM156" s="22">
        <f>AE156</f>
        <v/>
      </c>
      <c r="AN156" s="14" t="n">
        <v>67943.64999999999</v>
      </c>
      <c r="AO156" s="15" t="n">
        <v>20.157727</v>
      </c>
      <c r="AP156" s="14" t="n">
        <v>21358930.3</v>
      </c>
      <c r="AQ156" s="14" t="n">
        <v>26120.6661</v>
      </c>
      <c r="AR156" s="14" t="n">
        <v>728.1965</v>
      </c>
      <c r="AS156" s="14" t="n"/>
      <c r="AT156" s="16" t="n">
        <v>416.0326518451826</v>
      </c>
      <c r="AU156" s="17" t="n">
        <v>0.0218589144</v>
      </c>
      <c r="AV156" s="14" t="n">
        <v>424819623.8729</v>
      </c>
      <c r="AW156" s="18" t="n">
        <v>60100000</v>
      </c>
      <c r="AX156" s="19" t="n">
        <v>21358930.3</v>
      </c>
      <c r="AY156" s="18" t="n">
        <v>3100000</v>
      </c>
      <c r="AZ156" s="18">
        <f>1000000000-999780675.4662</f>
        <v/>
      </c>
      <c r="BA156" s="20">
        <f>1000000000-AV156-AW156-AX156-AY156-AZ156</f>
        <v/>
      </c>
      <c r="BB156" s="21" t="n">
        <v>244.9</v>
      </c>
      <c r="BC156" s="21">
        <f>BA156/1000000-BB156</f>
        <v/>
      </c>
      <c r="BD156" s="22">
        <f>BA156*20.26</f>
        <v/>
      </c>
    </row>
    <row r="157">
      <c r="A157" s="10" t="n">
        <v>45779</v>
      </c>
      <c r="B157" s="11" t="n">
        <v>4184147211.787067</v>
      </c>
      <c r="C157" s="11" t="n"/>
      <c r="D157" s="11" t="n">
        <v>128977405</v>
      </c>
      <c r="E157" s="11" t="n"/>
      <c r="M157" s="22">
        <f>Z157/(1-R157)</f>
        <v/>
      </c>
      <c r="N157" s="11" t="n"/>
      <c r="O157" s="11" t="n">
        <v>16323</v>
      </c>
      <c r="P157" s="11" t="n"/>
      <c r="Q157" s="22">
        <f>M157+N157+O157+P157</f>
        <v/>
      </c>
      <c r="R157" s="12" t="n">
        <v>0.03</v>
      </c>
      <c r="S157" s="22">
        <f>M157*R157</f>
        <v/>
      </c>
      <c r="T157" s="22">
        <f>N157*R157</f>
        <v/>
      </c>
      <c r="U157" s="22">
        <f>(O157-V157)*R157</f>
        <v/>
      </c>
      <c r="V157" s="11" t="n">
        <v>4091</v>
      </c>
      <c r="W157" s="11" t="n"/>
      <c r="X157" s="22">
        <f>S157+T157+U157+V157+W157</f>
        <v/>
      </c>
      <c r="Y157" s="11" t="n"/>
      <c r="Z157" s="22">
        <f>AE157-AB157-AA157-AC157</f>
        <v/>
      </c>
      <c r="AA157" s="22">
        <f>N157-T157-W157</f>
        <v/>
      </c>
      <c r="AB157" s="22">
        <f>O157-V157-U157</f>
        <v/>
      </c>
      <c r="AC157" s="22">
        <f>P157</f>
        <v/>
      </c>
      <c r="AD157" s="23">
        <f>Z157+AA157+AB157+AC157</f>
        <v/>
      </c>
      <c r="AE157" s="11" t="n">
        <v>1529406.315</v>
      </c>
      <c r="AF157" s="24">
        <f>AD157-AE157</f>
        <v/>
      </c>
      <c r="AG157" s="13">
        <f>IF(OR(B157="",B157=0,M157=""),"",M157/B157*10000)</f>
        <v/>
      </c>
      <c r="AH157" s="13">
        <f>IF(OR(C157="",C157=0),"",N157/C157*10000)</f>
        <v/>
      </c>
      <c r="AI157" s="13">
        <f>IF(OR(D157="",D157=0),"",O157/D157*10000)</f>
        <v/>
      </c>
      <c r="AJ157" s="11" t="n">
        <v>7526.698336645159</v>
      </c>
      <c r="AK157" s="11" t="n">
        <v>0</v>
      </c>
      <c r="AL157" s="22">
        <f>AE157+AJ157+AK157</f>
        <v/>
      </c>
      <c r="AM157" s="22">
        <f>AE157</f>
        <v/>
      </c>
      <c r="AN157" s="14" t="n">
        <v>74079.22</v>
      </c>
      <c r="AO157" s="15" t="n">
        <v>20.645551</v>
      </c>
      <c r="AP157" s="14" t="n">
        <v>21433009.52</v>
      </c>
      <c r="AQ157" s="14" t="n">
        <v>26181.9903</v>
      </c>
      <c r="AR157" s="14" t="n">
        <v>938.5428000000001</v>
      </c>
      <c r="AS157" s="14" t="n"/>
      <c r="AT157" s="16" t="n">
        <v>416.475237669363</v>
      </c>
      <c r="AU157" s="17" t="n">
        <v>0.0218474332</v>
      </c>
      <c r="AV157" s="14" t="n">
        <v>424793441.8826</v>
      </c>
      <c r="AW157" s="18" t="n">
        <v>60100000</v>
      </c>
      <c r="AX157" s="19" t="n">
        <v>21433009.52</v>
      </c>
      <c r="AY157" s="18" t="n">
        <v>3100000</v>
      </c>
      <c r="AZ157" s="18">
        <f>1000000000-999779736.9233</f>
        <v/>
      </c>
      <c r="BA157" s="20">
        <f>1000000000-AV157-AW157-AX157-AY157-AZ157</f>
        <v/>
      </c>
      <c r="BB157" s="21" t="n">
        <v>244.9</v>
      </c>
      <c r="BC157" s="21">
        <f>BA157/1000000-BB157</f>
        <v/>
      </c>
      <c r="BD157" s="22">
        <f>BA157*20.03</f>
        <v/>
      </c>
    </row>
    <row r="158">
      <c r="A158" s="10" t="n">
        <v>45780</v>
      </c>
      <c r="B158" s="11" t="n">
        <v>2551647647.325788</v>
      </c>
      <c r="C158" s="11" t="n"/>
      <c r="D158" s="11" t="n">
        <v>102347437</v>
      </c>
      <c r="E158" s="11" t="n"/>
      <c r="M158" s="22">
        <f>Z158/(1-R158)</f>
        <v/>
      </c>
      <c r="N158" s="11" t="n"/>
      <c r="O158" s="11" t="n">
        <v>11691</v>
      </c>
      <c r="P158" s="11" t="n"/>
      <c r="Q158" s="22">
        <f>M158+N158+O158+P158</f>
        <v/>
      </c>
      <c r="R158" s="12" t="n">
        <v>0.03</v>
      </c>
      <c r="S158" s="22">
        <f>M158*R158</f>
        <v/>
      </c>
      <c r="T158" s="22">
        <f>N158*R158</f>
        <v/>
      </c>
      <c r="U158" s="22">
        <f>(O158-V158)*R158</f>
        <v/>
      </c>
      <c r="V158" s="11" t="n">
        <v>2373</v>
      </c>
      <c r="W158" s="11" t="n"/>
      <c r="X158" s="22">
        <f>S158+T158+U158+V158+W158</f>
        <v/>
      </c>
      <c r="Y158" s="11" t="n"/>
      <c r="Z158" s="22">
        <f>AE158-AB158-AA158-AC158</f>
        <v/>
      </c>
      <c r="AA158" s="22">
        <f>N158-T158-W158</f>
        <v/>
      </c>
      <c r="AB158" s="22">
        <f>O158-V158-U158</f>
        <v/>
      </c>
      <c r="AC158" s="22">
        <f>P158</f>
        <v/>
      </c>
      <c r="AD158" s="23">
        <f>Z158+AA158+AB158+AC158</f>
        <v/>
      </c>
      <c r="AE158" s="11" t="n">
        <v>845933.1692</v>
      </c>
      <c r="AF158" s="24">
        <f>AD158-AE158</f>
        <v/>
      </c>
      <c r="AG158" s="13">
        <f>IF(OR(B158="",B158=0,M158=""),"",M158/B158*10000)</f>
        <v/>
      </c>
      <c r="AH158" s="13">
        <f>IF(OR(C158="",C158=0),"",N158/C158*10000)</f>
        <v/>
      </c>
      <c r="AI158" s="13">
        <f>IF(OR(D158="",D158=0),"",O158/D158*10000)</f>
        <v/>
      </c>
      <c r="AJ158" s="11" t="n">
        <v>6881.604989870509</v>
      </c>
      <c r="AK158" s="11" t="n">
        <v>33029.81</v>
      </c>
      <c r="AL158" s="22">
        <f>AE158+AJ158+AK158</f>
        <v/>
      </c>
      <c r="AM158" s="22">
        <f>AE158</f>
        <v/>
      </c>
      <c r="AN158" s="14" t="n">
        <v>40789.66</v>
      </c>
      <c r="AO158" s="15" t="n">
        <v>20.738912</v>
      </c>
      <c r="AP158" s="14" t="n">
        <v>21473799.18</v>
      </c>
      <c r="AQ158" s="14" t="n">
        <v>26252.5339</v>
      </c>
      <c r="AR158" s="14" t="n">
        <v>570.6552</v>
      </c>
      <c r="AS158" s="14" t="n"/>
      <c r="AT158" s="16" t="n">
        <v>419.0512005753802</v>
      </c>
      <c r="AU158" s="17" t="n">
        <v>0.0217809685</v>
      </c>
      <c r="AV158" s="14" t="n">
        <v>424767189.3487</v>
      </c>
      <c r="AW158" s="18" t="n">
        <v>60100000</v>
      </c>
      <c r="AX158" s="19" t="n">
        <v>21473799.18</v>
      </c>
      <c r="AY158" s="18" t="n">
        <v>3100000</v>
      </c>
      <c r="AZ158" s="18">
        <f>1000000000-999779166.2681</f>
        <v/>
      </c>
      <c r="BA158" s="20">
        <f>1000000000-AV158-AW158-AX158-AY158-AZ158</f>
        <v/>
      </c>
      <c r="BB158" s="21" t="n">
        <v>244.9</v>
      </c>
      <c r="BC158" s="21">
        <f>BA158/1000000-BB158</f>
        <v/>
      </c>
      <c r="BD158" s="22">
        <f>BA158*20.72</f>
        <v/>
      </c>
    </row>
    <row r="159">
      <c r="A159" s="10" t="n">
        <v>45781</v>
      </c>
      <c r="B159" s="11" t="n">
        <v>3530006395.054267</v>
      </c>
      <c r="C159" s="11" t="n"/>
      <c r="D159" s="11" t="n">
        <v>87201050</v>
      </c>
      <c r="E159" s="11" t="n"/>
      <c r="M159" s="22">
        <f>Z159/(1-R159)</f>
        <v/>
      </c>
      <c r="N159" s="11" t="n"/>
      <c r="O159" s="11" t="n">
        <v>12341</v>
      </c>
      <c r="P159" s="11" t="n"/>
      <c r="Q159" s="22">
        <f>M159+N159+O159+P159</f>
        <v/>
      </c>
      <c r="R159" s="12" t="n">
        <v>0.03</v>
      </c>
      <c r="S159" s="22">
        <f>M159*R159</f>
        <v/>
      </c>
      <c r="T159" s="22">
        <f>N159*R159</f>
        <v/>
      </c>
      <c r="U159" s="22">
        <f>(O159-V159)*R159</f>
        <v/>
      </c>
      <c r="V159" s="11" t="n">
        <v>1768</v>
      </c>
      <c r="W159" s="11" t="n"/>
      <c r="X159" s="22">
        <f>S159+T159+U159+V159+W159</f>
        <v/>
      </c>
      <c r="Y159" s="11" t="n"/>
      <c r="Z159" s="22">
        <f>AE159-AB159-AA159-AC159</f>
        <v/>
      </c>
      <c r="AA159" s="22">
        <f>N159-T159-W159</f>
        <v/>
      </c>
      <c r="AB159" s="22">
        <f>O159-V159-U159</f>
        <v/>
      </c>
      <c r="AC159" s="22">
        <f>P159</f>
        <v/>
      </c>
      <c r="AD159" s="23">
        <f>Z159+AA159+AB159+AC159</f>
        <v/>
      </c>
      <c r="AE159" s="11" t="n">
        <v>549144.5098999999</v>
      </c>
      <c r="AF159" s="24">
        <f>AD159-AE159</f>
        <v/>
      </c>
      <c r="AG159" s="13">
        <f>IF(OR(B159="",B159=0,M159=""),"",M159/B159*10000)</f>
        <v/>
      </c>
      <c r="AH159" s="13">
        <f>IF(OR(C159="",C159=0),"",N159/C159*10000)</f>
        <v/>
      </c>
      <c r="AI159" s="13">
        <f>IF(OR(D159="",D159=0),"",O159/D159*10000)</f>
        <v/>
      </c>
      <c r="AJ159" s="11" t="n">
        <v>5290.833767148337</v>
      </c>
      <c r="AK159" s="11" t="n">
        <v>32933.78</v>
      </c>
      <c r="AL159" s="22">
        <f>AE159+AJ159+AK159</f>
        <v/>
      </c>
      <c r="AM159" s="22">
        <f>AE159</f>
        <v/>
      </c>
      <c r="AN159" s="14" t="n">
        <v>26778.23</v>
      </c>
      <c r="AO159" s="15" t="n">
        <v>20.507125</v>
      </c>
      <c r="AP159" s="14" t="n">
        <v>21500577.41</v>
      </c>
      <c r="AQ159" s="14" t="n">
        <v>26273.8404</v>
      </c>
      <c r="AR159" s="14" t="n">
        <v>416.9712</v>
      </c>
      <c r="AS159" s="14" t="n"/>
      <c r="AT159" s="16" t="n">
        <v>419.1299084509073</v>
      </c>
      <c r="AU159" s="17" t="n">
        <v>0.0217789473</v>
      </c>
      <c r="AV159" s="14" t="n">
        <v>424740915.5083</v>
      </c>
      <c r="AW159" s="18" t="n">
        <v>60100000</v>
      </c>
      <c r="AX159" s="19" t="n">
        <v>21500577.41</v>
      </c>
      <c r="AY159" s="18" t="n">
        <v>3100000</v>
      </c>
      <c r="AZ159" s="18">
        <f>1000000000-999778749.297</f>
        <v/>
      </c>
      <c r="BA159" s="20">
        <f>1000000000-AV159-AW159-AX159-AY159-AZ159</f>
        <v/>
      </c>
      <c r="BB159" s="21" t="n">
        <v>244.9</v>
      </c>
      <c r="BC159" s="21">
        <f>BA159/1000000-BB159</f>
        <v/>
      </c>
      <c r="BD159" s="22">
        <f>BA159*21.14</f>
        <v/>
      </c>
    </row>
    <row r="160">
      <c r="A160" s="10" t="n">
        <v>45782</v>
      </c>
      <c r="B160" s="11" t="n">
        <v>4567961400.616288</v>
      </c>
      <c r="C160" s="11" t="n"/>
      <c r="D160" s="11" t="n">
        <v>103321597</v>
      </c>
      <c r="E160" s="11" t="n"/>
      <c r="M160" s="22">
        <f>Z160/(1-R160)</f>
        <v/>
      </c>
      <c r="N160" s="11" t="n"/>
      <c r="O160" s="11" t="n">
        <v>27123</v>
      </c>
      <c r="P160" s="11" t="n"/>
      <c r="Q160" s="22">
        <f>M160+N160+O160+P160</f>
        <v/>
      </c>
      <c r="R160" s="12" t="n">
        <v>0.03</v>
      </c>
      <c r="S160" s="22">
        <f>M160*R160</f>
        <v/>
      </c>
      <c r="T160" s="22">
        <f>N160*R160</f>
        <v/>
      </c>
      <c r="U160" s="22">
        <f>(O160-V160)*R160</f>
        <v/>
      </c>
      <c r="V160" s="11" t="n">
        <v>4710</v>
      </c>
      <c r="W160" s="11" t="n"/>
      <c r="X160" s="22">
        <f>S160+T160+U160+V160+W160</f>
        <v/>
      </c>
      <c r="Y160" s="11" t="n"/>
      <c r="Z160" s="22">
        <f>AE160-AB160-AA160-AC160</f>
        <v/>
      </c>
      <c r="AA160" s="22">
        <f>N160-T160-W160</f>
        <v/>
      </c>
      <c r="AB160" s="22">
        <f>O160-V160-U160</f>
        <v/>
      </c>
      <c r="AC160" s="22">
        <f>P160</f>
        <v/>
      </c>
      <c r="AD160" s="23">
        <f>Z160+AA160+AB160+AC160</f>
        <v/>
      </c>
      <c r="AE160" s="11" t="n">
        <v>995251.4383</v>
      </c>
      <c r="AF160" s="24">
        <f>AD160-AE160</f>
        <v/>
      </c>
      <c r="AG160" s="13">
        <f>IF(OR(B160="",B160=0,M160=""),"",M160/B160*10000)</f>
        <v/>
      </c>
      <c r="AH160" s="13">
        <f>IF(OR(C160="",C160=0),"",N160/C160*10000)</f>
        <v/>
      </c>
      <c r="AI160" s="13">
        <f>IF(OR(D160="",D160=0),"",O160/D160*10000)</f>
        <v/>
      </c>
      <c r="AJ160" s="11" t="n">
        <v>2837.20646197264</v>
      </c>
      <c r="AK160" s="11" t="n">
        <v>0</v>
      </c>
      <c r="AL160" s="22">
        <f>AE160+AJ160+AK160</f>
        <v/>
      </c>
      <c r="AM160" s="22">
        <f>AE160</f>
        <v/>
      </c>
      <c r="AN160" s="14" t="n">
        <v>49246.62</v>
      </c>
      <c r="AO160" s="15" t="n">
        <v>20.209538</v>
      </c>
      <c r="AP160" s="14" t="n">
        <v>21549824.03</v>
      </c>
      <c r="AQ160" s="14" t="n">
        <v>26237.5716</v>
      </c>
      <c r="AR160" s="14" t="n">
        <v>332.2736</v>
      </c>
      <c r="AS160" s="14" t="n"/>
      <c r="AT160" s="16" t="n">
        <v>419.2795494584253</v>
      </c>
      <c r="AU160" s="17" t="n">
        <v>0.0217438518</v>
      </c>
      <c r="AV160" s="14" t="n">
        <v>424714677.9367</v>
      </c>
      <c r="AW160" s="18" t="n">
        <v>60100000</v>
      </c>
      <c r="AX160" s="19" t="n">
        <v>21549824.03</v>
      </c>
      <c r="AY160" s="18" t="n">
        <v>3100000</v>
      </c>
      <c r="AZ160" s="18">
        <f>1000000000-999778417.0234</f>
        <v/>
      </c>
      <c r="BA160" s="20">
        <f>1000000000-AV160-AW160-AX160-AY160-AZ160</f>
        <v/>
      </c>
      <c r="BB160" s="21" t="n">
        <v>244.9</v>
      </c>
      <c r="BC160" s="21">
        <f>BA160/1000000-BB160</f>
        <v/>
      </c>
      <c r="BD160" s="22">
        <f>BA160*19.94</f>
        <v/>
      </c>
    </row>
    <row r="161">
      <c r="A161" s="10" t="n">
        <v>45783</v>
      </c>
      <c r="B161" s="11" t="n">
        <v>4993697122.463089</v>
      </c>
      <c r="C161" s="11" t="n"/>
      <c r="D161" s="11" t="n">
        <v>148487227</v>
      </c>
      <c r="E161" s="11" t="n"/>
      <c r="M161" s="22">
        <f>Z161/(1-R161)</f>
        <v/>
      </c>
      <c r="N161" s="11" t="n"/>
      <c r="O161" s="11" t="n">
        <v>32941</v>
      </c>
      <c r="P161" s="11" t="n"/>
      <c r="Q161" s="22">
        <f>M161+N161+O161+P161</f>
        <v/>
      </c>
      <c r="R161" s="12" t="n">
        <v>0.03</v>
      </c>
      <c r="S161" s="22">
        <f>M161*R161</f>
        <v/>
      </c>
      <c r="T161" s="22">
        <f>N161*R161</f>
        <v/>
      </c>
      <c r="U161" s="22">
        <f>(O161-V161)*R161</f>
        <v/>
      </c>
      <c r="V161" s="11" t="n">
        <v>6016</v>
      </c>
      <c r="W161" s="11" t="n"/>
      <c r="X161" s="22">
        <f>S161+T161+U161+V161+W161</f>
        <v/>
      </c>
      <c r="Y161" s="11" t="n"/>
      <c r="Z161" s="22">
        <f>AE161-AB161-AA161-AC161</f>
        <v/>
      </c>
      <c r="AA161" s="22">
        <f>N161-T161-W161</f>
        <v/>
      </c>
      <c r="AB161" s="22">
        <f>O161-V161-U161</f>
        <v/>
      </c>
      <c r="AC161" s="22">
        <f>P161</f>
        <v/>
      </c>
      <c r="AD161" s="23">
        <f>Z161+AA161+AB161+AC161</f>
        <v/>
      </c>
      <c r="AE161" s="11" t="n">
        <v>1128924.442</v>
      </c>
      <c r="AF161" s="24">
        <f>AD161-AE161</f>
        <v/>
      </c>
      <c r="AG161" s="13">
        <f>IF(OR(B161="",B161=0,M161=""),"",M161/B161*10000)</f>
        <v/>
      </c>
      <c r="AH161" s="13">
        <f>IF(OR(C161="",C161=0),"",N161/C161*10000)</f>
        <v/>
      </c>
      <c r="AI161" s="13">
        <f>IF(OR(D161="",D161=0),"",O161/D161*10000)</f>
        <v/>
      </c>
      <c r="AJ161" s="11" t="n">
        <v>4469.320161361423</v>
      </c>
      <c r="AK161" s="11" t="n">
        <v>34550.83</v>
      </c>
      <c r="AL161" s="22">
        <f>AE161+AJ161+AK161</f>
        <v/>
      </c>
      <c r="AM161" s="22">
        <f>AE161</f>
        <v/>
      </c>
      <c r="AN161" s="14" t="n">
        <v>56072.29</v>
      </c>
      <c r="AO161" s="15" t="n">
        <v>20.133375</v>
      </c>
      <c r="AP161" s="14" t="n">
        <v>21605896.32</v>
      </c>
      <c r="AQ161" s="14" t="n">
        <v>26248.6152</v>
      </c>
      <c r="AR161" s="14" t="n">
        <v>729.029</v>
      </c>
      <c r="AS161" s="14" t="n"/>
      <c r="AT161" s="16" t="n">
        <v>419.9135515100631</v>
      </c>
      <c r="AU161" s="17" t="n">
        <v>0.0217276231</v>
      </c>
      <c r="AV161" s="14" t="n">
        <v>424688429.3215</v>
      </c>
      <c r="AW161" s="18" t="n">
        <v>60100000</v>
      </c>
      <c r="AX161" s="19" t="n">
        <v>21605896.32</v>
      </c>
      <c r="AY161" s="18" t="n">
        <v>3100000</v>
      </c>
      <c r="AZ161" s="18">
        <f>1000000000-999777687.9944</f>
        <v/>
      </c>
      <c r="BA161" s="20">
        <f>1000000000-AV161-AW161-AX161-AY161-AZ161</f>
        <v/>
      </c>
      <c r="BB161" s="21" t="n">
        <v>244.9</v>
      </c>
      <c r="BC161" s="21">
        <f>BA161/1000000-BB161</f>
        <v/>
      </c>
      <c r="BD161" s="22">
        <f>BA161*20.2</f>
        <v/>
      </c>
    </row>
    <row r="162">
      <c r="A162" s="10" t="n">
        <v>45784</v>
      </c>
      <c r="B162" s="11" t="n">
        <v>5302496590.749238</v>
      </c>
      <c r="C162" s="11" t="n"/>
      <c r="D162" s="11" t="n">
        <v>123317603</v>
      </c>
      <c r="E162" s="11" t="n"/>
      <c r="M162" s="22">
        <f>Z162/(1-R162)</f>
        <v/>
      </c>
      <c r="N162" s="11" t="n"/>
      <c r="O162" s="11" t="n">
        <v>29262</v>
      </c>
      <c r="P162" s="11" t="n"/>
      <c r="Q162" s="22">
        <f>M162+N162+O162+P162</f>
        <v/>
      </c>
      <c r="R162" s="12" t="n">
        <v>0.03</v>
      </c>
      <c r="S162" s="22">
        <f>M162*R162</f>
        <v/>
      </c>
      <c r="T162" s="22">
        <f>N162*R162</f>
        <v/>
      </c>
      <c r="U162" s="22">
        <f>(O162-V162)*R162</f>
        <v/>
      </c>
      <c r="V162" s="11" t="n">
        <v>9422</v>
      </c>
      <c r="W162" s="11" t="n"/>
      <c r="X162" s="22">
        <f>S162+T162+U162+V162+W162</f>
        <v/>
      </c>
      <c r="Y162" s="11" t="n"/>
      <c r="Z162" s="22">
        <f>AE162-AB162-AA162-AC162</f>
        <v/>
      </c>
      <c r="AA162" s="22">
        <f>N162-T162-W162</f>
        <v/>
      </c>
      <c r="AB162" s="22">
        <f>O162-V162-U162</f>
        <v/>
      </c>
      <c r="AC162" s="22">
        <f>P162</f>
        <v/>
      </c>
      <c r="AD162" s="23">
        <f>Z162+AA162+AB162+AC162</f>
        <v/>
      </c>
      <c r="AE162" s="11" t="n">
        <v>1645504.587</v>
      </c>
      <c r="AF162" s="24">
        <f>AD162-AE162</f>
        <v/>
      </c>
      <c r="AG162" s="13">
        <f>IF(OR(B162="",B162=0,M162=""),"",M162/B162*10000)</f>
        <v/>
      </c>
      <c r="AH162" s="13">
        <f>IF(OR(C162="",C162=0),"",N162/C162*10000)</f>
        <v/>
      </c>
      <c r="AI162" s="13">
        <f>IF(OR(D162="",D162=0),"",O162/D162*10000)</f>
        <v/>
      </c>
      <c r="AJ162" s="11" t="n">
        <v>4920.589626436782</v>
      </c>
      <c r="AK162" s="11" t="n">
        <v>25840.79</v>
      </c>
      <c r="AL162" s="22">
        <f>AE162+AJ162+AK162</f>
        <v/>
      </c>
      <c r="AM162" s="22">
        <f>AE162</f>
        <v/>
      </c>
      <c r="AN162" s="14" t="n">
        <v>78353.91</v>
      </c>
      <c r="AO162" s="15" t="n">
        <v>21.000925</v>
      </c>
      <c r="AP162" s="14" t="n">
        <v>21684250.23</v>
      </c>
      <c r="AQ162" s="14" t="n">
        <v>26286.8993</v>
      </c>
      <c r="AR162" s="14" t="n">
        <v>970.6196</v>
      </c>
      <c r="AS162" s="14" t="n"/>
      <c r="AT162" s="16" t="n">
        <v>419.9238654737435</v>
      </c>
      <c r="AU162" s="17" t="n">
        <v>0.0217273601</v>
      </c>
      <c r="AV162" s="14" t="n">
        <v>424662142.4221</v>
      </c>
      <c r="AW162" s="18" t="n">
        <v>60100000</v>
      </c>
      <c r="AX162" s="19" t="n">
        <v>21684250.23</v>
      </c>
      <c r="AY162" s="18" t="n">
        <v>3100000</v>
      </c>
      <c r="AZ162" s="18">
        <f>1000000000-999776717.3749</f>
        <v/>
      </c>
      <c r="BA162" s="20">
        <f>1000000000-AV162-AW162-AX162-AY162-AZ162</f>
        <v/>
      </c>
      <c r="BB162" s="21" t="n">
        <v>244.9</v>
      </c>
      <c r="BC162" s="21">
        <f>BA162/1000000-BB162</f>
        <v/>
      </c>
      <c r="BD162" s="22">
        <f>BA162*21.03</f>
        <v/>
      </c>
    </row>
    <row r="163">
      <c r="A163" s="10" t="n">
        <v>45785</v>
      </c>
      <c r="B163" s="11" t="n">
        <v>10744450407.59778</v>
      </c>
      <c r="C163" s="11" t="n"/>
      <c r="D163" s="11" t="n">
        <v>238514707</v>
      </c>
      <c r="E163" s="11" t="n"/>
      <c r="M163" s="22">
        <f>Z163/(1-R163)</f>
        <v/>
      </c>
      <c r="N163" s="11" t="n"/>
      <c r="O163" s="11" t="n">
        <v>53413</v>
      </c>
      <c r="P163" s="11" t="n"/>
      <c r="Q163" s="22">
        <f>M163+N163+O163+P163</f>
        <v/>
      </c>
      <c r="R163" s="12" t="n">
        <v>0.03</v>
      </c>
      <c r="S163" s="22">
        <f>M163*R163</f>
        <v/>
      </c>
      <c r="T163" s="22">
        <f>N163*R163</f>
        <v/>
      </c>
      <c r="U163" s="22">
        <f>(O163-V163)*R163</f>
        <v/>
      </c>
      <c r="V163" s="11" t="n">
        <v>15552</v>
      </c>
      <c r="W163" s="11" t="n"/>
      <c r="X163" s="22">
        <f>S163+T163+U163+V163+W163</f>
        <v/>
      </c>
      <c r="Y163" s="11" t="n"/>
      <c r="Z163" s="22">
        <f>AE163-AB163-AA163-AC163</f>
        <v/>
      </c>
      <c r="AA163" s="22">
        <f>N163-T163-W163</f>
        <v/>
      </c>
      <c r="AB163" s="22">
        <f>O163-V163-U163</f>
        <v/>
      </c>
      <c r="AC163" s="22">
        <f>P163</f>
        <v/>
      </c>
      <c r="AD163" s="23">
        <f>Z163+AA163+AB163+AC163</f>
        <v/>
      </c>
      <c r="AE163" s="11" t="n">
        <v>2070058.595</v>
      </c>
      <c r="AF163" s="24">
        <f>AD163-AE163</f>
        <v/>
      </c>
      <c r="AG163" s="13">
        <f>IF(OR(B163="",B163=0,M163=""),"",M163/B163*10000)</f>
        <v/>
      </c>
      <c r="AH163" s="13">
        <f>IF(OR(C163="",C163=0),"",N163/C163*10000)</f>
        <v/>
      </c>
      <c r="AI163" s="13">
        <f>IF(OR(D163="",D163=0),"",O163/D163*10000)</f>
        <v/>
      </c>
      <c r="AJ163" s="11" t="n">
        <v>4665.805506652856</v>
      </c>
      <c r="AK163" s="11" t="n">
        <v>39039.54</v>
      </c>
      <c r="AL163" s="22">
        <f>AE163+AJ163+AK163</f>
        <v/>
      </c>
      <c r="AM163" s="22">
        <f>AE163</f>
        <v/>
      </c>
      <c r="AN163" s="14" t="n">
        <v>94408.36</v>
      </c>
      <c r="AO163" s="15" t="n">
        <v>21.926645</v>
      </c>
      <c r="AP163" s="14" t="n">
        <v>21778658.59</v>
      </c>
      <c r="AQ163" s="14" t="n">
        <v>26293.0763</v>
      </c>
      <c r="AR163" s="14" t="n">
        <v>779.5515</v>
      </c>
      <c r="AS163" s="14" t="n"/>
      <c r="AT163" s="16" t="n">
        <v>420.0343301124731</v>
      </c>
      <c r="AU163" s="17" t="n">
        <v>0.0217245363</v>
      </c>
      <c r="AV163" s="14" t="n">
        <v>424635849.3458</v>
      </c>
      <c r="AW163" s="18" t="n">
        <v>60100000</v>
      </c>
      <c r="AX163" s="19" t="n">
        <v>21778658.59</v>
      </c>
      <c r="AY163" s="18" t="n">
        <v>3100000</v>
      </c>
      <c r="AZ163" s="18">
        <f>1000000000-999775937.8233</f>
        <v/>
      </c>
      <c r="BA163" s="20">
        <f>1000000000-AV163-AW163-AX163-AY163-AZ163</f>
        <v/>
      </c>
      <c r="BB163" s="21" t="n">
        <v>244.9</v>
      </c>
      <c r="BC163" s="21">
        <f>BA163/1000000-BB163</f>
        <v/>
      </c>
      <c r="BD163" s="22">
        <f>BA163*21.12</f>
        <v/>
      </c>
    </row>
    <row r="164">
      <c r="A164" s="10" t="n">
        <v>45786</v>
      </c>
      <c r="B164" s="11" t="n">
        <v>9205104235.407499</v>
      </c>
      <c r="C164" s="11" t="n"/>
      <c r="D164" s="11" t="n">
        <v>187434250</v>
      </c>
      <c r="E164" s="11" t="n"/>
      <c r="M164" s="22">
        <f>Z164/(1-R164)</f>
        <v/>
      </c>
      <c r="N164" s="11" t="n"/>
      <c r="O164" s="11" t="n">
        <v>63153</v>
      </c>
      <c r="P164" s="11" t="n"/>
      <c r="Q164" s="22">
        <f>M164+N164+O164+P164</f>
        <v/>
      </c>
      <c r="R164" s="12" t="n">
        <v>0.03</v>
      </c>
      <c r="S164" s="22">
        <f>M164*R164</f>
        <v/>
      </c>
      <c r="T164" s="22">
        <f>N164*R164</f>
        <v/>
      </c>
      <c r="U164" s="22">
        <f>(O164-V164)*R164</f>
        <v/>
      </c>
      <c r="V164" s="11" t="n">
        <v>8090</v>
      </c>
      <c r="W164" s="11" t="n"/>
      <c r="X164" s="22">
        <f>S164+T164+U164+V164+W164</f>
        <v/>
      </c>
      <c r="Y164" s="11" t="n"/>
      <c r="Z164" s="22">
        <f>AE164-AB164-AA164-AC164</f>
        <v/>
      </c>
      <c r="AA164" s="22">
        <f>N164-T164-W164</f>
        <v/>
      </c>
      <c r="AB164" s="22">
        <f>O164-V164-U164</f>
        <v/>
      </c>
      <c r="AC164" s="22">
        <f>P164</f>
        <v/>
      </c>
      <c r="AD164" s="23">
        <f>Z164+AA164+AB164+AC164</f>
        <v/>
      </c>
      <c r="AE164" s="11" t="n">
        <v>3722273.751</v>
      </c>
      <c r="AF164" s="24">
        <f>AD164-AE164</f>
        <v/>
      </c>
      <c r="AG164" s="13">
        <f>IF(OR(B164="",B164=0,M164=""),"",M164/B164*10000)</f>
        <v/>
      </c>
      <c r="AH164" s="13">
        <f>IF(OR(C164="",C164=0),"",N164/C164*10000)</f>
        <v/>
      </c>
      <c r="AI164" s="13">
        <f>IF(OR(D164="",D164=0),"",O164/D164*10000)</f>
        <v/>
      </c>
      <c r="AJ164" s="11" t="n">
        <v>4421.023417596251</v>
      </c>
      <c r="AK164" s="11" t="n">
        <v>49456.56</v>
      </c>
      <c r="AL164" s="22">
        <f>AE164+AJ164+AK164</f>
        <v/>
      </c>
      <c r="AM164" s="22">
        <f>AE164</f>
        <v/>
      </c>
      <c r="AN164" s="14" t="n">
        <v>150005.11</v>
      </c>
      <c r="AO164" s="15" t="n">
        <v>24.814313</v>
      </c>
      <c r="AP164" s="14" t="n">
        <v>21928663.7</v>
      </c>
      <c r="AQ164" s="14" t="n">
        <v>26286.2467</v>
      </c>
      <c r="AR164" s="14" t="n">
        <v>2047.9404</v>
      </c>
      <c r="AS164" s="14" t="n"/>
      <c r="AT164" s="16" t="n">
        <v>420.257813132488</v>
      </c>
      <c r="AU164" s="17" t="n">
        <v>0.0217188269</v>
      </c>
      <c r="AV164" s="14" t="n">
        <v>424609563.0991</v>
      </c>
      <c r="AW164" s="18" t="n">
        <v>60100000</v>
      </c>
      <c r="AX164" s="19" t="n">
        <v>21928663.7</v>
      </c>
      <c r="AY164" s="18" t="n">
        <v>3100000</v>
      </c>
      <c r="AZ164" s="18">
        <f>1000000000-999773889.883</f>
        <v/>
      </c>
      <c r="BA164" s="20">
        <f>1000000000-AV164-AW164-AX164-AY164-AZ164</f>
        <v/>
      </c>
      <c r="BB164" s="21" t="n">
        <v>244.9</v>
      </c>
      <c r="BC164" s="21">
        <f>BA164/1000000-BB164</f>
        <v/>
      </c>
      <c r="BD164" s="22">
        <f>BA164*23.17</f>
        <v/>
      </c>
    </row>
    <row r="165">
      <c r="A165" s="10" t="n">
        <v>45787</v>
      </c>
      <c r="B165" s="11" t="n">
        <v>5771644873.068854</v>
      </c>
      <c r="C165" s="11" t="n"/>
      <c r="D165" s="11" t="n">
        <v>183465847</v>
      </c>
      <c r="E165" s="11" t="n"/>
      <c r="M165" s="22">
        <f>Z165/(1-R165)</f>
        <v/>
      </c>
      <c r="N165" s="11" t="n"/>
      <c r="O165" s="11" t="n">
        <v>37161</v>
      </c>
      <c r="P165" s="11" t="n"/>
      <c r="Q165" s="22">
        <f>M165+N165+O165+P165</f>
        <v/>
      </c>
      <c r="R165" s="12" t="n">
        <v>0.03</v>
      </c>
      <c r="S165" s="22">
        <f>M165*R165</f>
        <v/>
      </c>
      <c r="T165" s="22">
        <f>N165*R165</f>
        <v/>
      </c>
      <c r="U165" s="22">
        <f>(O165-V165)*R165</f>
        <v/>
      </c>
      <c r="V165" s="11" t="n">
        <v>9087</v>
      </c>
      <c r="W165" s="11" t="n"/>
      <c r="X165" s="22">
        <f>S165+T165+U165+V165+W165</f>
        <v/>
      </c>
      <c r="Y165" s="11" t="n"/>
      <c r="Z165" s="22">
        <f>AE165-AB165-AA165-AC165</f>
        <v/>
      </c>
      <c r="AA165" s="22">
        <f>N165-T165-W165</f>
        <v/>
      </c>
      <c r="AB165" s="22">
        <f>O165-V165-U165</f>
        <v/>
      </c>
      <c r="AC165" s="22">
        <f>P165</f>
        <v/>
      </c>
      <c r="AD165" s="23">
        <f>Z165+AA165+AB165+AC165</f>
        <v/>
      </c>
      <c r="AE165" s="11" t="n">
        <v>1982994.49</v>
      </c>
      <c r="AF165" s="24">
        <f>AD165-AE165</f>
        <v/>
      </c>
      <c r="AG165" s="13">
        <f>IF(OR(B165="",B165=0,M165=""),"",M165/B165*10000)</f>
        <v/>
      </c>
      <c r="AH165" s="13">
        <f>IF(OR(C165="",C165=0),"",N165/C165*10000)</f>
        <v/>
      </c>
      <c r="AI165" s="13">
        <f>IF(OR(D165="",D165=0),"",O165/D165*10000)</f>
        <v/>
      </c>
      <c r="AJ165" s="11" t="n">
        <v>3198.978199177561</v>
      </c>
      <c r="AK165" s="11" t="n">
        <v>0</v>
      </c>
      <c r="AL165" s="22">
        <f>AE165+AJ165+AK165</f>
        <v/>
      </c>
      <c r="AM165" s="22">
        <f>AE165</f>
        <v/>
      </c>
      <c r="AN165" s="14" t="n">
        <v>78879.00999999999</v>
      </c>
      <c r="AO165" s="15" t="n">
        <v>25.139698</v>
      </c>
      <c r="AP165" s="14" t="n">
        <v>22007542.71</v>
      </c>
      <c r="AQ165" s="14" t="n">
        <v>26264.9266</v>
      </c>
      <c r="AR165" s="14" t="n">
        <v>1889.7992</v>
      </c>
      <c r="AS165" s="14" t="n"/>
      <c r="AT165" s="16" t="n">
        <v>422.834410235724</v>
      </c>
      <c r="AU165" s="17" t="n">
        <v>0.0216533258</v>
      </c>
      <c r="AV165" s="14" t="n">
        <v>424583298.1725</v>
      </c>
      <c r="AW165" s="18" t="n">
        <v>60100000</v>
      </c>
      <c r="AX165" s="19" t="n">
        <v>22007542.71</v>
      </c>
      <c r="AY165" s="18" t="n">
        <v>3100000</v>
      </c>
      <c r="AZ165" s="18">
        <f>1000000000-999772000.0838</f>
        <v/>
      </c>
      <c r="BA165" s="20">
        <f>1000000000-AV165-AW165-AX165-AY165-AZ165</f>
        <v/>
      </c>
      <c r="BB165" s="21" t="n">
        <v>244.9</v>
      </c>
      <c r="BC165" s="21">
        <f>BA165/1000000-BB165</f>
        <v/>
      </c>
      <c r="BD165" s="22">
        <f>BA165*24.93</f>
        <v/>
      </c>
    </row>
    <row r="166">
      <c r="A166" s="10" t="n">
        <v>45788</v>
      </c>
      <c r="B166" s="11" t="n">
        <v>6586463067.025468</v>
      </c>
      <c r="C166" s="11" t="n"/>
      <c r="D166" s="11" t="n">
        <v>203456685</v>
      </c>
      <c r="E166" s="11" t="n"/>
      <c r="M166" s="22">
        <f>Z166/(1-R166)</f>
        <v/>
      </c>
      <c r="N166" s="11" t="n"/>
      <c r="O166" s="11" t="n">
        <v>46917</v>
      </c>
      <c r="P166" s="11" t="n"/>
      <c r="Q166" s="22">
        <f>M166+N166+O166+P166</f>
        <v/>
      </c>
      <c r="R166" s="12" t="n">
        <v>0.03</v>
      </c>
      <c r="S166" s="22">
        <f>M166*R166</f>
        <v/>
      </c>
      <c r="T166" s="22">
        <f>N166*R166</f>
        <v/>
      </c>
      <c r="U166" s="22">
        <f>(O166-V166)*R166</f>
        <v/>
      </c>
      <c r="V166" s="11" t="n">
        <v>5365</v>
      </c>
      <c r="W166" s="11" t="n"/>
      <c r="X166" s="22">
        <f>S166+T166+U166+V166+W166</f>
        <v/>
      </c>
      <c r="Y166" s="11" t="n"/>
      <c r="Z166" s="22">
        <f>AE166-AB166-AA166-AC166</f>
        <v/>
      </c>
      <c r="AA166" s="22">
        <f>N166-T166-W166</f>
        <v/>
      </c>
      <c r="AB166" s="22">
        <f>O166-V166-U166</f>
        <v/>
      </c>
      <c r="AC166" s="22">
        <f>P166</f>
        <v/>
      </c>
      <c r="AD166" s="23">
        <f>Z166+AA166+AB166+AC166</f>
        <v/>
      </c>
      <c r="AE166" s="11" t="n">
        <v>2151725.798</v>
      </c>
      <c r="AF166" s="24">
        <f>AD166-AE166</f>
        <v/>
      </c>
      <c r="AG166" s="13">
        <f>IF(OR(B166="",B166=0,M166=""),"",M166/B166*10000)</f>
        <v/>
      </c>
      <c r="AH166" s="13">
        <f>IF(OR(C166="",C166=0),"",N166/C166*10000)</f>
        <v/>
      </c>
      <c r="AI166" s="13">
        <f>IF(OR(D166="",D166=0),"",O166/D166*10000)</f>
        <v/>
      </c>
      <c r="AJ166" s="11" t="n">
        <v>4712.375812118085</v>
      </c>
      <c r="AK166" s="11" t="n">
        <v>61482.8</v>
      </c>
      <c r="AL166" s="22">
        <f>AE166+AJ166+AK166</f>
        <v/>
      </c>
      <c r="AM166" s="22">
        <f>AE166</f>
        <v/>
      </c>
      <c r="AN166" s="14" t="n">
        <v>85990.77</v>
      </c>
      <c r="AO166" s="15" t="n">
        <v>25.022753</v>
      </c>
      <c r="AP166" s="14" t="n">
        <v>22093533.48</v>
      </c>
      <c r="AQ166" s="14" t="n">
        <v>26383.8354</v>
      </c>
      <c r="AR166" s="14" t="n">
        <v>886.5262</v>
      </c>
      <c r="AS166" s="14" t="n"/>
      <c r="AT166" s="16" t="n">
        <v>422.5366604694323</v>
      </c>
      <c r="AU166" s="17" t="n">
        <v>0.0216608647</v>
      </c>
      <c r="AV166" s="14" t="n">
        <v>424556914.3371</v>
      </c>
      <c r="AW166" s="18" t="n">
        <v>60100000</v>
      </c>
      <c r="AX166" s="19" t="n">
        <v>22093533.48</v>
      </c>
      <c r="AY166" s="18" t="n">
        <v>3100000</v>
      </c>
      <c r="AZ166" s="18">
        <f>1000000000-999771113.5575</f>
        <v/>
      </c>
      <c r="BA166" s="20">
        <f>1000000000-AV166-AW166-AX166-AY166-AZ166</f>
        <v/>
      </c>
      <c r="BB166" s="21" t="n">
        <v>244.9</v>
      </c>
      <c r="BC166" s="21">
        <f>BA166/1000000-BB166</f>
        <v/>
      </c>
      <c r="BD166" s="22">
        <f>BA166*26.25</f>
        <v/>
      </c>
    </row>
    <row r="167">
      <c r="A167" s="10" t="n">
        <v>45789</v>
      </c>
      <c r="B167" s="11" t="n">
        <v>11465187013.32223</v>
      </c>
      <c r="C167" s="11" t="n"/>
      <c r="D167" s="11" t="n">
        <v>218167542</v>
      </c>
      <c r="E167" s="11" t="n"/>
      <c r="M167" s="22">
        <f>Z167/(1-R167)</f>
        <v/>
      </c>
      <c r="N167" s="11" t="n"/>
      <c r="O167" s="11" t="n">
        <v>47049</v>
      </c>
      <c r="P167" s="11" t="n"/>
      <c r="Q167" s="22">
        <f>M167+N167+O167+P167</f>
        <v/>
      </c>
      <c r="R167" s="12" t="n">
        <v>0.03</v>
      </c>
      <c r="S167" s="22">
        <f>M167*R167</f>
        <v/>
      </c>
      <c r="T167" s="22">
        <f>N167*R167</f>
        <v/>
      </c>
      <c r="U167" s="22">
        <f>(O167-V167)*R167</f>
        <v/>
      </c>
      <c r="V167" s="11" t="n">
        <v>8970</v>
      </c>
      <c r="W167" s="11" t="n"/>
      <c r="X167" s="22">
        <f>S167+T167+U167+V167+W167</f>
        <v/>
      </c>
      <c r="Y167" s="11" t="n"/>
      <c r="Z167" s="22">
        <f>AE167-AB167-AA167-AC167</f>
        <v/>
      </c>
      <c r="AA167" s="22">
        <f>N167-T167-W167</f>
        <v/>
      </c>
      <c r="AB167" s="22">
        <f>O167-V167-U167</f>
        <v/>
      </c>
      <c r="AC167" s="22">
        <f>P167</f>
        <v/>
      </c>
      <c r="AD167" s="23">
        <f>Z167+AA167+AB167+AC167</f>
        <v/>
      </c>
      <c r="AE167" s="11" t="n">
        <v>2013924.852</v>
      </c>
      <c r="AF167" s="24">
        <f>AD167-AE167</f>
        <v/>
      </c>
      <c r="AG167" s="13">
        <f>IF(OR(B167="",B167=0,M167=""),"",M167/B167*10000)</f>
        <v/>
      </c>
      <c r="AH167" s="13">
        <f>IF(OR(C167="",C167=0),"",N167/C167*10000)</f>
        <v/>
      </c>
      <c r="AI167" s="13">
        <f>IF(OR(D167="",D167=0),"",O167/D167*10000)</f>
        <v/>
      </c>
      <c r="AJ167" s="11" t="n">
        <v>5249.561312008317</v>
      </c>
      <c r="AK167" s="11" t="n">
        <v>34871.23</v>
      </c>
      <c r="AL167" s="22">
        <f>AE167+AJ167+AK167</f>
        <v/>
      </c>
      <c r="AM167" s="22">
        <f>AE167</f>
        <v/>
      </c>
      <c r="AN167" s="14" t="n">
        <v>81748.81</v>
      </c>
      <c r="AO167" s="15" t="n">
        <v>24.635525</v>
      </c>
      <c r="AP167" s="14" t="n">
        <v>22175282.29</v>
      </c>
      <c r="AQ167" s="14" t="n">
        <v>26327.3026</v>
      </c>
      <c r="AR167" s="14" t="n">
        <v>1125.8566</v>
      </c>
      <c r="AS167" s="14" t="n"/>
      <c r="AT167" s="16" t="n">
        <v>422.1441046637088</v>
      </c>
      <c r="AU167" s="17" t="n">
        <v>0.0216708146</v>
      </c>
      <c r="AV167" s="14" t="n">
        <v>424530587.0345</v>
      </c>
      <c r="AW167" s="18" t="n">
        <v>60100000</v>
      </c>
      <c r="AX167" s="19" t="n">
        <v>22175282.29</v>
      </c>
      <c r="AY167" s="18" t="n">
        <v>3100000</v>
      </c>
      <c r="AZ167" s="18">
        <f>1000000000-999769987.701</f>
        <v/>
      </c>
      <c r="BA167" s="20">
        <f>1000000000-AV167-AW167-AX167-AY167-AZ167</f>
        <v/>
      </c>
      <c r="BB167" s="21" t="n">
        <v>244.9</v>
      </c>
      <c r="BC167" s="21">
        <f>BA167/1000000-BB167</f>
        <v/>
      </c>
      <c r="BD167" s="22">
        <f>BA167*25.03</f>
        <v/>
      </c>
    </row>
    <row r="168">
      <c r="A168" s="10" t="n">
        <v>45790</v>
      </c>
      <c r="B168" s="11" t="n">
        <v>8383620368.11664</v>
      </c>
      <c r="C168" s="11" t="n"/>
      <c r="D168" s="11" t="n">
        <v>187661133</v>
      </c>
      <c r="E168" s="11" t="n"/>
      <c r="M168" s="22">
        <f>Z168/(1-R168)</f>
        <v/>
      </c>
      <c r="N168" s="11" t="n"/>
      <c r="O168" s="11" t="n">
        <v>42000</v>
      </c>
      <c r="P168" s="11" t="n"/>
      <c r="Q168" s="22">
        <f>M168+N168+O168+P168</f>
        <v/>
      </c>
      <c r="R168" s="12" t="n">
        <v>0.03</v>
      </c>
      <c r="S168" s="22">
        <f>M168*R168</f>
        <v/>
      </c>
      <c r="T168" s="22">
        <f>N168*R168</f>
        <v/>
      </c>
      <c r="U168" s="22">
        <f>(O168-V168)*R168</f>
        <v/>
      </c>
      <c r="V168" s="11" t="n">
        <v>7437</v>
      </c>
      <c r="W168" s="11" t="n"/>
      <c r="X168" s="22">
        <f>S168+T168+U168+V168+W168</f>
        <v/>
      </c>
      <c r="Y168" s="11" t="n"/>
      <c r="Z168" s="22">
        <f>AE168-AB168-AA168-AC168</f>
        <v/>
      </c>
      <c r="AA168" s="22">
        <f>N168-T168-W168</f>
        <v/>
      </c>
      <c r="AB168" s="22">
        <f>O168-V168-U168</f>
        <v/>
      </c>
      <c r="AC168" s="22">
        <f>P168</f>
        <v/>
      </c>
      <c r="AD168" s="23">
        <f>Z168+AA168+AB168+AC168</f>
        <v/>
      </c>
      <c r="AE168" s="11" t="n">
        <v>2931446.112</v>
      </c>
      <c r="AF168" s="24">
        <f>AD168-AE168</f>
        <v/>
      </c>
      <c r="AG168" s="13">
        <f>IF(OR(B168="",B168=0,M168=""),"",M168/B168*10000)</f>
        <v/>
      </c>
      <c r="AH168" s="13">
        <f>IF(OR(C168="",C168=0),"",N168/C168*10000)</f>
        <v/>
      </c>
      <c r="AI168" s="13">
        <f>IF(OR(D168="",D168=0),"",O168/D168*10000)</f>
        <v/>
      </c>
      <c r="AJ168" s="11" t="n">
        <v>3367.628447783542</v>
      </c>
      <c r="AK168" s="11" t="n">
        <v>39094.52</v>
      </c>
      <c r="AL168" s="22">
        <f>AE168+AJ168+AK168</f>
        <v/>
      </c>
      <c r="AM168" s="22">
        <f>AE168</f>
        <v/>
      </c>
      <c r="AN168" s="14" t="n">
        <v>115846.18</v>
      </c>
      <c r="AO168" s="15" t="n">
        <v>25.304642</v>
      </c>
      <c r="AP168" s="14" t="n">
        <v>22291128.47</v>
      </c>
      <c r="AQ168" s="14" t="n">
        <v>26375.9894</v>
      </c>
      <c r="AR168" s="14" t="n">
        <v>1150.7927</v>
      </c>
      <c r="AS168" s="14" t="n"/>
      <c r="AT168" s="16" t="n">
        <v>422.3076714020344</v>
      </c>
      <c r="AU168" s="17" t="n">
        <v>0.0216666665</v>
      </c>
      <c r="AV168" s="14" t="n">
        <v>424504211.0451</v>
      </c>
      <c r="AW168" s="18" t="n">
        <v>60100000</v>
      </c>
      <c r="AX168" s="19" t="n">
        <v>22291128.47</v>
      </c>
      <c r="AY168" s="18" t="n">
        <v>3100000</v>
      </c>
      <c r="AZ168" s="18">
        <f>1000000000-999768836.9083</f>
        <v/>
      </c>
      <c r="BA168" s="20">
        <f>1000000000-AV168-AW168-AX168-AY168-AZ168</f>
        <v/>
      </c>
      <c r="BB168" s="21" t="n">
        <v>244.9</v>
      </c>
      <c r="BC168" s="21">
        <f>BA168/1000000-BB168</f>
        <v/>
      </c>
      <c r="BD168" s="22">
        <f>BA168*24.51</f>
        <v/>
      </c>
    </row>
    <row r="169">
      <c r="A169" s="10" t="n">
        <v>45791</v>
      </c>
      <c r="B169" s="11" t="n">
        <v>7000956820.499754</v>
      </c>
      <c r="C169" s="11" t="n"/>
      <c r="D169" s="11" t="n">
        <v>164936595</v>
      </c>
      <c r="E169" s="11" t="n"/>
      <c r="M169" s="22">
        <f>Z169/(1-R169)</f>
        <v/>
      </c>
      <c r="N169" s="11" t="n"/>
      <c r="O169" s="11" t="n">
        <v>35587</v>
      </c>
      <c r="P169" s="11" t="n"/>
      <c r="Q169" s="22">
        <f>M169+N169+O169+P169</f>
        <v/>
      </c>
      <c r="R169" s="12" t="n">
        <v>0.03</v>
      </c>
      <c r="S169" s="22">
        <f>M169*R169</f>
        <v/>
      </c>
      <c r="T169" s="22">
        <f>N169*R169</f>
        <v/>
      </c>
      <c r="U169" s="22">
        <f>(O169-V169)*R169</f>
        <v/>
      </c>
      <c r="V169" s="11" t="n">
        <v>5959</v>
      </c>
      <c r="W169" s="11" t="n"/>
      <c r="X169" s="22">
        <f>S169+T169+U169+V169+W169</f>
        <v/>
      </c>
      <c r="Y169" s="11" t="n"/>
      <c r="Z169" s="22">
        <f>AE169-AB169-AA169-AC169</f>
        <v/>
      </c>
      <c r="AA169" s="22">
        <f>N169-T169-W169</f>
        <v/>
      </c>
      <c r="AB169" s="22">
        <f>O169-V169-U169</f>
        <v/>
      </c>
      <c r="AC169" s="22">
        <f>P169</f>
        <v/>
      </c>
      <c r="AD169" s="23">
        <f>Z169+AA169+AB169+AC169</f>
        <v/>
      </c>
      <c r="AE169" s="11" t="n">
        <v>2425221.212</v>
      </c>
      <c r="AF169" s="24">
        <f>AD169-AE169</f>
        <v/>
      </c>
      <c r="AG169" s="13">
        <f>IF(OR(B169="",B169=0,M169=""),"",M169/B169*10000)</f>
        <v/>
      </c>
      <c r="AH169" s="13">
        <f>IF(OR(C169="",C169=0),"",N169/C169*10000)</f>
        <v/>
      </c>
      <c r="AI169" s="13">
        <f>IF(OR(D169="",D169=0),"",O169/D169*10000)</f>
        <v/>
      </c>
      <c r="AJ169" s="11" t="n">
        <v>3780.99140769924</v>
      </c>
      <c r="AK169" s="11" t="n">
        <v>48946.75</v>
      </c>
      <c r="AL169" s="22">
        <f>AE169+AJ169+AK169</f>
        <v/>
      </c>
      <c r="AM169" s="22">
        <f>AE169</f>
        <v/>
      </c>
      <c r="AN169" s="14" t="n">
        <v>96039.05</v>
      </c>
      <c r="AO169" s="15" t="n">
        <v>25.252449</v>
      </c>
      <c r="AP169" s="14" t="n">
        <v>22387167.52</v>
      </c>
      <c r="AQ169" s="14" t="n">
        <v>26379.0101</v>
      </c>
      <c r="AR169" s="14" t="n">
        <v>998.4329</v>
      </c>
      <c r="AS169" s="14" t="n"/>
      <c r="AT169" s="16" t="n">
        <v>422.5618941096813</v>
      </c>
      <c r="AU169" s="17" t="n">
        <v>0.021660224</v>
      </c>
      <c r="AV169" s="14" t="n">
        <v>424477832.0351</v>
      </c>
      <c r="AW169" s="18" t="n">
        <v>60100000</v>
      </c>
      <c r="AX169" s="19" t="n">
        <v>22387167.52</v>
      </c>
      <c r="AY169" s="18" t="n">
        <v>3100000</v>
      </c>
      <c r="AZ169" s="18">
        <f>1000000000-999767838.4754</f>
        <v/>
      </c>
      <c r="BA169" s="20">
        <f>1000000000-AV169-AW169-AX169-AY169-AZ169</f>
        <v/>
      </c>
      <c r="BB169" s="21" t="n">
        <v>244.9</v>
      </c>
      <c r="BC169" s="21">
        <f>BA169/1000000-BB169</f>
        <v/>
      </c>
      <c r="BD169" s="22">
        <f>BA169*25.68</f>
        <v/>
      </c>
    </row>
    <row r="170">
      <c r="A170" s="10" t="n">
        <v>45792</v>
      </c>
      <c r="B170" s="11" t="n">
        <v>7691386938.568702</v>
      </c>
      <c r="C170" s="11" t="n"/>
      <c r="D170" s="11" t="n">
        <v>176738006</v>
      </c>
      <c r="E170" s="11" t="n"/>
      <c r="M170" s="22">
        <f>Z170/(1-R170)</f>
        <v/>
      </c>
      <c r="N170" s="11" t="n"/>
      <c r="O170" s="11" t="n">
        <v>36989</v>
      </c>
      <c r="P170" s="11" t="n"/>
      <c r="Q170" s="22">
        <f>M170+N170+O170+P170</f>
        <v/>
      </c>
      <c r="R170" s="12" t="n">
        <v>0.03</v>
      </c>
      <c r="S170" s="22">
        <f>M170*R170</f>
        <v/>
      </c>
      <c r="T170" s="22">
        <f>N170*R170</f>
        <v/>
      </c>
      <c r="U170" s="22">
        <f>(O170-V170)*R170</f>
        <v/>
      </c>
      <c r="V170" s="11" t="n">
        <v>7272</v>
      </c>
      <c r="W170" s="11" t="n"/>
      <c r="X170" s="22">
        <f>S170+T170+U170+V170+W170</f>
        <v/>
      </c>
      <c r="Y170" s="11" t="n"/>
      <c r="Z170" s="22">
        <f>AE170-AB170-AA170-AC170</f>
        <v/>
      </c>
      <c r="AA170" s="22">
        <f>N170-T170-W170</f>
        <v/>
      </c>
      <c r="AB170" s="22">
        <f>O170-V170-U170</f>
        <v/>
      </c>
      <c r="AC170" s="22">
        <f>P170</f>
        <v/>
      </c>
      <c r="AD170" s="23">
        <f>Z170+AA170+AB170+AC170</f>
        <v/>
      </c>
      <c r="AE170" s="11" t="n">
        <v>1824984.348</v>
      </c>
      <c r="AF170" s="24">
        <f>AD170-AE170</f>
        <v/>
      </c>
      <c r="AG170" s="13">
        <f>IF(OR(B170="",B170=0,M170=""),"",M170/B170*10000)</f>
        <v/>
      </c>
      <c r="AH170" s="13">
        <f>IF(OR(C170="",C170=0),"",N170/C170*10000)</f>
        <v/>
      </c>
      <c r="AI170" s="13">
        <f>IF(OR(D170="",D170=0),"",O170/D170*10000)</f>
        <v/>
      </c>
      <c r="AJ170" s="11" t="n">
        <v>5271.275731880184</v>
      </c>
      <c r="AK170" s="11" t="n">
        <v>0</v>
      </c>
      <c r="AL170" s="22">
        <f>AE170+AJ170+AK170</f>
        <v/>
      </c>
      <c r="AM170" s="22">
        <f>AE170</f>
        <v/>
      </c>
      <c r="AN170" s="14" t="n">
        <v>72382.53</v>
      </c>
      <c r="AO170" s="15" t="n">
        <v>25.21305</v>
      </c>
      <c r="AP170" s="14" t="n">
        <v>22459550.05</v>
      </c>
      <c r="AQ170" s="14" t="n">
        <v>26336.2435</v>
      </c>
      <c r="AR170" s="14" t="n">
        <v>667.6346</v>
      </c>
      <c r="AS170" s="14" t="n"/>
      <c r="AT170" s="16" t="n">
        <v>423.198258679533</v>
      </c>
      <c r="AU170" s="17" t="n">
        <v>0.0216441227</v>
      </c>
      <c r="AV170" s="14" t="n">
        <v>424451495.7916</v>
      </c>
      <c r="AW170" s="18" t="n">
        <v>60100000</v>
      </c>
      <c r="AX170" s="19" t="n">
        <v>22459550.05</v>
      </c>
      <c r="AY170" s="18" t="n">
        <v>3100000</v>
      </c>
      <c r="AZ170" s="18">
        <f>1000000000-999767170.8407</f>
        <v/>
      </c>
      <c r="BA170" s="20">
        <f>1000000000-AV170-AW170-AX170-AY170-AZ170</f>
        <v/>
      </c>
      <c r="BB170" s="21" t="n">
        <v>244.9</v>
      </c>
      <c r="BC170" s="21">
        <f>BA170/1000000-BB170</f>
        <v/>
      </c>
      <c r="BD170" s="22">
        <f>BA170*25.28</f>
        <v/>
      </c>
    </row>
    <row r="171">
      <c r="A171" s="10" t="n">
        <v>45793</v>
      </c>
      <c r="B171" s="11" t="n">
        <v>6286215708.911819</v>
      </c>
      <c r="C171" s="11" t="n"/>
      <c r="D171" s="11" t="n">
        <v>226665977</v>
      </c>
      <c r="E171" s="11" t="n"/>
      <c r="M171" s="22">
        <f>Z171/(1-R171)</f>
        <v/>
      </c>
      <c r="N171" s="11" t="n"/>
      <c r="O171" s="11" t="n">
        <v>52053</v>
      </c>
      <c r="P171" s="11" t="n"/>
      <c r="Q171" s="22">
        <f>M171+N171+O171+P171</f>
        <v/>
      </c>
      <c r="R171" s="12" t="n">
        <v>0.03</v>
      </c>
      <c r="S171" s="22">
        <f>M171*R171</f>
        <v/>
      </c>
      <c r="T171" s="22">
        <f>N171*R171</f>
        <v/>
      </c>
      <c r="U171" s="22">
        <f>(O171-V171)*R171</f>
        <v/>
      </c>
      <c r="V171" s="11" t="n">
        <v>6599</v>
      </c>
      <c r="W171" s="11" t="n"/>
      <c r="X171" s="22">
        <f>S171+T171+U171+V171+W171</f>
        <v/>
      </c>
      <c r="Y171" s="11" t="n"/>
      <c r="Z171" s="22">
        <f>AE171-AB171-AA171-AC171</f>
        <v/>
      </c>
      <c r="AA171" s="22">
        <f>N171-T171-W171</f>
        <v/>
      </c>
      <c r="AB171" s="22">
        <f>O171-V171-U171</f>
        <v/>
      </c>
      <c r="AC171" s="22">
        <f>P171</f>
        <v/>
      </c>
      <c r="AD171" s="23">
        <f>Z171+AA171+AB171+AC171</f>
        <v/>
      </c>
      <c r="AE171" s="11" t="n">
        <v>2316472.826</v>
      </c>
      <c r="AF171" s="24">
        <f>AD171-AE171</f>
        <v/>
      </c>
      <c r="AG171" s="13">
        <f>IF(OR(B171="",B171=0,M171=""),"",M171/B171*10000)</f>
        <v/>
      </c>
      <c r="AH171" s="13">
        <f>IF(OR(C171="",C171=0),"",N171/C171*10000)</f>
        <v/>
      </c>
      <c r="AI171" s="13">
        <f>IF(OR(D171="",D171=0),"",O171/D171*10000)</f>
        <v/>
      </c>
      <c r="AJ171" s="11" t="n">
        <v>4550.524200601108</v>
      </c>
      <c r="AK171" s="11" t="n">
        <v>39703.06</v>
      </c>
      <c r="AL171" s="22">
        <f>AE171+AJ171+AK171</f>
        <v/>
      </c>
      <c r="AM171" s="22">
        <f>AE171</f>
        <v/>
      </c>
      <c r="AN171" s="14" t="n">
        <v>84745.06</v>
      </c>
      <c r="AO171" s="15" t="n">
        <v>27.334606</v>
      </c>
      <c r="AP171" s="14" t="n">
        <v>22544295.11</v>
      </c>
      <c r="AQ171" s="14" t="n">
        <v>26356.8899</v>
      </c>
      <c r="AR171" s="14" t="n">
        <v>821.8124</v>
      </c>
      <c r="AS171" s="14" t="n"/>
      <c r="AT171" s="16" t="n">
        <v>423.0817423385894</v>
      </c>
      <c r="AU171" s="17" t="n">
        <v>0.0216470681</v>
      </c>
      <c r="AV171" s="14" t="n">
        <v>424425138.9016</v>
      </c>
      <c r="AW171" s="18" t="n">
        <v>60100000</v>
      </c>
      <c r="AX171" s="19" t="n">
        <v>22544295.11</v>
      </c>
      <c r="AY171" s="18" t="n">
        <v>3100000</v>
      </c>
      <c r="AZ171" s="18">
        <f>1000000000-999766349.0283</f>
        <v/>
      </c>
      <c r="BA171" s="20">
        <f>1000000000-AV171-AW171-AX171-AY171-AZ171</f>
        <v/>
      </c>
      <c r="BB171" s="21" t="n">
        <v>244.9</v>
      </c>
      <c r="BC171" s="21">
        <f>BA171/1000000-BB171</f>
        <v/>
      </c>
      <c r="BD171" s="22">
        <f>BA171*26.26</f>
        <v/>
      </c>
    </row>
    <row r="172">
      <c r="A172" s="10" t="n">
        <v>45794</v>
      </c>
      <c r="B172" s="11" t="n">
        <v>4365168405.24695</v>
      </c>
      <c r="C172" s="11" t="n"/>
      <c r="D172" s="11" t="n">
        <v>181177333</v>
      </c>
      <c r="E172" s="11" t="n"/>
      <c r="M172" s="22">
        <f>Z172/(1-R172)</f>
        <v/>
      </c>
      <c r="N172" s="11" t="n"/>
      <c r="O172" s="11" t="n">
        <v>44633</v>
      </c>
      <c r="P172" s="11" t="n"/>
      <c r="Q172" s="22">
        <f>M172+N172+O172+P172</f>
        <v/>
      </c>
      <c r="R172" s="12" t="n">
        <v>0.03</v>
      </c>
      <c r="S172" s="22">
        <f>M172*R172</f>
        <v/>
      </c>
      <c r="T172" s="22">
        <f>N172*R172</f>
        <v/>
      </c>
      <c r="U172" s="22">
        <f>(O172-V172)*R172</f>
        <v/>
      </c>
      <c r="V172" s="11" t="n">
        <v>7671</v>
      </c>
      <c r="W172" s="11" t="n"/>
      <c r="X172" s="22">
        <f>S172+T172+U172+V172+W172</f>
        <v/>
      </c>
      <c r="Y172" s="11" t="n"/>
      <c r="Z172" s="22">
        <f>AE172-AB172-AA172-AC172</f>
        <v/>
      </c>
      <c r="AA172" s="22">
        <f>N172-T172-W172</f>
        <v/>
      </c>
      <c r="AB172" s="22">
        <f>O172-V172-U172</f>
        <v/>
      </c>
      <c r="AC172" s="22">
        <f>P172</f>
        <v/>
      </c>
      <c r="AD172" s="23">
        <f>Z172+AA172+AB172+AC172</f>
        <v/>
      </c>
      <c r="AE172" s="11" t="n">
        <v>1800311.971</v>
      </c>
      <c r="AF172" s="24">
        <f>AD172-AE172</f>
        <v/>
      </c>
      <c r="AG172" s="13">
        <f>IF(OR(B172="",B172=0,M172=""),"",M172/B172*10000)</f>
        <v/>
      </c>
      <c r="AH172" s="13">
        <f>IF(OR(C172="",C172=0),"",N172/C172*10000)</f>
        <v/>
      </c>
      <c r="AI172" s="13">
        <f>IF(OR(D172="",D172=0),"",O172/D172*10000)</f>
        <v/>
      </c>
      <c r="AJ172" s="11" t="n">
        <v>2661.971748629785</v>
      </c>
      <c r="AK172" s="11" t="n">
        <v>22540.86</v>
      </c>
      <c r="AL172" s="22">
        <f>AE172+AJ172+AK172</f>
        <v/>
      </c>
      <c r="AM172" s="22">
        <f>AE172</f>
        <v/>
      </c>
      <c r="AN172" s="14" t="n">
        <v>69880.88</v>
      </c>
      <c r="AO172" s="15" t="n">
        <v>25.762583</v>
      </c>
      <c r="AP172" s="14" t="n">
        <v>22614175.99</v>
      </c>
      <c r="AQ172" s="14" t="n">
        <v>26319.8402</v>
      </c>
      <c r="AR172" s="14" t="n">
        <v>1419.0542</v>
      </c>
      <c r="AS172" s="14" t="n"/>
      <c r="AT172" s="16" t="n">
        <v>422.9417041681631</v>
      </c>
      <c r="AU172" s="17" t="n">
        <v>0.0216506097</v>
      </c>
      <c r="AV172" s="14" t="n">
        <v>424398819.0614</v>
      </c>
      <c r="AW172" s="18" t="n">
        <v>60100000</v>
      </c>
      <c r="AX172" s="19" t="n">
        <v>22614175.99</v>
      </c>
      <c r="AY172" s="18" t="n">
        <v>3100000</v>
      </c>
      <c r="AZ172" s="18">
        <f>1000000000-999764929.9741</f>
        <v/>
      </c>
      <c r="BA172" s="20">
        <f>1000000000-AV172-AW172-AX172-AY172-AZ172</f>
        <v/>
      </c>
      <c r="BB172" s="21" t="n">
        <v>244.9</v>
      </c>
      <c r="BC172" s="21">
        <f>BA172/1000000-BB172</f>
        <v/>
      </c>
      <c r="BD172" s="22">
        <f>BA172*26.74</f>
        <v/>
      </c>
    </row>
    <row r="173">
      <c r="A173" s="10" t="n">
        <v>45795</v>
      </c>
      <c r="B173" s="11" t="n">
        <v>7314944825.222101</v>
      </c>
      <c r="C173" s="11" t="n"/>
      <c r="D173" s="11" t="n">
        <v>194262020</v>
      </c>
      <c r="E173" s="11" t="n"/>
      <c r="M173" s="22">
        <f>Z173/(1-R173)</f>
        <v/>
      </c>
      <c r="N173" s="11" t="n"/>
      <c r="O173" s="11" t="n">
        <v>40738</v>
      </c>
      <c r="P173" s="11" t="n"/>
      <c r="Q173" s="22">
        <f>M173+N173+O173+P173</f>
        <v/>
      </c>
      <c r="R173" s="12" t="n">
        <v>0.03</v>
      </c>
      <c r="S173" s="22">
        <f>M173*R173</f>
        <v/>
      </c>
      <c r="T173" s="22">
        <f>N173*R173</f>
        <v/>
      </c>
      <c r="U173" s="22">
        <f>(O173-V173)*R173</f>
        <v/>
      </c>
      <c r="V173" s="11" t="n">
        <v>11921</v>
      </c>
      <c r="W173" s="11" t="n"/>
      <c r="X173" s="22">
        <f>S173+T173+U173+V173+W173</f>
        <v/>
      </c>
      <c r="Y173" s="11" t="n"/>
      <c r="Z173" s="22">
        <f>AE173-AB173-AA173-AC173</f>
        <v/>
      </c>
      <c r="AA173" s="22">
        <f>N173-T173-W173</f>
        <v/>
      </c>
      <c r="AB173" s="22">
        <f>O173-V173-U173</f>
        <v/>
      </c>
      <c r="AC173" s="22">
        <f>P173</f>
        <v/>
      </c>
      <c r="AD173" s="23">
        <f>Z173+AA173+AB173+AC173</f>
        <v/>
      </c>
      <c r="AE173" s="11" t="n">
        <v>915170.6442</v>
      </c>
      <c r="AF173" s="24">
        <f>AD173-AE173</f>
        <v/>
      </c>
      <c r="AG173" s="13">
        <f>IF(OR(B173="",B173=0,M173=""),"",M173/B173*10000)</f>
        <v/>
      </c>
      <c r="AH173" s="13">
        <f>IF(OR(C173="",C173=0),"",N173/C173*10000)</f>
        <v/>
      </c>
      <c r="AI173" s="13">
        <f>IF(OR(D173="",D173=0),"",O173/D173*10000)</f>
        <v/>
      </c>
      <c r="AJ173" s="11" t="n">
        <v>1944.374945875695</v>
      </c>
      <c r="AK173" s="11" t="n">
        <v>23849.95</v>
      </c>
      <c r="AL173" s="22">
        <f>AE173+AJ173+AK173</f>
        <v/>
      </c>
      <c r="AM173" s="22">
        <f>AE173</f>
        <v/>
      </c>
      <c r="AN173" s="14" t="n">
        <v>34506.07</v>
      </c>
      <c r="AO173" s="15" t="n">
        <v>26.522019</v>
      </c>
      <c r="AP173" s="14" t="n">
        <v>22648682.06</v>
      </c>
      <c r="AQ173" s="14" t="n">
        <v>26317.2146</v>
      </c>
      <c r="AR173" s="14" t="n">
        <v>991.9164</v>
      </c>
      <c r="AS173" s="14" t="n"/>
      <c r="AT173" s="16" t="n">
        <v>423.0620345833693</v>
      </c>
      <c r="AU173" s="17" t="n">
        <v>0.0216475664</v>
      </c>
      <c r="AV173" s="14" t="n">
        <v>424372501.8468</v>
      </c>
      <c r="AW173" s="18" t="n">
        <v>60100000</v>
      </c>
      <c r="AX173" s="19" t="n">
        <v>22648682.06</v>
      </c>
      <c r="AY173" s="18" t="n">
        <v>3100000</v>
      </c>
      <c r="AZ173" s="18">
        <f>1000000000-999763938.0577</f>
        <v/>
      </c>
      <c r="BA173" s="20">
        <f>1000000000-AV173-AW173-AX173-AY173-AZ173</f>
        <v/>
      </c>
      <c r="BB173" s="21" t="n">
        <v>244.9</v>
      </c>
      <c r="BC173" s="21">
        <f>BA173/1000000-BB173</f>
        <v/>
      </c>
      <c r="BD173" s="22">
        <f>BA173*26</f>
        <v/>
      </c>
    </row>
    <row r="174">
      <c r="A174" s="10" t="n">
        <v>45796</v>
      </c>
      <c r="B174" s="11" t="n">
        <v>9535736914.447601</v>
      </c>
      <c r="C174" s="11" t="n"/>
      <c r="D174" s="11" t="n">
        <v>233389144</v>
      </c>
      <c r="E174" s="11" t="n"/>
      <c r="M174" s="22">
        <f>Z174/(1-R174)</f>
        <v/>
      </c>
      <c r="N174" s="11" t="n"/>
      <c r="O174" s="11" t="n">
        <v>51328</v>
      </c>
      <c r="P174" s="11" t="n"/>
      <c r="Q174" s="22">
        <f>M174+N174+O174+P174</f>
        <v/>
      </c>
      <c r="R174" s="12" t="n">
        <v>0.03</v>
      </c>
      <c r="S174" s="22">
        <f>M174*R174</f>
        <v/>
      </c>
      <c r="T174" s="22">
        <f>N174*R174</f>
        <v/>
      </c>
      <c r="U174" s="22">
        <f>(O174-V174)*R174</f>
        <v/>
      </c>
      <c r="V174" s="11" t="n">
        <v>20231</v>
      </c>
      <c r="W174" s="11" t="n"/>
      <c r="X174" s="22">
        <f>S174+T174+U174+V174+W174</f>
        <v/>
      </c>
      <c r="Y174" s="11" t="n"/>
      <c r="Z174" s="22">
        <f>AE174-AB174-AA174-AC174</f>
        <v/>
      </c>
      <c r="AA174" s="22">
        <f>N174-T174-W174</f>
        <v/>
      </c>
      <c r="AB174" s="22">
        <f>O174-V174-U174</f>
        <v/>
      </c>
      <c r="AC174" s="22">
        <f>P174</f>
        <v/>
      </c>
      <c r="AD174" s="23">
        <f>Z174+AA174+AB174+AC174</f>
        <v/>
      </c>
      <c r="AE174" s="11" t="n">
        <v>3021657.469</v>
      </c>
      <c r="AF174" s="24">
        <f>AD174-AE174</f>
        <v/>
      </c>
      <c r="AG174" s="13">
        <f>IF(OR(B174="",B174=0,M174=""),"",M174/B174*10000)</f>
        <v/>
      </c>
      <c r="AH174" s="13">
        <f>IF(OR(C174="",C174=0),"",N174/C174*10000)</f>
        <v/>
      </c>
      <c r="AI174" s="13">
        <f>IF(OR(D174="",D174=0),"",O174/D174*10000)</f>
        <v/>
      </c>
      <c r="AJ174" s="11" t="n">
        <v>2016.679964120407</v>
      </c>
      <c r="AK174" s="11" t="n">
        <v>0</v>
      </c>
      <c r="AL174" s="22">
        <f>AE174+AJ174+AK174</f>
        <v/>
      </c>
      <c r="AM174" s="22">
        <f>AE174</f>
        <v/>
      </c>
      <c r="AN174" s="14" t="n">
        <v>116816.87</v>
      </c>
      <c r="AO174" s="15" t="n">
        <v>25.866619</v>
      </c>
      <c r="AP174" s="14" t="n">
        <v>22765498.93</v>
      </c>
      <c r="AQ174" s="14" t="n">
        <v>26301.7686</v>
      </c>
      <c r="AR174" s="14" t="n">
        <v>844.6677</v>
      </c>
      <c r="AS174" s="14" t="n"/>
      <c r="AT174" s="16" t="n">
        <v>423.1255257467434</v>
      </c>
      <c r="AU174" s="17" t="n">
        <v>0.0216459604</v>
      </c>
      <c r="AV174" s="14" t="n">
        <v>424346200.0782</v>
      </c>
      <c r="AW174" s="18" t="n">
        <v>60100000</v>
      </c>
      <c r="AX174" s="19" t="n">
        <v>22765498.93</v>
      </c>
      <c r="AY174" s="18" t="n">
        <v>3100000</v>
      </c>
      <c r="AZ174" s="18">
        <f>1000000000-999763093.39</f>
        <v/>
      </c>
      <c r="BA174" s="20">
        <f>1000000000-AV174-AW174-AX174-AY174-AZ174</f>
        <v/>
      </c>
      <c r="BB174" s="21" t="n">
        <v>244.9</v>
      </c>
      <c r="BC174" s="21">
        <f>BA174/1000000-BB174</f>
        <v/>
      </c>
      <c r="BD174" s="22">
        <f>BA174*27.07</f>
        <v/>
      </c>
    </row>
    <row r="175">
      <c r="A175" s="10" t="n">
        <v>45797</v>
      </c>
      <c r="B175" s="11" t="n">
        <v>11112341692.06507</v>
      </c>
      <c r="C175" s="11" t="n"/>
      <c r="D175" s="11" t="n">
        <v>186962465</v>
      </c>
      <c r="E175" s="11" t="n"/>
      <c r="M175" s="22">
        <f>Z175/(1-R175)</f>
        <v/>
      </c>
      <c r="N175" s="11" t="n"/>
      <c r="O175" s="11" t="n">
        <v>43659</v>
      </c>
      <c r="P175" s="11" t="n"/>
      <c r="Q175" s="22">
        <f>M175+N175+O175+P175</f>
        <v/>
      </c>
      <c r="R175" s="12" t="n">
        <v>0.03</v>
      </c>
      <c r="S175" s="22">
        <f>M175*R175</f>
        <v/>
      </c>
      <c r="T175" s="22">
        <f>N175*R175</f>
        <v/>
      </c>
      <c r="U175" s="22">
        <f>(O175-V175)*R175</f>
        <v/>
      </c>
      <c r="V175" s="11" t="n">
        <v>12914</v>
      </c>
      <c r="W175" s="11" t="n"/>
      <c r="X175" s="22">
        <f>S175+T175+U175+V175+W175</f>
        <v/>
      </c>
      <c r="Y175" s="11" t="n"/>
      <c r="Z175" s="22">
        <f>AE175-AB175-AA175-AC175</f>
        <v/>
      </c>
      <c r="AA175" s="22">
        <f>N175-T175-W175</f>
        <v/>
      </c>
      <c r="AB175" s="22">
        <f>O175-V175-U175</f>
        <v/>
      </c>
      <c r="AC175" s="22">
        <f>P175</f>
        <v/>
      </c>
      <c r="AD175" s="23">
        <f>Z175+AA175+AB175+AC175</f>
        <v/>
      </c>
      <c r="AE175" s="11" t="n">
        <v>2335473.216</v>
      </c>
      <c r="AF175" s="24">
        <f>AD175-AE175</f>
        <v/>
      </c>
      <c r="AG175" s="13">
        <f>IF(OR(B175="",B175=0,M175=""),"",M175/B175*10000)</f>
        <v/>
      </c>
      <c r="AH175" s="13">
        <f>IF(OR(C175="",C175=0),"",N175/C175*10000)</f>
        <v/>
      </c>
      <c r="AI175" s="13">
        <f>IF(OR(D175="",D175=0),"",O175/D175*10000)</f>
        <v/>
      </c>
      <c r="AJ175" s="11" t="n">
        <v>1665.285350590203</v>
      </c>
      <c r="AK175" s="11" t="n">
        <v>18725</v>
      </c>
      <c r="AL175" s="22">
        <f>AE175+AJ175+AK175</f>
        <v/>
      </c>
      <c r="AM175" s="22">
        <f>AE175</f>
        <v/>
      </c>
      <c r="AN175" s="14" t="n">
        <v>90221.34</v>
      </c>
      <c r="AO175" s="15" t="n">
        <v>25.88604</v>
      </c>
      <c r="AP175" s="14" t="n">
        <v>22855720.27</v>
      </c>
      <c r="AQ175" s="14" t="n">
        <v>26318.4723</v>
      </c>
      <c r="AR175" s="14" t="n">
        <v>1017.3268</v>
      </c>
      <c r="AS175" s="14" t="n"/>
      <c r="AT175" s="16" t="n">
        <v>423.1838016746044</v>
      </c>
      <c r="AU175" s="17" t="n">
        <v>0.0216444873</v>
      </c>
      <c r="AV175" s="14" t="n">
        <v>424319881.606</v>
      </c>
      <c r="AW175" s="18" t="n">
        <v>60100000</v>
      </c>
      <c r="AX175" s="19" t="n">
        <v>22855720.27</v>
      </c>
      <c r="AY175" s="18" t="n">
        <v>3100000</v>
      </c>
      <c r="AZ175" s="18">
        <f>1000000000-999762076.0632</f>
        <v/>
      </c>
      <c r="BA175" s="20">
        <f>1000000000-AV175-AW175-AX175-AY175-AZ175</f>
        <v/>
      </c>
      <c r="BB175" s="21" t="n">
        <v>244.9</v>
      </c>
      <c r="BC175" s="21">
        <f>BA175/1000000-BB175</f>
        <v/>
      </c>
      <c r="BD175" s="22">
        <f>BA175*26.64</f>
        <v/>
      </c>
    </row>
    <row r="176">
      <c r="A176" s="10" t="n">
        <v>45798</v>
      </c>
      <c r="B176" s="11" t="n">
        <v>17607432132.96347</v>
      </c>
      <c r="C176" s="11" t="n"/>
      <c r="D176" s="11" t="n">
        <v>311374949</v>
      </c>
      <c r="E176" s="11" t="n"/>
      <c r="M176" s="22">
        <f>Z176/(1-R176)</f>
        <v/>
      </c>
      <c r="N176" s="11" t="n"/>
      <c r="O176" s="11" t="n">
        <v>70408</v>
      </c>
      <c r="P176" s="11" t="n"/>
      <c r="Q176" s="22">
        <f>M176+N176+O176+P176</f>
        <v/>
      </c>
      <c r="R176" s="12" t="n">
        <v>0.03</v>
      </c>
      <c r="S176" s="22">
        <f>M176*R176</f>
        <v/>
      </c>
      <c r="T176" s="22">
        <f>N176*R176</f>
        <v/>
      </c>
      <c r="U176" s="22">
        <f>(O176-V176)*R176</f>
        <v/>
      </c>
      <c r="V176" s="11" t="n">
        <v>22032</v>
      </c>
      <c r="W176" s="11" t="n"/>
      <c r="X176" s="22">
        <f>S176+T176+U176+V176+W176</f>
        <v/>
      </c>
      <c r="Y176" s="11" t="n"/>
      <c r="Z176" s="22">
        <f>AE176-AB176-AA176-AC176</f>
        <v/>
      </c>
      <c r="AA176" s="22">
        <f>N176-T176-W176</f>
        <v/>
      </c>
      <c r="AB176" s="22">
        <f>O176-V176-U176</f>
        <v/>
      </c>
      <c r="AC176" s="22">
        <f>P176</f>
        <v/>
      </c>
      <c r="AD176" s="23">
        <f>Z176+AA176+AB176+AC176</f>
        <v/>
      </c>
      <c r="AE176" s="11" t="n">
        <v>3243296.471</v>
      </c>
      <c r="AF176" s="24">
        <f>AD176-AE176</f>
        <v/>
      </c>
      <c r="AG176" s="13">
        <f>IF(OR(B176="",B176=0,M176=""),"",M176/B176*10000)</f>
        <v/>
      </c>
      <c r="AH176" s="13">
        <f>IF(OR(C176="",C176=0),"",N176/C176*10000)</f>
        <v/>
      </c>
      <c r="AI176" s="13">
        <f>IF(OR(D176="",D176=0),"",O176/D176*10000)</f>
        <v/>
      </c>
      <c r="AJ176" s="11" t="n">
        <v>2996.664644683044</v>
      </c>
      <c r="AK176" s="11" t="n">
        <v>18440.9</v>
      </c>
      <c r="AL176" s="22">
        <f>AE176+AJ176+AK176</f>
        <v/>
      </c>
      <c r="AM176" s="22">
        <f>AE176</f>
        <v/>
      </c>
      <c r="AN176" s="14" t="n">
        <v>117416.77</v>
      </c>
      <c r="AO176" s="15" t="n">
        <v>27.622089</v>
      </c>
      <c r="AP176" s="14" t="n">
        <v>22973137.04</v>
      </c>
      <c r="AQ176" s="14" t="n">
        <v>26382.9301</v>
      </c>
      <c r="AR176" s="14" t="n">
        <v>742.3954</v>
      </c>
      <c r="AS176" s="14" t="n"/>
      <c r="AT176" s="16" t="n">
        <v>423.3858891490895</v>
      </c>
      <c r="AU176" s="17" t="n">
        <v>0.0216393821</v>
      </c>
      <c r="AV176" s="14" t="n">
        <v>424293498.6758</v>
      </c>
      <c r="AW176" s="18" t="n">
        <v>60100000</v>
      </c>
      <c r="AX176" s="19" t="n">
        <v>22973137.04</v>
      </c>
      <c r="AY176" s="18" t="n">
        <v>3100000</v>
      </c>
      <c r="AZ176" s="18">
        <f>1000000000-999761333.6679</f>
        <v/>
      </c>
      <c r="BA176" s="20">
        <f>1000000000-AV176-AW176-AX176-AY176-AZ176</f>
        <v/>
      </c>
      <c r="BB176" s="21" t="n">
        <v>244.9</v>
      </c>
      <c r="BC176" s="21">
        <f>BA176/1000000-BB176</f>
        <v/>
      </c>
      <c r="BD176" s="22">
        <f>BA176*26.46</f>
        <v/>
      </c>
    </row>
    <row r="177">
      <c r="A177" s="10" t="n">
        <v>45799</v>
      </c>
      <c r="B177" s="11" t="n">
        <v>11653389156.53191</v>
      </c>
      <c r="C177" s="11" t="n"/>
      <c r="D177" s="11" t="n">
        <v>502129527</v>
      </c>
      <c r="E177" s="11" t="n"/>
      <c r="M177" s="22">
        <f>Z177/(1-R177)</f>
        <v/>
      </c>
      <c r="N177" s="11" t="n"/>
      <c r="O177" s="11" t="n">
        <v>113648</v>
      </c>
      <c r="P177" s="11" t="n"/>
      <c r="Q177" s="22">
        <f>M177+N177+O177+P177</f>
        <v/>
      </c>
      <c r="R177" s="12" t="n">
        <v>0.03</v>
      </c>
      <c r="S177" s="22">
        <f>M177*R177</f>
        <v/>
      </c>
      <c r="T177" s="22">
        <f>N177*R177</f>
        <v/>
      </c>
      <c r="U177" s="22">
        <f>(O177-V177)*R177</f>
        <v/>
      </c>
      <c r="V177" s="11" t="n">
        <v>20208</v>
      </c>
      <c r="W177" s="11" t="n"/>
      <c r="X177" s="22">
        <f>S177+T177+U177+V177+W177</f>
        <v/>
      </c>
      <c r="Y177" s="11" t="n"/>
      <c r="Z177" s="22">
        <f>AE177-AB177-AA177-AC177</f>
        <v/>
      </c>
      <c r="AA177" s="22">
        <f>N177-T177-W177</f>
        <v/>
      </c>
      <c r="AB177" s="22">
        <f>O177-V177-U177</f>
        <v/>
      </c>
      <c r="AC177" s="22">
        <f>P177</f>
        <v/>
      </c>
      <c r="AD177" s="23">
        <f>Z177+AA177+AB177+AC177</f>
        <v/>
      </c>
      <c r="AE177" s="11" t="n">
        <v>5872178.578</v>
      </c>
      <c r="AF177" s="24">
        <f>AD177-AE177</f>
        <v/>
      </c>
      <c r="AG177" s="13">
        <f>IF(OR(B177="",B177=0,M177=""),"",M177/B177*10000)</f>
        <v/>
      </c>
      <c r="AH177" s="13">
        <f>IF(OR(C177="",C177=0),"",N177/C177*10000)</f>
        <v/>
      </c>
      <c r="AI177" s="13">
        <f>IF(OR(D177="",D177=0),"",O177/D177*10000)</f>
        <v/>
      </c>
      <c r="AJ177" s="11" t="n">
        <v>35055.96777071235</v>
      </c>
      <c r="AK177" s="11" t="n">
        <v>23454.97</v>
      </c>
      <c r="AL177" s="22">
        <f>AE177+AJ177+AK177</f>
        <v/>
      </c>
      <c r="AM177" s="22">
        <f>AE177</f>
        <v/>
      </c>
      <c r="AN177" s="14" t="n">
        <v>183172.39</v>
      </c>
      <c r="AO177" s="15" t="n">
        <v>32.058208</v>
      </c>
      <c r="AP177" s="14" t="n">
        <v>23156309.43</v>
      </c>
      <c r="AQ177" s="14" t="n">
        <v>26369.2575</v>
      </c>
      <c r="AR177" s="14" t="n">
        <v>1400.0976</v>
      </c>
      <c r="AS177" s="14" t="n"/>
      <c r="AT177" s="16" t="n">
        <v>422.337384499485</v>
      </c>
      <c r="AU177" s="17" t="n">
        <v>0.0216659132</v>
      </c>
      <c r="AV177" s="14" t="n">
        <v>424267129.4183</v>
      </c>
      <c r="AW177" s="18" t="n">
        <v>60100000</v>
      </c>
      <c r="AX177" s="19" t="n">
        <v>23156309.43</v>
      </c>
      <c r="AY177" s="18" t="n">
        <v>3100000</v>
      </c>
      <c r="AZ177" s="18">
        <f>1000000000-999759933.5702</f>
        <v/>
      </c>
      <c r="BA177" s="20">
        <f>1000000000-AV177-AW177-AX177-AY177-AZ177</f>
        <v/>
      </c>
      <c r="BB177" s="21" t="n">
        <v>244.9</v>
      </c>
      <c r="BC177" s="21">
        <f>BA177/1000000-BB177</f>
        <v/>
      </c>
      <c r="BD177" s="22">
        <f>BA177*28.24</f>
        <v/>
      </c>
    </row>
    <row r="178">
      <c r="A178" s="10" t="n">
        <v>45800</v>
      </c>
      <c r="B178" s="11" t="n">
        <v>13132043868.8706</v>
      </c>
      <c r="C178" s="11" t="n"/>
      <c r="D178" s="11" t="n">
        <v>590232173</v>
      </c>
      <c r="E178" s="11" t="n"/>
      <c r="M178" s="22">
        <f>Z178/(1-R178)</f>
        <v/>
      </c>
      <c r="N178" s="11" t="n"/>
      <c r="O178" s="11" t="n">
        <v>140903</v>
      </c>
      <c r="P178" s="11" t="n"/>
      <c r="Q178" s="22">
        <f>M178+N178+O178+P178</f>
        <v/>
      </c>
      <c r="R178" s="12" t="n">
        <v>0.03</v>
      </c>
      <c r="S178" s="22">
        <f>M178*R178</f>
        <v/>
      </c>
      <c r="T178" s="22">
        <f>N178*R178</f>
        <v/>
      </c>
      <c r="U178" s="22">
        <f>(O178-V178)*R178</f>
        <v/>
      </c>
      <c r="V178" s="11" t="n">
        <v>15895</v>
      </c>
      <c r="W178" s="11" t="n"/>
      <c r="X178" s="22">
        <f>S178+T178+U178+V178+W178</f>
        <v/>
      </c>
      <c r="Y178" s="11" t="n"/>
      <c r="Z178" s="22">
        <f>AE178-AB178-AA178-AC178</f>
        <v/>
      </c>
      <c r="AA178" s="22">
        <f>N178-T178-W178</f>
        <v/>
      </c>
      <c r="AB178" s="22">
        <f>O178-V178-U178</f>
        <v/>
      </c>
      <c r="AC178" s="22">
        <f>P178</f>
        <v/>
      </c>
      <c r="AD178" s="23">
        <f>Z178+AA178+AB178+AC178</f>
        <v/>
      </c>
      <c r="AE178" s="11" t="n">
        <v>2858955.209</v>
      </c>
      <c r="AF178" s="24">
        <f>AD178-AE178</f>
        <v/>
      </c>
      <c r="AG178" s="13">
        <f>IF(OR(B178="",B178=0,M178=""),"",M178/B178*10000)</f>
        <v/>
      </c>
      <c r="AH178" s="13">
        <f>IF(OR(C178="",C178=0),"",N178/C178*10000)</f>
        <v/>
      </c>
      <c r="AI178" s="13">
        <f>IF(OR(D178="",D178=0),"",O178/D178*10000)</f>
        <v/>
      </c>
      <c r="AJ178" s="11" t="n">
        <v>129210.1306439126</v>
      </c>
      <c r="AK178" s="11" t="n">
        <v>0</v>
      </c>
      <c r="AL178" s="22">
        <f>AE178+AJ178+AK178</f>
        <v/>
      </c>
      <c r="AM178" s="22">
        <f>AE178</f>
        <v/>
      </c>
      <c r="AN178" s="14" t="n">
        <v>81894.82000000001</v>
      </c>
      <c r="AO178" s="15" t="n">
        <v>34.910086</v>
      </c>
      <c r="AP178" s="14" t="n">
        <v>23238204.25</v>
      </c>
      <c r="AQ178" s="14" t="n">
        <v>26341.6338</v>
      </c>
      <c r="AR178" s="14" t="n">
        <v>2802.9091</v>
      </c>
      <c r="AS178" s="14" t="n"/>
      <c r="AT178" s="16" t="n">
        <v>421.6150879565313</v>
      </c>
      <c r="AU178" s="17" t="n">
        <v>0.0216842472</v>
      </c>
      <c r="AV178" s="14" t="n">
        <v>424240787.7845</v>
      </c>
      <c r="AW178" s="18" t="n">
        <v>60100000</v>
      </c>
      <c r="AX178" s="19" t="n">
        <v>23238204.25</v>
      </c>
      <c r="AY178" s="18" t="n">
        <v>3100000</v>
      </c>
      <c r="AZ178" s="18">
        <f>1000000000-999757130.6612</f>
        <v/>
      </c>
      <c r="BA178" s="20">
        <f>1000000000-AV178-AW178-AX178-AY178-AZ178</f>
        <v/>
      </c>
      <c r="BB178" s="21" t="n">
        <v>244.9</v>
      </c>
      <c r="BC178" s="21">
        <f>BA178/1000000-BB178</f>
        <v/>
      </c>
      <c r="BD178" s="22">
        <f>BA178*33.38</f>
        <v/>
      </c>
    </row>
    <row r="179">
      <c r="A179" s="10" t="n">
        <v>45801</v>
      </c>
      <c r="B179" s="11" t="n">
        <v>7439669343.965864</v>
      </c>
      <c r="C179" s="11" t="n"/>
      <c r="D179" s="11" t="n">
        <v>306849568</v>
      </c>
      <c r="E179" s="11" t="n"/>
      <c r="M179" s="22">
        <f>Z179/(1-R179)</f>
        <v/>
      </c>
      <c r="N179" s="11" t="n"/>
      <c r="O179" s="11" t="n">
        <v>63652</v>
      </c>
      <c r="P179" s="11" t="n"/>
      <c r="Q179" s="22">
        <f>M179+N179+O179+P179</f>
        <v/>
      </c>
      <c r="R179" s="12" t="n">
        <v>0.03</v>
      </c>
      <c r="S179" s="22">
        <f>M179*R179</f>
        <v/>
      </c>
      <c r="T179" s="22">
        <f>N179*R179</f>
        <v/>
      </c>
      <c r="U179" s="22">
        <f>(O179-V179)*R179</f>
        <v/>
      </c>
      <c r="V179" s="11" t="n">
        <v>7592</v>
      </c>
      <c r="W179" s="11" t="n"/>
      <c r="X179" s="22">
        <f>S179+T179+U179+V179+W179</f>
        <v/>
      </c>
      <c r="Y179" s="11" t="n"/>
      <c r="Z179" s="22">
        <f>AE179-AB179-AA179-AC179</f>
        <v/>
      </c>
      <c r="AA179" s="22">
        <f>N179-T179-W179</f>
        <v/>
      </c>
      <c r="AB179" s="22">
        <f>O179-V179-U179</f>
        <v/>
      </c>
      <c r="AC179" s="22">
        <f>P179</f>
        <v/>
      </c>
      <c r="AD179" s="23">
        <f>Z179+AA179+AB179+AC179</f>
        <v/>
      </c>
      <c r="AE179" s="11" t="n">
        <v>3421583.678</v>
      </c>
      <c r="AF179" s="24">
        <f>AD179-AE179</f>
        <v/>
      </c>
      <c r="AG179" s="13">
        <f>IF(OR(B179="",B179=0,M179=""),"",M179/B179*10000)</f>
        <v/>
      </c>
      <c r="AH179" s="13">
        <f>IF(OR(C179="",C179=0),"",N179/C179*10000)</f>
        <v/>
      </c>
      <c r="AI179" s="13">
        <f>IF(OR(D179="",D179=0),"",O179/D179*10000)</f>
        <v/>
      </c>
      <c r="AJ179" s="11" t="n">
        <v>34424.35568569396</v>
      </c>
      <c r="AK179" s="11" t="n">
        <v>24967.89</v>
      </c>
      <c r="AL179" s="22">
        <f>AE179+AJ179+AK179</f>
        <v/>
      </c>
      <c r="AM179" s="22">
        <f>AE179</f>
        <v/>
      </c>
      <c r="AN179" s="14" t="n">
        <v>98770.75999999999</v>
      </c>
      <c r="AO179" s="15" t="n">
        <v>34.641666</v>
      </c>
      <c r="AP179" s="14" t="n">
        <v>23336975.01</v>
      </c>
      <c r="AQ179" s="14" t="n">
        <v>26288.5976</v>
      </c>
      <c r="AR179" s="14" t="n">
        <v>2774.1488</v>
      </c>
      <c r="AS179" s="14" t="n"/>
      <c r="AT179" s="16" t="n">
        <v>419.8584605299555</v>
      </c>
      <c r="AU179" s="17" t="n">
        <v>0.0217290311</v>
      </c>
      <c r="AV179" s="14" t="n">
        <v>424214499.1869</v>
      </c>
      <c r="AW179" s="18" t="n">
        <v>60100000</v>
      </c>
      <c r="AX179" s="19" t="n">
        <v>23336975.01</v>
      </c>
      <c r="AY179" s="18" t="n">
        <v>3100000</v>
      </c>
      <c r="AZ179" s="18">
        <f>1000000000-999754356.5123</f>
        <v/>
      </c>
      <c r="BA179" s="20">
        <f>1000000000-AV179-AW179-AX179-AY179-AZ179</f>
        <v/>
      </c>
      <c r="BB179" s="21" t="n">
        <v>244.9</v>
      </c>
      <c r="BC179" s="21">
        <f>BA179/1000000-BB179</f>
        <v/>
      </c>
      <c r="BD179" s="22">
        <f>BA179*33.26</f>
        <v/>
      </c>
    </row>
    <row r="180">
      <c r="A180" s="10" t="n">
        <v>45802</v>
      </c>
      <c r="B180" s="11" t="n">
        <v>9377129709.883877</v>
      </c>
      <c r="C180" s="11" t="n"/>
      <c r="D180" s="11" t="n">
        <v>424503231</v>
      </c>
      <c r="E180" s="11" t="n"/>
      <c r="M180" s="22">
        <f>Z180/(1-R180)</f>
        <v/>
      </c>
      <c r="N180" s="11" t="n"/>
      <c r="O180" s="11" t="n">
        <v>93250</v>
      </c>
      <c r="P180" s="11" t="n"/>
      <c r="Q180" s="22">
        <f>M180+N180+O180+P180</f>
        <v/>
      </c>
      <c r="R180" s="12" t="n">
        <v>0.03</v>
      </c>
      <c r="S180" s="22">
        <f>M180*R180</f>
        <v/>
      </c>
      <c r="T180" s="22">
        <f>N180*R180</f>
        <v/>
      </c>
      <c r="U180" s="22">
        <f>(O180-V180)*R180</f>
        <v/>
      </c>
      <c r="V180" s="11" t="n">
        <v>12828</v>
      </c>
      <c r="W180" s="11" t="n"/>
      <c r="X180" s="22">
        <f>S180+T180+U180+V180+W180</f>
        <v/>
      </c>
      <c r="Y180" s="11" t="n"/>
      <c r="Z180" s="22">
        <f>AE180-AB180-AA180-AC180</f>
        <v/>
      </c>
      <c r="AA180" s="22">
        <f>N180-T180-W180</f>
        <v/>
      </c>
      <c r="AB180" s="22">
        <f>O180-V180-U180</f>
        <v/>
      </c>
      <c r="AC180" s="22">
        <f>P180</f>
        <v/>
      </c>
      <c r="AD180" s="23">
        <f>Z180+AA180+AB180+AC180</f>
        <v/>
      </c>
      <c r="AE180" s="11" t="n">
        <v>2098890.136</v>
      </c>
      <c r="AF180" s="24">
        <f>AD180-AE180</f>
        <v/>
      </c>
      <c r="AG180" s="13">
        <f>IF(OR(B180="",B180=0,M180=""),"",M180/B180*10000)</f>
        <v/>
      </c>
      <c r="AH180" s="13">
        <f>IF(OR(C180="",C180=0),"",N180/C180*10000)</f>
        <v/>
      </c>
      <c r="AI180" s="13">
        <f>IF(OR(D180="",D180=0),"",O180/D180*10000)</f>
        <v/>
      </c>
      <c r="AJ180" s="11" t="n">
        <v>154666.157509478</v>
      </c>
      <c r="AK180" s="11" t="n">
        <v>28772.86</v>
      </c>
      <c r="AL180" s="22">
        <f>AE180+AJ180+AK180</f>
        <v/>
      </c>
      <c r="AM180" s="22">
        <f>AE180</f>
        <v/>
      </c>
      <c r="AN180" s="14" t="n">
        <v>55390.98</v>
      </c>
      <c r="AO180" s="15" t="n">
        <v>37.892273</v>
      </c>
      <c r="AP180" s="14" t="n">
        <v>23392365.99</v>
      </c>
      <c r="AQ180" s="14" t="n">
        <v>26274.0281</v>
      </c>
      <c r="AR180" s="14" t="n">
        <v>1397.6446</v>
      </c>
      <c r="AS180" s="14" t="n"/>
      <c r="AT180" s="16" t="n">
        <v>419.8052590866124</v>
      </c>
      <c r="AU180" s="17" t="n">
        <v>0.0217303918</v>
      </c>
      <c r="AV180" s="14" t="n">
        <v>424188225.1588</v>
      </c>
      <c r="AW180" s="18" t="n">
        <v>60100000</v>
      </c>
      <c r="AX180" s="19" t="n">
        <v>23392365.99</v>
      </c>
      <c r="AY180" s="18" t="n">
        <v>3100000</v>
      </c>
      <c r="AZ180" s="18">
        <f>1000000000-999752958.8677</f>
        <v/>
      </c>
      <c r="BA180" s="20">
        <f>1000000000-AV180-AW180-AX180-AY180-AZ180</f>
        <v/>
      </c>
      <c r="BB180" s="21" t="n">
        <v>244.9</v>
      </c>
      <c r="BC180" s="21">
        <f>BA180/1000000-BB180</f>
        <v/>
      </c>
      <c r="BD180" s="22">
        <f>BA180*34.84</f>
        <v/>
      </c>
    </row>
    <row r="181">
      <c r="A181" s="10" t="n">
        <v>45803</v>
      </c>
      <c r="B181" s="11" t="n">
        <v>7002792387.164196</v>
      </c>
      <c r="C181" s="11" t="n"/>
      <c r="D181" s="11" t="n">
        <v>409113491</v>
      </c>
      <c r="E181" s="11" t="n"/>
      <c r="M181" s="22">
        <f>Z181/(1-R181)</f>
        <v/>
      </c>
      <c r="N181" s="11" t="n"/>
      <c r="O181" s="11" t="n">
        <v>100179</v>
      </c>
      <c r="P181" s="11" t="n"/>
      <c r="Q181" s="22">
        <f>M181+N181+O181+P181</f>
        <v/>
      </c>
      <c r="R181" s="12" t="n">
        <v>0.03</v>
      </c>
      <c r="S181" s="22">
        <f>M181*R181</f>
        <v/>
      </c>
      <c r="T181" s="22">
        <f>N181*R181</f>
        <v/>
      </c>
      <c r="U181" s="22">
        <f>(O181-V181)*R181</f>
        <v/>
      </c>
      <c r="V181" s="11" t="n">
        <v>13954</v>
      </c>
      <c r="W181" s="11" t="n"/>
      <c r="X181" s="22">
        <f>S181+T181+U181+V181+W181</f>
        <v/>
      </c>
      <c r="Y181" s="11" t="n"/>
      <c r="Z181" s="22">
        <f>AE181-AB181-AA181-AC181</f>
        <v/>
      </c>
      <c r="AA181" s="22">
        <f>N181-T181-W181</f>
        <v/>
      </c>
      <c r="AB181" s="22">
        <f>O181-V181-U181</f>
        <v/>
      </c>
      <c r="AC181" s="22">
        <f>P181</f>
        <v/>
      </c>
      <c r="AD181" s="23">
        <f>Z181+AA181+AB181+AC181</f>
        <v/>
      </c>
      <c r="AE181" s="11" t="n">
        <v>2258419.38</v>
      </c>
      <c r="AF181" s="24">
        <f>AD181-AE181</f>
        <v/>
      </c>
      <c r="AG181" s="13">
        <f>IF(OR(B181="",B181=0,M181=""),"",M181/B181*10000)</f>
        <v/>
      </c>
      <c r="AH181" s="13">
        <f>IF(OR(C181="",C181=0),"",N181/C181*10000)</f>
        <v/>
      </c>
      <c r="AI181" s="13">
        <f>IF(OR(D181="",D181=0),"",O181/D181*10000)</f>
        <v/>
      </c>
      <c r="AJ181" s="11" t="n">
        <v>116074.2444668833</v>
      </c>
      <c r="AK181" s="11" t="n">
        <v>37966.86</v>
      </c>
      <c r="AL181" s="22">
        <f>AE181+AJ181+AK181</f>
        <v/>
      </c>
      <c r="AM181" s="22">
        <f>AE181</f>
        <v/>
      </c>
      <c r="AN181" s="14" t="n">
        <v>60341.07</v>
      </c>
      <c r="AO181" s="15" t="n">
        <v>37.427566</v>
      </c>
      <c r="AP181" s="14" t="n">
        <v>23452707.06</v>
      </c>
      <c r="AQ181" s="14" t="n">
        <v>25952.4593</v>
      </c>
      <c r="AR181" s="14" t="n">
        <v>1801.2147</v>
      </c>
      <c r="AS181" s="14" t="n"/>
      <c r="AT181" s="16" t="n">
        <v>419.3649513061732</v>
      </c>
      <c r="AU181" s="17" t="n">
        <v>0.0217416571</v>
      </c>
      <c r="AV181" s="14" t="n">
        <v>424162272.6995</v>
      </c>
      <c r="AW181" s="18" t="n">
        <v>60100000</v>
      </c>
      <c r="AX181" s="19" t="n">
        <v>23452707.06</v>
      </c>
      <c r="AY181" s="18" t="n">
        <v>3100000</v>
      </c>
      <c r="AZ181" s="18">
        <f>1000000000-999751157.653</f>
        <v/>
      </c>
      <c r="BA181" s="20">
        <f>1000000000-AV181-AW181-AX181-AY181-AZ181</f>
        <v/>
      </c>
      <c r="BB181" s="21" t="n">
        <v>244.9</v>
      </c>
      <c r="BC181" s="21">
        <f>BA181/1000000-BB181</f>
        <v/>
      </c>
      <c r="BD181" s="22">
        <f>BA181*38.85</f>
        <v/>
      </c>
    </row>
    <row r="182">
      <c r="A182" s="10" t="n">
        <v>45804</v>
      </c>
      <c r="B182" s="11" t="n">
        <v>11173683374.34</v>
      </c>
      <c r="C182" s="11" t="n"/>
      <c r="D182" s="11" t="n">
        <v>403985493</v>
      </c>
      <c r="E182" s="11" t="n"/>
      <c r="M182" s="22">
        <f>Z182/(1-R182)</f>
        <v/>
      </c>
      <c r="N182" s="11" t="n"/>
      <c r="O182" s="11" t="n">
        <v>87270</v>
      </c>
      <c r="P182" s="11" t="n"/>
      <c r="Q182" s="22">
        <f>M182+N182+O182+P182</f>
        <v/>
      </c>
      <c r="R182" s="12" t="n">
        <v>0.03</v>
      </c>
      <c r="S182" s="22">
        <f>M182*R182</f>
        <v/>
      </c>
      <c r="T182" s="22">
        <f>N182*R182</f>
        <v/>
      </c>
      <c r="U182" s="22">
        <f>(O182-V182)*R182</f>
        <v/>
      </c>
      <c r="V182" s="11" t="n">
        <v>28095</v>
      </c>
      <c r="W182" s="11" t="n"/>
      <c r="X182" s="22">
        <f>S182+T182+U182+V182+W182</f>
        <v/>
      </c>
      <c r="Y182" s="11" t="n"/>
      <c r="Z182" s="22">
        <f>AE182-AB182-AA182-AC182</f>
        <v/>
      </c>
      <c r="AA182" s="22">
        <f>N182-T182-W182</f>
        <v/>
      </c>
      <c r="AB182" s="22">
        <f>O182-V182-U182</f>
        <v/>
      </c>
      <c r="AC182" s="22">
        <f>P182</f>
        <v/>
      </c>
      <c r="AD182" s="23">
        <f>Z182+AA182+AB182+AC182</f>
        <v/>
      </c>
      <c r="AE182" s="11" t="n">
        <v>2244861.839</v>
      </c>
      <c r="AF182" s="24">
        <f>AD182-AE182</f>
        <v/>
      </c>
      <c r="AG182" s="13">
        <f>IF(OR(B182="",B182=0,M182=""),"",M182/B182*10000)</f>
        <v/>
      </c>
      <c r="AH182" s="13">
        <f>IF(OR(C182="",C182=0),"",N182/C182*10000)</f>
        <v/>
      </c>
      <c r="AI182" s="13">
        <f>IF(OR(D182="",D182=0),"",O182/D182*10000)</f>
        <v/>
      </c>
      <c r="AJ182" s="11" t="n">
        <v>201427.941166362</v>
      </c>
      <c r="AK182" s="11" t="n">
        <v>55203</v>
      </c>
      <c r="AL182" s="22">
        <f>AE182+AJ182+AK182</f>
        <v/>
      </c>
      <c r="AM182" s="22">
        <f>AE182</f>
        <v/>
      </c>
      <c r="AN182" s="14" t="n">
        <v>61995.05</v>
      </c>
      <c r="AO182" s="15" t="n">
        <v>36.21034</v>
      </c>
      <c r="AP182" s="14" t="n">
        <v>23514702.11</v>
      </c>
      <c r="AQ182" s="14" t="n">
        <v>26236.7805</v>
      </c>
      <c r="AR182" s="14" t="n">
        <v>2566.597</v>
      </c>
      <c r="AS182" s="14" t="n"/>
      <c r="AT182" s="16" t="n">
        <v>418.4460708808237</v>
      </c>
      <c r="AU182" s="17" t="n">
        <v>0.0217652358</v>
      </c>
      <c r="AV182" s="14" t="n">
        <v>424136035.919</v>
      </c>
      <c r="AW182" s="18" t="n">
        <v>60100000</v>
      </c>
      <c r="AX182" s="19" t="n">
        <v>23514702.11</v>
      </c>
      <c r="AY182" s="18" t="n">
        <v>3100000</v>
      </c>
      <c r="AZ182" s="18">
        <f>1000000000-999748591.056</f>
        <v/>
      </c>
      <c r="BA182" s="20">
        <f>1000000000-AV182-AW182-AX182-AY182-AZ182</f>
        <v/>
      </c>
      <c r="BB182" s="21" t="n">
        <v>244.9</v>
      </c>
      <c r="BC182" s="21">
        <f>BA182/1000000-BB182</f>
        <v/>
      </c>
      <c r="BD182" s="22">
        <f>BA182*37.25</f>
        <v/>
      </c>
    </row>
    <row r="183">
      <c r="A183" s="10" t="n">
        <v>45805</v>
      </c>
      <c r="B183" s="11" t="n">
        <v>9155802237.656036</v>
      </c>
      <c r="C183" s="11" t="n"/>
      <c r="D183" s="11" t="n">
        <v>334144664</v>
      </c>
      <c r="E183" s="11" t="n"/>
      <c r="M183" s="22">
        <f>Z183/(1-R183)</f>
        <v/>
      </c>
      <c r="N183" s="11" t="n"/>
      <c r="O183" s="11" t="n">
        <v>82889</v>
      </c>
      <c r="P183" s="11" t="n"/>
      <c r="Q183" s="22">
        <f>M183+N183+O183+P183</f>
        <v/>
      </c>
      <c r="R183" s="12" t="n">
        <v>0.03</v>
      </c>
      <c r="S183" s="22">
        <f>M183*R183</f>
        <v/>
      </c>
      <c r="T183" s="22">
        <f>N183*R183</f>
        <v/>
      </c>
      <c r="U183" s="22">
        <f>(O183-V183)*R183</f>
        <v/>
      </c>
      <c r="V183" s="11" t="n">
        <v>16163</v>
      </c>
      <c r="W183" s="11" t="n"/>
      <c r="X183" s="22">
        <f>S183+T183+U183+V183+W183</f>
        <v/>
      </c>
      <c r="Y183" s="11" t="n"/>
      <c r="Z183" s="22">
        <f>AE183-AB183-AA183-AC183</f>
        <v/>
      </c>
      <c r="AA183" s="22">
        <f>N183-T183-W183</f>
        <v/>
      </c>
      <c r="AB183" s="22">
        <f>O183-V183-U183</f>
        <v/>
      </c>
      <c r="AC183" s="22">
        <f>P183</f>
        <v/>
      </c>
      <c r="AD183" s="23">
        <f>Z183+AA183+AB183+AC183</f>
        <v/>
      </c>
      <c r="AE183" s="11" t="n">
        <v>2305266.481</v>
      </c>
      <c r="AF183" s="24">
        <f>AD183-AE183</f>
        <v/>
      </c>
      <c r="AG183" s="13">
        <f>IF(OR(B183="",B183=0,M183=""),"",M183/B183*10000)</f>
        <v/>
      </c>
      <c r="AH183" s="13">
        <f>IF(OR(C183="",C183=0),"",N183/C183*10000)</f>
        <v/>
      </c>
      <c r="AI183" s="13">
        <f>IF(OR(D183="",D183=0),"",O183/D183*10000)</f>
        <v/>
      </c>
      <c r="AJ183" s="11" t="n">
        <v>75605.17928433532</v>
      </c>
      <c r="AK183" s="11" t="n">
        <v>0</v>
      </c>
      <c r="AL183" s="22">
        <f>AE183+AJ183+AK183</f>
        <v/>
      </c>
      <c r="AM183" s="22">
        <f>AE183</f>
        <v/>
      </c>
      <c r="AN183" s="14" t="n">
        <v>69201.32000000001</v>
      </c>
      <c r="AO183" s="15" t="n">
        <v>33.312464</v>
      </c>
      <c r="AP183" s="14" t="n">
        <v>23583903.43</v>
      </c>
      <c r="AQ183" s="14" t="n">
        <v>26207.4869</v>
      </c>
      <c r="AR183" s="14" t="n">
        <v>2773.3719</v>
      </c>
      <c r="AS183" s="14" t="n"/>
      <c r="AT183" s="16" t="n">
        <v>418.2924796178373</v>
      </c>
      <c r="AU183" s="17" t="n">
        <v>0.0217691845</v>
      </c>
      <c r="AV183" s="14" t="n">
        <v>424109828.4321</v>
      </c>
      <c r="AW183" s="18" t="n">
        <v>60100000</v>
      </c>
      <c r="AX183" s="19" t="n">
        <v>23583903.43</v>
      </c>
      <c r="AY183" s="18" t="n">
        <v>3100000</v>
      </c>
      <c r="AZ183" s="18">
        <f>1000000000-999745817.6841</f>
        <v/>
      </c>
      <c r="BA183" s="20">
        <f>1000000000-AV183-AW183-AX183-AY183-AZ183</f>
        <v/>
      </c>
      <c r="BB183" s="21" t="n">
        <v>244.9</v>
      </c>
      <c r="BC183" s="21">
        <f>BA183/1000000-BB183</f>
        <v/>
      </c>
      <c r="BD183" s="22">
        <f>BA183*35.52</f>
        <v/>
      </c>
    </row>
    <row r="184">
      <c r="A184" s="10" t="n">
        <v>45806</v>
      </c>
      <c r="B184" s="11" t="n">
        <v>10872328015.21723</v>
      </c>
      <c r="C184" s="11" t="n"/>
      <c r="D184" s="11" t="n">
        <v>382861974</v>
      </c>
      <c r="E184" s="11" t="n"/>
      <c r="M184" s="22">
        <f>Z184/(1-R184)</f>
        <v/>
      </c>
      <c r="N184" s="11" t="n"/>
      <c r="O184" s="11" t="n">
        <v>88105</v>
      </c>
      <c r="P184" s="11" t="n"/>
      <c r="Q184" s="22">
        <f>M184+N184+O184+P184</f>
        <v/>
      </c>
      <c r="R184" s="12" t="n">
        <v>0.03</v>
      </c>
      <c r="S184" s="22">
        <f>M184*R184</f>
        <v/>
      </c>
      <c r="T184" s="22">
        <f>N184*R184</f>
        <v/>
      </c>
      <c r="U184" s="22">
        <f>(O184-V184)*R184</f>
        <v/>
      </c>
      <c r="V184" s="11" t="n">
        <v>17921</v>
      </c>
      <c r="W184" s="11" t="n"/>
      <c r="X184" s="22">
        <f>S184+T184+U184+V184+W184</f>
        <v/>
      </c>
      <c r="Y184" s="11" t="n"/>
      <c r="Z184" s="22">
        <f>AE184-AB184-AA184-AC184</f>
        <v/>
      </c>
      <c r="AA184" s="22">
        <f>N184-T184-W184</f>
        <v/>
      </c>
      <c r="AB184" s="22">
        <f>O184-V184-U184</f>
        <v/>
      </c>
      <c r="AC184" s="22">
        <f>P184</f>
        <v/>
      </c>
      <c r="AD184" s="23">
        <f>Z184+AA184+AB184+AC184</f>
        <v/>
      </c>
      <c r="AE184" s="11" t="n">
        <v>2602830.505</v>
      </c>
      <c r="AF184" s="24">
        <f>AD184-AE184</f>
        <v/>
      </c>
      <c r="AG184" s="13">
        <f>IF(OR(B184="",B184=0,M184=""),"",M184/B184*10000)</f>
        <v/>
      </c>
      <c r="AH184" s="13">
        <f>IF(OR(C184="",C184=0),"",N184/C184*10000)</f>
        <v/>
      </c>
      <c r="AI184" s="13">
        <f>IF(OR(D184="",D184=0),"",O184/D184*10000)</f>
        <v/>
      </c>
      <c r="AJ184" s="11" t="n">
        <v>34406.35455339479</v>
      </c>
      <c r="AK184" s="11" t="n">
        <v>62838.71</v>
      </c>
      <c r="AL184" s="22">
        <f>AE184+AJ184+AK184</f>
        <v/>
      </c>
      <c r="AM184" s="22">
        <f>AE184</f>
        <v/>
      </c>
      <c r="AN184" s="14" t="n">
        <v>80786.59</v>
      </c>
      <c r="AO184" s="15" t="n">
        <v>32.218596</v>
      </c>
      <c r="AP184" s="14" t="n">
        <v>23664690.02</v>
      </c>
      <c r="AQ184" s="14" t="n">
        <v>26214.7499</v>
      </c>
      <c r="AR184" s="14" t="n">
        <v>1240.1215</v>
      </c>
      <c r="AS184" s="14" t="n"/>
      <c r="AT184" s="16" t="n">
        <v>418.4245429735982</v>
      </c>
      <c r="AU184" s="17" t="n">
        <v>0.0217657892</v>
      </c>
      <c r="AV184" s="14" t="n">
        <v>424083613.6822</v>
      </c>
      <c r="AW184" s="18" t="n">
        <v>60100000</v>
      </c>
      <c r="AX184" s="19" t="n">
        <v>23664690.02</v>
      </c>
      <c r="AY184" s="18" t="n">
        <v>3100000</v>
      </c>
      <c r="AZ184" s="18">
        <f>1000000000-999744577.5626</f>
        <v/>
      </c>
      <c r="BA184" s="20">
        <f>1000000000-AV184-AW184-AX184-AY184-AZ184</f>
        <v/>
      </c>
      <c r="BB184" s="21" t="n">
        <v>244.9</v>
      </c>
      <c r="BC184" s="21">
        <f>BA184/1000000-BB184</f>
        <v/>
      </c>
      <c r="BD184" s="22">
        <f>BA184*33.82</f>
        <v/>
      </c>
    </row>
    <row r="185">
      <c r="A185" s="10" t="n">
        <v>45807</v>
      </c>
      <c r="B185" s="11" t="n">
        <v>10883704783.30737</v>
      </c>
      <c r="C185" s="11" t="n"/>
      <c r="D185" s="11" t="n">
        <v>413767053</v>
      </c>
      <c r="E185" s="11" t="n"/>
      <c r="M185" s="22">
        <f>Z185/(1-R185)</f>
        <v/>
      </c>
      <c r="N185" s="11" t="n"/>
      <c r="O185" s="11" t="n">
        <v>87626</v>
      </c>
      <c r="P185" s="11" t="n"/>
      <c r="Q185" s="22">
        <f>M185+N185+O185+P185</f>
        <v/>
      </c>
      <c r="R185" s="12" t="n">
        <v>0.03</v>
      </c>
      <c r="S185" s="22">
        <f>M185*R185</f>
        <v/>
      </c>
      <c r="T185" s="22">
        <f>N185*R185</f>
        <v/>
      </c>
      <c r="U185" s="22">
        <f>(O185-V185)*R185</f>
        <v/>
      </c>
      <c r="V185" s="11" t="n">
        <v>13863</v>
      </c>
      <c r="W185" s="11" t="n"/>
      <c r="X185" s="22">
        <f>S185+T185+U185+V185+W185</f>
        <v/>
      </c>
      <c r="Y185" s="11" t="n"/>
      <c r="Z185" s="22">
        <f>AE185-AB185-AA185-AC185</f>
        <v/>
      </c>
      <c r="AA185" s="22">
        <f>N185-T185-W185</f>
        <v/>
      </c>
      <c r="AB185" s="22">
        <f>O185-V185-U185</f>
        <v/>
      </c>
      <c r="AC185" s="22">
        <f>P185</f>
        <v/>
      </c>
      <c r="AD185" s="23">
        <f>Z185+AA185+AB185+AC185</f>
        <v/>
      </c>
      <c r="AE185" s="11" t="n">
        <v>3404212.923</v>
      </c>
      <c r="AF185" s="24">
        <f>AD185-AE185</f>
        <v/>
      </c>
      <c r="AG185" s="13">
        <f>IF(OR(B185="",B185=0,M185=""),"",M185/B185*10000)</f>
        <v/>
      </c>
      <c r="AH185" s="13">
        <f>IF(OR(C185="",C185=0),"",N185/C185*10000)</f>
        <v/>
      </c>
      <c r="AI185" s="13">
        <f>IF(OR(D185="",D185=0),"",O185/D185*10000)</f>
        <v/>
      </c>
      <c r="AJ185" s="11" t="n">
        <v>26566.11318981272</v>
      </c>
      <c r="AK185" s="11" t="n">
        <v>39054.57</v>
      </c>
      <c r="AL185" s="22">
        <f>AE185+AJ185+AK185</f>
        <v/>
      </c>
      <c r="AM185" s="22">
        <f>AE185</f>
        <v/>
      </c>
      <c r="AN185" s="14" t="n">
        <v>102673.6</v>
      </c>
      <c r="AO185" s="15" t="n">
        <v>33.155679</v>
      </c>
      <c r="AP185" s="14" t="n">
        <v>23767363.62</v>
      </c>
      <c r="AQ185" s="14" t="n">
        <v>26217.0528</v>
      </c>
      <c r="AR185" s="14" t="n">
        <v>3266.41</v>
      </c>
      <c r="AS185" s="14" t="n"/>
      <c r="AT185" s="16" t="n">
        <v>418.6164078007301</v>
      </c>
      <c r="AU185" s="17" t="n">
        <v>0.0217608591</v>
      </c>
      <c r="AV185" s="14" t="n">
        <v>424057396.6293</v>
      </c>
      <c r="AW185" s="18" t="n">
        <v>60100000</v>
      </c>
      <c r="AX185" s="19" t="n">
        <v>23767363.62</v>
      </c>
      <c r="AY185" s="18" t="n">
        <v>3100000</v>
      </c>
      <c r="AZ185" s="18">
        <f>1000000000-999741311.1527</f>
        <v/>
      </c>
      <c r="BA185" s="20">
        <f>1000000000-AV185-AW185-AX185-AY185-AZ185</f>
        <v/>
      </c>
      <c r="BB185" s="21" t="n">
        <v>244.9</v>
      </c>
      <c r="BC185" s="21">
        <f>BA185/1000000-BB185</f>
        <v/>
      </c>
      <c r="BD185" s="22">
        <f>BA185*31.59</f>
        <v/>
      </c>
    </row>
    <row r="186">
      <c r="A186" s="10" t="n">
        <v>45808</v>
      </c>
      <c r="B186" s="11" t="n">
        <v>4406569829.065056</v>
      </c>
      <c r="C186" s="11" t="n"/>
      <c r="D186" s="11" t="n">
        <v>233353407</v>
      </c>
      <c r="E186" s="11" t="n"/>
      <c r="M186" s="22">
        <f>Z186/(1-R186)</f>
        <v/>
      </c>
      <c r="N186" s="11" t="n"/>
      <c r="O186" s="11" t="n">
        <v>48799</v>
      </c>
      <c r="P186" s="11" t="n"/>
      <c r="Q186" s="22">
        <f>M186+N186+O186+P186</f>
        <v/>
      </c>
      <c r="R186" s="12" t="n">
        <v>0.03</v>
      </c>
      <c r="S186" s="22">
        <f>M186*R186</f>
        <v/>
      </c>
      <c r="T186" s="22">
        <f>N186*R186</f>
        <v/>
      </c>
      <c r="U186" s="22">
        <f>(O186-V186)*R186</f>
        <v/>
      </c>
      <c r="V186" s="11" t="n">
        <v>7580</v>
      </c>
      <c r="W186" s="11" t="n"/>
      <c r="X186" s="22">
        <f>S186+T186+U186+V186+W186</f>
        <v/>
      </c>
      <c r="Y186" s="11" t="n"/>
      <c r="Z186" s="22">
        <f>AE186-AB186-AA186-AC186</f>
        <v/>
      </c>
      <c r="AA186" s="22">
        <f>N186-T186-W186</f>
        <v/>
      </c>
      <c r="AB186" s="22">
        <f>O186-V186-U186</f>
        <v/>
      </c>
      <c r="AC186" s="22">
        <f>P186</f>
        <v/>
      </c>
      <c r="AD186" s="23">
        <f>Z186+AA186+AB186+AC186</f>
        <v/>
      </c>
      <c r="AE186" s="11" t="n">
        <v>2525982.714</v>
      </c>
      <c r="AF186" s="24">
        <f>AD186-AE186</f>
        <v/>
      </c>
      <c r="AG186" s="13">
        <f>IF(OR(B186="",B186=0,M186=""),"",M186/B186*10000)</f>
        <v/>
      </c>
      <c r="AH186" s="13">
        <f>IF(OR(C186="",C186=0),"",N186/C186*10000)</f>
        <v/>
      </c>
      <c r="AI186" s="13">
        <f>IF(OR(D186="",D186=0),"",O186/D186*10000)</f>
        <v/>
      </c>
      <c r="AJ186" s="11" t="n">
        <v>16044.1587257375</v>
      </c>
      <c r="AK186" s="11" t="n">
        <v>0</v>
      </c>
      <c r="AL186" s="22">
        <f>AE186+AJ186+AK186</f>
        <v/>
      </c>
      <c r="AM186" s="22">
        <f>AE186</f>
        <v/>
      </c>
      <c r="AN186" s="14" t="n">
        <v>78478.33</v>
      </c>
      <c r="AO186" s="15" t="n">
        <v>32.187009</v>
      </c>
      <c r="AP186" s="14" t="n">
        <v>23845841.95</v>
      </c>
      <c r="AQ186" s="14" t="n">
        <v>26216.242</v>
      </c>
      <c r="AR186" s="14" t="n">
        <v>2856.0966</v>
      </c>
      <c r="AS186" s="14" t="n"/>
      <c r="AT186" s="16" t="n">
        <v>417.8549845574316</v>
      </c>
      <c r="AU186" s="17" t="n">
        <v>0.0217804447</v>
      </c>
      <c r="AV186" s="14" t="n">
        <v>424031180.3873</v>
      </c>
      <c r="AW186" s="18" t="n">
        <v>60100000</v>
      </c>
      <c r="AX186" s="19" t="n">
        <v>23845841.95</v>
      </c>
      <c r="AY186" s="18" t="n">
        <v>3100000</v>
      </c>
      <c r="AZ186" s="18">
        <f>1000000000-999738455.0561</f>
        <v/>
      </c>
      <c r="BA186" s="20">
        <f>1000000000-AV186-AW186-AX186-AY186-AZ186</f>
        <v/>
      </c>
      <c r="BB186" s="21" t="n">
        <v>244.9</v>
      </c>
      <c r="BC186" s="21">
        <f>BA186/1000000-BB186</f>
        <v/>
      </c>
      <c r="BD186" s="22">
        <f>BA186*33.18</f>
        <v/>
      </c>
    </row>
    <row r="187">
      <c r="A187" s="10" t="n">
        <v>45809</v>
      </c>
      <c r="B187" s="11" t="n">
        <v>3705323553.665798</v>
      </c>
      <c r="C187" s="11" t="n"/>
      <c r="D187" s="11" t="n">
        <v>194154451</v>
      </c>
      <c r="E187" s="11" t="n"/>
      <c r="M187" s="22">
        <f>Z187/(1-R187)</f>
        <v/>
      </c>
      <c r="N187" s="11" t="n"/>
      <c r="O187" s="11" t="n">
        <v>39195</v>
      </c>
      <c r="P187" s="11" t="n"/>
      <c r="Q187" s="22">
        <f>M187+N187+O187+P187</f>
        <v/>
      </c>
      <c r="R187" s="12" t="n">
        <v>0.03</v>
      </c>
      <c r="S187" s="22">
        <f>M187*R187</f>
        <v/>
      </c>
      <c r="T187" s="22">
        <f>N187*R187</f>
        <v/>
      </c>
      <c r="U187" s="22">
        <f>(O187-V187)*R187</f>
        <v/>
      </c>
      <c r="V187" s="11" t="n">
        <v>6567</v>
      </c>
      <c r="W187" s="11" t="n"/>
      <c r="X187" s="22">
        <f>S187+T187+U187+V187+W187</f>
        <v/>
      </c>
      <c r="Y187" s="11" t="n"/>
      <c r="Z187" s="22">
        <f>AE187-AB187-AA187-AC187</f>
        <v/>
      </c>
      <c r="AA187" s="22">
        <f>N187-T187-W187</f>
        <v/>
      </c>
      <c r="AB187" s="22">
        <f>O187-V187-U187</f>
        <v/>
      </c>
      <c r="AC187" s="22">
        <f>P187</f>
        <v/>
      </c>
      <c r="AD187" s="23">
        <f>Z187+AA187+AB187+AC187</f>
        <v/>
      </c>
      <c r="AE187" s="11" t="n">
        <v>841842.179</v>
      </c>
      <c r="AF187" s="24">
        <f>AD187-AE187</f>
        <v/>
      </c>
      <c r="AG187" s="13">
        <f>IF(OR(B187="",B187=0,M187=""),"",M187/B187*10000)</f>
        <v/>
      </c>
      <c r="AH187" s="13">
        <f>IF(OR(C187="",C187=0),"",N187/C187*10000)</f>
        <v/>
      </c>
      <c r="AI187" s="13">
        <f>IF(OR(D187="",D187=0),"",O187/D187*10000)</f>
        <v/>
      </c>
      <c r="AJ187" s="11" t="n">
        <v>11256.69851151819</v>
      </c>
      <c r="AK187" s="11" t="n">
        <v>17491.22</v>
      </c>
      <c r="AL187" s="22">
        <f>AE187+AJ187+AK187</f>
        <v/>
      </c>
      <c r="AM187" s="22">
        <f>AE187</f>
        <v/>
      </c>
      <c r="AN187" s="14" t="n">
        <v>25779.83</v>
      </c>
      <c r="AO187" s="15" t="n">
        <v>32.655071</v>
      </c>
      <c r="AP187" s="14" t="n">
        <v>23871621.78</v>
      </c>
      <c r="AQ187" s="14" t="n">
        <v>26193.0407</v>
      </c>
      <c r="AR187" s="14" t="n">
        <v>872.6834</v>
      </c>
      <c r="AS187" s="14" t="n"/>
      <c r="AT187" s="16" t="n">
        <v>417.8816136049094</v>
      </c>
      <c r="AU187" s="17" t="n">
        <v>0.0217797589</v>
      </c>
      <c r="AV187" s="14" t="n">
        <v>424004987.3467</v>
      </c>
      <c r="AW187" s="18" t="n">
        <v>60100000</v>
      </c>
      <c r="AX187" s="19" t="n">
        <v>23871621.78</v>
      </c>
      <c r="AY187" s="18" t="n">
        <v>3100000</v>
      </c>
      <c r="AZ187" s="18">
        <f>1000000000-999737582.3727</f>
        <v/>
      </c>
      <c r="BA187" s="20">
        <f>1000000000-AV187-AW187-AX187-AY187-AZ187</f>
        <v/>
      </c>
      <c r="BB187" s="21" t="n">
        <v>244.9</v>
      </c>
      <c r="BC187" s="21">
        <f>BA187/1000000-BB187</f>
        <v/>
      </c>
      <c r="BD187" s="22">
        <f>BA187*32.63</f>
        <v/>
      </c>
    </row>
    <row r="188">
      <c r="A188" s="10" t="n">
        <v>45810</v>
      </c>
      <c r="B188" s="11" t="n">
        <v>6302813236.903772</v>
      </c>
      <c r="C188" s="11" t="n"/>
      <c r="D188" s="11" t="n">
        <v>324429799</v>
      </c>
      <c r="E188" s="11" t="n"/>
      <c r="M188" s="22">
        <f>Z188/(1-R188)</f>
        <v/>
      </c>
      <c r="N188" s="11" t="n"/>
      <c r="O188" s="11" t="n">
        <v>63756</v>
      </c>
      <c r="P188" s="11" t="n"/>
      <c r="Q188" s="22">
        <f>M188+N188+O188+P188</f>
        <v/>
      </c>
      <c r="R188" s="12" t="n">
        <v>0.03</v>
      </c>
      <c r="S188" s="22">
        <f>M188*R188</f>
        <v/>
      </c>
      <c r="T188" s="22">
        <f>N188*R188</f>
        <v/>
      </c>
      <c r="U188" s="22">
        <f>(O188-V188)*R188</f>
        <v/>
      </c>
      <c r="V188" s="11" t="n">
        <v>12184</v>
      </c>
      <c r="W188" s="11" t="n"/>
      <c r="X188" s="22">
        <f>S188+T188+U188+V188+W188</f>
        <v/>
      </c>
      <c r="Y188" s="11" t="n"/>
      <c r="Z188" s="22">
        <f>AE188-AB188-AA188-AC188</f>
        <v/>
      </c>
      <c r="AA188" s="22">
        <f>N188-T188-W188</f>
        <v/>
      </c>
      <c r="AB188" s="22">
        <f>O188-V188-U188</f>
        <v/>
      </c>
      <c r="AC188" s="22">
        <f>P188</f>
        <v/>
      </c>
      <c r="AD188" s="23">
        <f>Z188+AA188+AB188+AC188</f>
        <v/>
      </c>
      <c r="AE188" s="11" t="n">
        <v>1129967.844</v>
      </c>
      <c r="AF188" s="24">
        <f>AD188-AE188</f>
        <v/>
      </c>
      <c r="AG188" s="13">
        <f>IF(OR(B188="",B188=0,M188=""),"",M188/B188*10000)</f>
        <v/>
      </c>
      <c r="AH188" s="13">
        <f>IF(OR(C188="",C188=0),"",N188/C188*10000)</f>
        <v/>
      </c>
      <c r="AI188" s="13">
        <f>IF(OR(D188="",D188=0),"",O188/D188*10000)</f>
        <v/>
      </c>
      <c r="AJ188" s="11" t="n">
        <v>24588.74266068666</v>
      </c>
      <c r="AK188" s="11" t="n">
        <v>24906.87</v>
      </c>
      <c r="AL188" s="22">
        <f>AE188+AJ188+AK188</f>
        <v/>
      </c>
      <c r="AM188" s="22">
        <f>AE188</f>
        <v/>
      </c>
      <c r="AN188" s="14" t="n">
        <v>33459.53</v>
      </c>
      <c r="AO188" s="15" t="n">
        <v>33.771181</v>
      </c>
      <c r="AP188" s="14" t="n">
        <v>23905081.31</v>
      </c>
      <c r="AQ188" s="14" t="n">
        <v>26154.8497</v>
      </c>
      <c r="AR188" s="14" t="n">
        <v>1127.2508</v>
      </c>
      <c r="AS188" s="14" t="n"/>
      <c r="AT188" s="16" t="n">
        <v>417.6505644284011</v>
      </c>
      <c r="AU188" s="17" t="n">
        <v>0.021785711</v>
      </c>
      <c r="AV188" s="14" t="n">
        <v>423978832.497</v>
      </c>
      <c r="AW188" s="18" t="n">
        <v>60100000</v>
      </c>
      <c r="AX188" s="19" t="n">
        <v>23905081.31</v>
      </c>
      <c r="AY188" s="18" t="n">
        <v>3100000</v>
      </c>
      <c r="AZ188" s="18">
        <f>1000000000-999736455.1218</f>
        <v/>
      </c>
      <c r="BA188" s="20">
        <f>1000000000-AV188-AW188-AX188-AY188-AZ188</f>
        <v/>
      </c>
      <c r="BB188" s="21" t="n">
        <v>244.9</v>
      </c>
      <c r="BC188" s="21">
        <f>BA188/1000000-BB188</f>
        <v/>
      </c>
      <c r="BD188" s="22">
        <f>BA188*34.14</f>
        <v/>
      </c>
    </row>
    <row r="189">
      <c r="A189" s="10" t="n">
        <v>45811</v>
      </c>
      <c r="B189" s="11" t="n">
        <v>7303712733.688487</v>
      </c>
      <c r="C189" s="11" t="n"/>
      <c r="D189" s="11" t="n">
        <v>337110241</v>
      </c>
      <c r="E189" s="11" t="n"/>
      <c r="M189" s="22">
        <f>Z189/(1-R189)</f>
        <v/>
      </c>
      <c r="N189" s="11" t="n"/>
      <c r="O189" s="11" t="n">
        <v>75516</v>
      </c>
      <c r="P189" s="11" t="n"/>
      <c r="Q189" s="22">
        <f>M189+N189+O189+P189</f>
        <v/>
      </c>
      <c r="R189" s="12" t="n">
        <v>0.03</v>
      </c>
      <c r="S189" s="22">
        <f>M189*R189</f>
        <v/>
      </c>
      <c r="T189" s="22">
        <f>N189*R189</f>
        <v/>
      </c>
      <c r="U189" s="22">
        <f>(O189-V189)*R189</f>
        <v/>
      </c>
      <c r="V189" s="11" t="n">
        <v>12265</v>
      </c>
      <c r="W189" s="11" t="n"/>
      <c r="X189" s="22">
        <f>S189+T189+U189+V189+W189</f>
        <v/>
      </c>
      <c r="Y189" s="11" t="n"/>
      <c r="Z189" s="22">
        <f>AE189-AB189-AA189-AC189</f>
        <v/>
      </c>
      <c r="AA189" s="22">
        <f>N189-T189-W189</f>
        <v/>
      </c>
      <c r="AB189" s="22">
        <f>O189-V189-U189</f>
        <v/>
      </c>
      <c r="AC189" s="22">
        <f>P189</f>
        <v/>
      </c>
      <c r="AD189" s="23">
        <f>Z189+AA189+AB189+AC189</f>
        <v/>
      </c>
      <c r="AE189" s="11" t="n">
        <v>2131282.663</v>
      </c>
      <c r="AF189" s="24">
        <f>AD189-AE189</f>
        <v/>
      </c>
      <c r="AG189" s="13">
        <f>IF(OR(B189="",B189=0,M189=""),"",M189/B189*10000)</f>
        <v/>
      </c>
      <c r="AH189" s="13">
        <f>IF(OR(C189="",C189=0),"",N189/C189*10000)</f>
        <v/>
      </c>
      <c r="AI189" s="13">
        <f>IF(OR(D189="",D189=0),"",O189/D189*10000)</f>
        <v/>
      </c>
      <c r="AJ189" s="11" t="n">
        <v>28415.57385003828</v>
      </c>
      <c r="AK189" s="11" t="n">
        <v>28329.32</v>
      </c>
      <c r="AL189" s="22">
        <f>AE189+AJ189+AK189</f>
        <v/>
      </c>
      <c r="AM189" s="22">
        <f>AE189</f>
        <v/>
      </c>
      <c r="AN189" s="14" t="n">
        <v>58331.9</v>
      </c>
      <c r="AO189" s="15" t="n">
        <v>36.537172</v>
      </c>
      <c r="AP189" s="14" t="n">
        <v>23963413.21</v>
      </c>
      <c r="AQ189" s="14" t="n">
        <v>26211.5203</v>
      </c>
      <c r="AR189" s="14" t="n">
        <v>1977.5927</v>
      </c>
      <c r="AS189" s="14" t="n"/>
      <c r="AT189" s="16" t="n">
        <v>417.8845100635432</v>
      </c>
      <c r="AU189" s="17" t="n">
        <v>0.0217796836</v>
      </c>
      <c r="AV189" s="14" t="n">
        <v>423952620.9767</v>
      </c>
      <c r="AW189" s="18" t="n">
        <v>60100000</v>
      </c>
      <c r="AX189" s="19" t="n">
        <v>23963413.21</v>
      </c>
      <c r="AY189" s="18" t="n">
        <v>3100000</v>
      </c>
      <c r="AZ189" s="18">
        <f>1000000000-999734477.5292</f>
        <v/>
      </c>
      <c r="BA189" s="20">
        <f>1000000000-AV189-AW189-AX189-AY189-AZ189</f>
        <v/>
      </c>
      <c r="BB189" s="21" t="n">
        <v>244.9</v>
      </c>
      <c r="BC189" s="21">
        <f>BA189/1000000-BB189</f>
        <v/>
      </c>
      <c r="BD189" s="22">
        <f>BA189*36.68</f>
        <v/>
      </c>
    </row>
    <row r="190">
      <c r="A190" s="10" t="n">
        <v>45812</v>
      </c>
      <c r="B190" s="11" t="n">
        <v>5792362513.074206</v>
      </c>
      <c r="C190" s="11" t="n"/>
      <c r="D190" s="11" t="n">
        <v>301159683</v>
      </c>
      <c r="E190" s="11" t="n"/>
      <c r="M190" s="22">
        <f>Z190/(1-R190)</f>
        <v/>
      </c>
      <c r="N190" s="11" t="n"/>
      <c r="O190" s="11" t="n">
        <v>65504</v>
      </c>
      <c r="P190" s="11" t="n"/>
      <c r="Q190" s="22">
        <f>M190+N190+O190+P190</f>
        <v/>
      </c>
      <c r="R190" s="12" t="n">
        <v>0.03</v>
      </c>
      <c r="S190" s="22">
        <f>M190*R190</f>
        <v/>
      </c>
      <c r="T190" s="22">
        <f>N190*R190</f>
        <v/>
      </c>
      <c r="U190" s="22">
        <f>(O190-V190)*R190</f>
        <v/>
      </c>
      <c r="V190" s="11" t="n">
        <v>9918</v>
      </c>
      <c r="W190" s="11" t="n"/>
      <c r="X190" s="22">
        <f>S190+T190+U190+V190+W190</f>
        <v/>
      </c>
      <c r="Y190" s="11" t="n"/>
      <c r="Z190" s="22">
        <f>AE190-AB190-AA190-AC190</f>
        <v/>
      </c>
      <c r="AA190" s="22">
        <f>N190-T190-W190</f>
        <v/>
      </c>
      <c r="AB190" s="22">
        <f>O190-V190-U190</f>
        <v/>
      </c>
      <c r="AC190" s="22">
        <f>P190</f>
        <v/>
      </c>
      <c r="AD190" s="23">
        <f>Z190+AA190+AB190+AC190</f>
        <v/>
      </c>
      <c r="AE190" s="11" t="n">
        <v>2068043.731</v>
      </c>
      <c r="AF190" s="24">
        <f>AD190-AE190</f>
        <v/>
      </c>
      <c r="AG190" s="13">
        <f>IF(OR(B190="",B190=0,M190=""),"",M190/B190*10000)</f>
        <v/>
      </c>
      <c r="AH190" s="13">
        <f>IF(OR(C190="",C190=0),"",N190/C190*10000)</f>
        <v/>
      </c>
      <c r="AI190" s="13">
        <f>IF(OR(D190="",D190=0),"",O190/D190*10000)</f>
        <v/>
      </c>
      <c r="AJ190" s="11" t="n">
        <v>23947.75573152115</v>
      </c>
      <c r="AK190" s="11" t="n">
        <v>28105.49</v>
      </c>
      <c r="AL190" s="22">
        <f>AE190+AJ190+AK190</f>
        <v/>
      </c>
      <c r="AM190" s="22">
        <f>AE190</f>
        <v/>
      </c>
      <c r="AN190" s="14" t="n">
        <v>56943.92</v>
      </c>
      <c r="AO190" s="15" t="n">
        <v>36.3172</v>
      </c>
      <c r="AP190" s="14" t="n">
        <v>24020357.13</v>
      </c>
      <c r="AQ190" s="14" t="n">
        <v>26190.0142</v>
      </c>
      <c r="AR190" s="14" t="n">
        <v>2037.2925</v>
      </c>
      <c r="AS190" s="14" t="n"/>
      <c r="AT190" s="16" t="n">
        <v>418.1229836738709</v>
      </c>
      <c r="AU190" s="17" t="n">
        <v>0.021804848</v>
      </c>
      <c r="AV190" s="14" t="n">
        <v>423926430.9625</v>
      </c>
      <c r="AW190" s="18" t="n">
        <v>60100000</v>
      </c>
      <c r="AX190" s="19" t="n">
        <v>24020357.13</v>
      </c>
      <c r="AY190" s="18" t="n">
        <v>3100000</v>
      </c>
      <c r="AZ190" s="18">
        <f>1000000000-999732440.2367</f>
        <v/>
      </c>
      <c r="BA190" s="20">
        <f>1000000000-AV190-AW190-AX190-AY190-AZ190</f>
        <v/>
      </c>
      <c r="BB190" s="21" t="n">
        <v>244.9</v>
      </c>
      <c r="BC190" s="21">
        <f>BA190/1000000-BB190</f>
        <v/>
      </c>
      <c r="BD190" s="22">
        <f>BA190*35.94</f>
        <v/>
      </c>
    </row>
    <row r="191">
      <c r="A191" s="10" t="n">
        <v>45813</v>
      </c>
      <c r="B191" s="11" t="n">
        <v>10473782981.77962</v>
      </c>
      <c r="C191" s="11" t="n"/>
      <c r="D191" s="11" t="n">
        <v>426427482</v>
      </c>
      <c r="E191" s="11" t="n"/>
      <c r="M191" s="22">
        <f>Z191/(1-R191)</f>
        <v/>
      </c>
      <c r="N191" s="11" t="n"/>
      <c r="O191" s="11" t="n">
        <v>93892</v>
      </c>
      <c r="P191" s="11" t="n"/>
      <c r="Q191" s="22">
        <f>M191+N191+O191+P191</f>
        <v/>
      </c>
      <c r="R191" s="12" t="n">
        <v>0.03</v>
      </c>
      <c r="S191" s="22">
        <f>M191*R191</f>
        <v/>
      </c>
      <c r="T191" s="22">
        <f>N191*R191</f>
        <v/>
      </c>
      <c r="U191" s="22">
        <f>(O191-V191)*R191</f>
        <v/>
      </c>
      <c r="V191" s="11" t="n">
        <v>15201</v>
      </c>
      <c r="W191" s="11" t="n"/>
      <c r="X191" s="22">
        <f>S191+T191+U191+V191+W191</f>
        <v/>
      </c>
      <c r="Y191" s="11" t="n"/>
      <c r="Z191" s="22">
        <f>AE191-AB191-AA191-AC191</f>
        <v/>
      </c>
      <c r="AA191" s="22">
        <f>N191-T191-W191</f>
        <v/>
      </c>
      <c r="AB191" s="22">
        <f>O191-V191-U191</f>
        <v/>
      </c>
      <c r="AC191" s="22">
        <f>P191</f>
        <v/>
      </c>
      <c r="AD191" s="23">
        <f>Z191+AA191+AB191+AC191</f>
        <v/>
      </c>
      <c r="AE191" s="11" t="n">
        <v>1507195.643</v>
      </c>
      <c r="AF191" s="24">
        <f>AD191-AE191</f>
        <v/>
      </c>
      <c r="AG191" s="13">
        <f>IF(OR(B191="",B191=0,M191=""),"",M191/B191*10000)</f>
        <v/>
      </c>
      <c r="AH191" s="13">
        <f>IF(OR(C191="",C191=0),"",N191/C191*10000)</f>
        <v/>
      </c>
      <c r="AI191" s="13">
        <f>IF(OR(D191="",D191=0),"",O191/D191*10000)</f>
        <v/>
      </c>
      <c r="AJ191" s="11" t="n">
        <v>34218.45467730064</v>
      </c>
      <c r="AK191" s="11" t="n">
        <v>0</v>
      </c>
      <c r="AL191" s="22">
        <f>AE191+AJ191+AK191</f>
        <v/>
      </c>
      <c r="AM191" s="22">
        <f>AE191</f>
        <v/>
      </c>
      <c r="AN191" s="14" t="n">
        <v>44401.02</v>
      </c>
      <c r="AO191" s="15" t="n">
        <v>33.945068</v>
      </c>
      <c r="AP191" s="14" t="n">
        <v>24064758.15</v>
      </c>
      <c r="AQ191" s="14" t="n">
        <v>26188.2055</v>
      </c>
      <c r="AR191" s="14" t="n">
        <v>1896.2776</v>
      </c>
      <c r="AS191" s="14" t="n"/>
      <c r="AT191" s="16" t="n">
        <v>418.7719023286814</v>
      </c>
      <c r="AU191" s="17" t="n">
        <v>0.0217881455</v>
      </c>
      <c r="AV191" s="14" t="n">
        <v>423900242.7569</v>
      </c>
      <c r="AW191" s="18" t="n">
        <v>60100000</v>
      </c>
      <c r="AX191" s="19" t="n">
        <v>24064758.15</v>
      </c>
      <c r="AY191" s="18" t="n">
        <v>3100000</v>
      </c>
      <c r="AZ191" s="18">
        <f>1000000000-999730543.9591</f>
        <v/>
      </c>
      <c r="BA191" s="20">
        <f>1000000000-AV191-AW191-AX191-AY191-AZ191</f>
        <v/>
      </c>
      <c r="BB191" s="21" t="n">
        <v>244.9</v>
      </c>
      <c r="BC191" s="21">
        <f>BA191/1000000-BB191</f>
        <v/>
      </c>
      <c r="BD191" s="22">
        <f>BA191*35.34</f>
        <v/>
      </c>
    </row>
    <row r="192">
      <c r="A192" s="10" t="n">
        <v>45814</v>
      </c>
      <c r="B192" s="11" t="n">
        <v>6130444265.56801</v>
      </c>
      <c r="C192" s="11" t="n"/>
      <c r="D192" s="11" t="n">
        <v>263764756</v>
      </c>
      <c r="E192" s="11" t="n"/>
      <c r="M192" s="22">
        <f>Z192/(1-R192)</f>
        <v/>
      </c>
      <c r="N192" s="11" t="n"/>
      <c r="O192" s="11" t="n">
        <v>59380</v>
      </c>
      <c r="P192" s="11" t="n"/>
      <c r="Q192" s="22">
        <f>M192+N192+O192+P192</f>
        <v/>
      </c>
      <c r="R192" s="12" t="n">
        <v>0.03</v>
      </c>
      <c r="S192" s="22">
        <f>M192*R192</f>
        <v/>
      </c>
      <c r="T192" s="22">
        <f>N192*R192</f>
        <v/>
      </c>
      <c r="U192" s="22">
        <f>(O192-V192)*R192</f>
        <v/>
      </c>
      <c r="V192" s="11" t="n">
        <v>12020</v>
      </c>
      <c r="W192" s="11" t="n"/>
      <c r="X192" s="22">
        <f>S192+T192+U192+V192+W192</f>
        <v/>
      </c>
      <c r="Y192" s="11" t="n"/>
      <c r="Z192" s="22">
        <f>AE192-AB192-AA192-AC192</f>
        <v/>
      </c>
      <c r="AA192" s="22">
        <f>N192-T192-W192</f>
        <v/>
      </c>
      <c r="AB192" s="22">
        <f>O192-V192-U192</f>
        <v/>
      </c>
      <c r="AC192" s="22">
        <f>P192</f>
        <v/>
      </c>
      <c r="AD192" s="23">
        <f>Z192+AA192+AB192+AC192</f>
        <v/>
      </c>
      <c r="AE192" s="11" t="n">
        <v>3227629.667</v>
      </c>
      <c r="AF192" s="24">
        <f>AD192-AE192</f>
        <v/>
      </c>
      <c r="AG192" s="13">
        <f>IF(OR(B192="",B192=0,M192=""),"",M192/B192*10000)</f>
        <v/>
      </c>
      <c r="AH192" s="13">
        <f>IF(OR(C192="",C192=0),"",N192/C192*10000)</f>
        <v/>
      </c>
      <c r="AI192" s="13">
        <f>IF(OR(D192="",D192=0),"",O192/D192*10000)</f>
        <v/>
      </c>
      <c r="AJ192" s="11" t="n">
        <v>15010.01017266228</v>
      </c>
      <c r="AK192" s="11" t="n">
        <v>23534.02</v>
      </c>
      <c r="AL192" s="22">
        <f>AE192+AJ192+AK192</f>
        <v/>
      </c>
      <c r="AM192" s="22">
        <f>AE192</f>
        <v/>
      </c>
      <c r="AN192" s="14" t="n">
        <v>93474.94</v>
      </c>
      <c r="AO192" s="15" t="n">
        <v>34.529358</v>
      </c>
      <c r="AP192" s="14" t="n">
        <v>24158233.09</v>
      </c>
      <c r="AQ192" s="14" t="n">
        <v>26212.4448</v>
      </c>
      <c r="AR192" s="14" t="n">
        <v>1516.1553</v>
      </c>
      <c r="AS192" s="14" t="n"/>
      <c r="AT192" s="16" t="n">
        <v>418.4659967578046</v>
      </c>
      <c r="AU192" s="17" t="n">
        <v>0.0217960144</v>
      </c>
      <c r="AV192" s="14" t="n">
        <v>423874030.3122</v>
      </c>
      <c r="AW192" s="18" t="n">
        <v>60100000</v>
      </c>
      <c r="AX192" s="19" t="n">
        <v>24158233.09</v>
      </c>
      <c r="AY192" s="18" t="n">
        <v>3100000</v>
      </c>
      <c r="AZ192" s="18">
        <f>1000000000-999729027.8037</f>
        <v/>
      </c>
      <c r="BA192" s="20">
        <f>1000000000-AV192-AW192-AX192-AY192-AZ192</f>
        <v/>
      </c>
      <c r="BB192" s="21" t="n">
        <v>244.9</v>
      </c>
      <c r="BC192" s="21">
        <f>BA192/1000000-BB192</f>
        <v/>
      </c>
      <c r="BD192" s="22">
        <f>BA192*33.98</f>
        <v/>
      </c>
    </row>
    <row r="193">
      <c r="A193" s="10" t="n">
        <v>45815</v>
      </c>
      <c r="B193" s="11" t="n">
        <v>3033732963.310419</v>
      </c>
      <c r="C193" s="11" t="n"/>
      <c r="D193" s="11" t="n">
        <v>137044111</v>
      </c>
      <c r="E193" s="11" t="n"/>
      <c r="M193" s="22">
        <f>Z193/(1-R193)</f>
        <v/>
      </c>
      <c r="N193" s="11" t="n"/>
      <c r="O193" s="11" t="n">
        <v>30975</v>
      </c>
      <c r="P193" s="11" t="n"/>
      <c r="Q193" s="22">
        <f>M193+N193+O193+P193</f>
        <v/>
      </c>
      <c r="R193" s="12" t="n">
        <v>0.03</v>
      </c>
      <c r="S193" s="22">
        <f>M193*R193</f>
        <v/>
      </c>
      <c r="T193" s="22">
        <f>N193*R193</f>
        <v/>
      </c>
      <c r="U193" s="22">
        <f>(O193-V193)*R193</f>
        <v/>
      </c>
      <c r="V193" s="11" t="n">
        <v>6898</v>
      </c>
      <c r="W193" s="11" t="n"/>
      <c r="X193" s="22">
        <f>S193+T193+U193+V193+W193</f>
        <v/>
      </c>
      <c r="Y193" s="11" t="n"/>
      <c r="Z193" s="22">
        <f>AE193-AB193-AA193-AC193</f>
        <v/>
      </c>
      <c r="AA193" s="22">
        <f>N193-T193-W193</f>
        <v/>
      </c>
      <c r="AB193" s="22">
        <f>O193-V193-U193</f>
        <v/>
      </c>
      <c r="AC193" s="22">
        <f>P193</f>
        <v/>
      </c>
      <c r="AD193" s="23">
        <f>Z193+AA193+AB193+AC193</f>
        <v/>
      </c>
      <c r="AE193" s="11" t="n">
        <v>1547600.765</v>
      </c>
      <c r="AF193" s="24">
        <f>AD193-AE193</f>
        <v/>
      </c>
      <c r="AG193" s="13">
        <f>IF(OR(B193="",B193=0,M193=""),"",M193/B193*10000)</f>
        <v/>
      </c>
      <c r="AH193" s="13">
        <f>IF(OR(C193="",C193=0),"",N193/C193*10000)</f>
        <v/>
      </c>
      <c r="AI193" s="13">
        <f>IF(OR(D193="",D193=0),"",O193/D193*10000)</f>
        <v/>
      </c>
      <c r="AJ193" s="11" t="n">
        <v>10596.98572538256</v>
      </c>
      <c r="AK193" s="11" t="n">
        <v>19606.25</v>
      </c>
      <c r="AL193" s="22">
        <f>AE193+AJ193+AK193</f>
        <v/>
      </c>
      <c r="AM193" s="22">
        <f>AE193</f>
        <v/>
      </c>
      <c r="AN193" s="14" t="n">
        <v>45268.08</v>
      </c>
      <c r="AO193" s="15" t="n">
        <v>34.187462</v>
      </c>
      <c r="AP193" s="14" t="n">
        <v>24203501.17</v>
      </c>
      <c r="AQ193" s="14" t="n">
        <v>26173.826</v>
      </c>
      <c r="AR193" s="14" t="n">
        <v>1731.8133</v>
      </c>
      <c r="AS193" s="14" t="n"/>
      <c r="AT193" s="16" t="n">
        <v>418.6728600545776</v>
      </c>
      <c r="AU193" s="17" t="n">
        <v>0.0217906923</v>
      </c>
      <c r="AV193" s="14" t="n">
        <v>423847856.4862</v>
      </c>
      <c r="AW193" s="18" t="n">
        <v>60100000</v>
      </c>
      <c r="AX193" s="19" t="n">
        <v>24203501.17</v>
      </c>
      <c r="AY193" s="18" t="n">
        <v>3100000</v>
      </c>
      <c r="AZ193" s="18">
        <f>1000000000-999727295.9905</f>
        <v/>
      </c>
      <c r="BA193" s="20">
        <f>1000000000-AV193-AW193-AX193-AY193-AZ193</f>
        <v/>
      </c>
      <c r="BB193" s="21" t="n">
        <v>244.9</v>
      </c>
      <c r="BC193" s="21">
        <f>BA193/1000000-BB193</f>
        <v/>
      </c>
      <c r="BD193" s="22">
        <f>BA193*33.03</f>
        <v/>
      </c>
    </row>
    <row r="194">
      <c r="A194" s="10" t="n">
        <v>45816</v>
      </c>
      <c r="B194" s="11" t="n">
        <v>3121700687.69074</v>
      </c>
      <c r="C194" s="11" t="n"/>
      <c r="D194" s="11" t="n">
        <v>151362843</v>
      </c>
      <c r="E194" s="11" t="n"/>
      <c r="M194" s="22">
        <f>Z194/(1-R194)</f>
        <v/>
      </c>
      <c r="N194" s="11" t="n"/>
      <c r="O194" s="11" t="n"/>
      <c r="P194" s="11" t="n"/>
      <c r="Q194" s="22">
        <f>M194+N194+O194+P194</f>
        <v/>
      </c>
      <c r="R194" s="12" t="n">
        <v>0.03</v>
      </c>
      <c r="S194" s="22">
        <f>M194*R194</f>
        <v/>
      </c>
      <c r="T194" s="22">
        <f>N194*R194</f>
        <v/>
      </c>
      <c r="U194" s="22">
        <f>(O194-V194)*R194</f>
        <v/>
      </c>
      <c r="V194" s="11" t="n">
        <v>5668</v>
      </c>
      <c r="W194" s="11" t="n"/>
      <c r="X194" s="22">
        <f>S194+T194+U194+V194+W194</f>
        <v/>
      </c>
      <c r="Y194" s="11" t="n"/>
      <c r="Z194" s="22">
        <f>AE194-AB194-AA194-AC194</f>
        <v/>
      </c>
      <c r="AA194" s="22">
        <f>N194-T194-W194</f>
        <v/>
      </c>
      <c r="AB194" s="22">
        <f>O194-V194-U194</f>
        <v/>
      </c>
      <c r="AC194" s="22">
        <f>P194</f>
        <v/>
      </c>
      <c r="AD194" s="23">
        <f>Z194+AA194+AB194+AC194</f>
        <v/>
      </c>
      <c r="AE194" s="11" t="n">
        <v>795945.0894000001</v>
      </c>
      <c r="AF194" s="24">
        <f>AD194-AE194</f>
        <v/>
      </c>
      <c r="AG194" s="13">
        <f>IF(OR(B194="",B194=0,M194=""),"",M194/B194*10000)</f>
        <v/>
      </c>
      <c r="AH194" s="13">
        <f>IF(OR(C194="",C194=0),"",N194/C194*10000)</f>
        <v/>
      </c>
      <c r="AI194" s="13">
        <f>IF(OR(D194="",D194=0),"",O194/D194*10000)</f>
        <v/>
      </c>
      <c r="AJ194" s="11" t="n">
        <v>12374.01890525949</v>
      </c>
      <c r="AK194" s="11" t="n">
        <v>24700.19</v>
      </c>
      <c r="AL194" s="22">
        <f>AE194+AJ194+AK194</f>
        <v/>
      </c>
      <c r="AM194" s="22">
        <f>AE194</f>
        <v/>
      </c>
      <c r="AN194" s="14" t="n">
        <v>22402.6</v>
      </c>
      <c r="AO194" s="15" t="n">
        <v>35.529139</v>
      </c>
      <c r="AP194" s="14" t="n">
        <v>24225903.77</v>
      </c>
      <c r="AQ194" s="14" t="n">
        <v>26210.6307</v>
      </c>
      <c r="AR194" s="14" t="n">
        <v>1145.1683</v>
      </c>
      <c r="AS194" s="14" t="n"/>
      <c r="AT194" s="16" t="n">
        <v>418.6298203956841</v>
      </c>
      <c r="AU194" s="17" t="n">
        <v>0.0217917993</v>
      </c>
      <c r="AV194" s="14" t="n">
        <v>423821645.8555</v>
      </c>
      <c r="AW194" s="18" t="n">
        <v>60100000</v>
      </c>
      <c r="AX194" s="19" t="n">
        <v>24225903.77</v>
      </c>
      <c r="AY194" s="18" t="n">
        <v>3100000</v>
      </c>
      <c r="AZ194" s="18">
        <f>1000000000-999726150.8222</f>
        <v/>
      </c>
      <c r="BA194" s="20">
        <f>1000000000-AV194-AW194-AX194-AY194-AZ194</f>
        <v/>
      </c>
      <c r="BB194" s="21" t="n">
        <v>244.9</v>
      </c>
      <c r="BC194" s="21">
        <f>BA194/1000000-BB194</f>
        <v/>
      </c>
      <c r="BD194" s="22">
        <f>BA194*34.72</f>
        <v/>
      </c>
    </row>
    <row r="195">
      <c r="A195" s="10" t="n">
        <v>45817</v>
      </c>
      <c r="B195" s="11" t="n">
        <v>7946952907.375451</v>
      </c>
      <c r="C195" s="11" t="n"/>
      <c r="D195" s="11" t="n">
        <v>359240055</v>
      </c>
      <c r="E195" s="11" t="n"/>
      <c r="M195" s="22">
        <f>Z195/(1-R195)</f>
        <v/>
      </c>
      <c r="N195" s="11" t="n"/>
      <c r="O195" s="11" t="n"/>
      <c r="P195" s="11" t="n"/>
      <c r="Q195" s="22">
        <f>M195+N195+O195+P195</f>
        <v/>
      </c>
      <c r="R195" s="12" t="n">
        <v>0.03</v>
      </c>
      <c r="S195" s="22">
        <f>M195*R195</f>
        <v/>
      </c>
      <c r="T195" s="22">
        <f>N195*R195</f>
        <v/>
      </c>
      <c r="U195" s="22">
        <f>(O195-V195)*R195</f>
        <v/>
      </c>
      <c r="V195" s="11" t="n">
        <v>18812</v>
      </c>
      <c r="W195" s="11" t="n"/>
      <c r="X195" s="22">
        <f>S195+T195+U195+V195+W195</f>
        <v/>
      </c>
      <c r="Y195" s="11" t="n"/>
      <c r="Z195" s="22">
        <f>AE195-AB195-AA195-AC195</f>
        <v/>
      </c>
      <c r="AA195" s="22">
        <f>N195-T195-W195</f>
        <v/>
      </c>
      <c r="AB195" s="22">
        <f>O195-V195-U195</f>
        <v/>
      </c>
      <c r="AC195" s="22">
        <f>P195</f>
        <v/>
      </c>
      <c r="AD195" s="23">
        <f>Z195+AA195+AB195+AC195</f>
        <v/>
      </c>
      <c r="AE195" s="11" t="n">
        <v>1033782.871</v>
      </c>
      <c r="AF195" s="24">
        <f>AD195-AE195</f>
        <v/>
      </c>
      <c r="AG195" s="13">
        <f>IF(OR(B195="",B195=0,M195=""),"",M195/B195*10000)</f>
        <v/>
      </c>
      <c r="AH195" s="13">
        <f>IF(OR(C195="",C195=0),"",N195/C195*10000)</f>
        <v/>
      </c>
      <c r="AI195" s="13">
        <f>IF(OR(D195="",D195=0),"",O195/D195*10000)</f>
        <v/>
      </c>
      <c r="AJ195" s="11" t="n">
        <v>21782.4085150401</v>
      </c>
      <c r="AK195" s="11" t="n">
        <v>0</v>
      </c>
      <c r="AL195" s="22">
        <f>AE195+AJ195+AK195</f>
        <v/>
      </c>
      <c r="AM195" s="22">
        <f>AE195</f>
        <v/>
      </c>
      <c r="AN195" s="14" t="n">
        <v>27813.55</v>
      </c>
      <c r="AO195" s="15" t="n">
        <v>37.168318</v>
      </c>
      <c r="AP195" s="14" t="n">
        <v>24253717.32</v>
      </c>
      <c r="AQ195" s="14" t="n">
        <v>25299.7854</v>
      </c>
      <c r="AR195" s="14" t="n">
        <v>1303.6525</v>
      </c>
      <c r="AS195" s="14" t="n"/>
      <c r="AT195" s="16" t="n">
        <v>418.5107995885483</v>
      </c>
      <c r="AU195" s="17" t="n">
        <v>0.0217625495</v>
      </c>
      <c r="AV195" s="14" t="n">
        <v>423796346.0701</v>
      </c>
      <c r="AW195" s="18" t="n">
        <v>60100000</v>
      </c>
      <c r="AX195" s="19" t="n">
        <v>24253717.32</v>
      </c>
      <c r="AY195" s="18" t="n">
        <v>3100000</v>
      </c>
      <c r="AZ195" s="18">
        <f>1000000000-999724847.1697</f>
        <v/>
      </c>
      <c r="BA195" s="20">
        <f>1000000000-AV195-AW195-AX195-AY195-AZ195</f>
        <v/>
      </c>
      <c r="BB195" s="21" t="n">
        <v>244.9</v>
      </c>
      <c r="BC195" s="21">
        <f>BA195/1000000-BB195</f>
        <v/>
      </c>
      <c r="BD195" s="22">
        <f>BA195*34.8</f>
        <v/>
      </c>
    </row>
    <row r="196">
      <c r="A196" s="10" t="n">
        <v>45818</v>
      </c>
      <c r="B196" s="11" t="n">
        <v>8868062326.575634</v>
      </c>
      <c r="C196" s="11" t="n"/>
      <c r="D196" s="11" t="n">
        <v>493501254</v>
      </c>
      <c r="E196" s="11" t="n"/>
      <c r="M196" s="22">
        <f>Z196/(1-R196)</f>
        <v/>
      </c>
      <c r="N196" s="11" t="n"/>
      <c r="O196" s="11" t="n">
        <v>115467</v>
      </c>
      <c r="P196" s="11" t="n"/>
      <c r="Q196" s="22">
        <f>M196+N196+O196+P196</f>
        <v/>
      </c>
      <c r="R196" s="12" t="n">
        <v>0.03</v>
      </c>
      <c r="S196" s="22">
        <f>M196*R196</f>
        <v/>
      </c>
      <c r="T196" s="22">
        <f>N196*R196</f>
        <v/>
      </c>
      <c r="U196" s="22">
        <f>(O196-V196)*R196</f>
        <v/>
      </c>
      <c r="V196" s="11" t="n">
        <v>22226</v>
      </c>
      <c r="W196" s="11" t="n"/>
      <c r="X196" s="22">
        <f>S196+T196+U196+V196+W196</f>
        <v/>
      </c>
      <c r="Y196" s="11" t="n"/>
      <c r="Z196" s="22">
        <f>AE196-AB196-AA196-AC196</f>
        <v/>
      </c>
      <c r="AA196" s="22">
        <f>N196-T196-W196</f>
        <v/>
      </c>
      <c r="AB196" s="22">
        <f>O196-V196-U196</f>
        <v/>
      </c>
      <c r="AC196" s="22">
        <f>P196</f>
        <v/>
      </c>
      <c r="AD196" s="23">
        <f>Z196+AA196+AB196+AC196</f>
        <v/>
      </c>
      <c r="AE196" s="11" t="n">
        <v>2966717.529</v>
      </c>
      <c r="AF196" s="24">
        <f>AD196-AE196</f>
        <v/>
      </c>
      <c r="AG196" s="13">
        <f>IF(OR(B196="",B196=0,M196=""),"",M196/B196*10000)</f>
        <v/>
      </c>
      <c r="AH196" s="13">
        <f>IF(OR(C196="",C196=0),"",N196/C196*10000)</f>
        <v/>
      </c>
      <c r="AI196" s="13">
        <f>IF(OR(D196="",D196=0),"",O196/D196*10000)</f>
        <v/>
      </c>
      <c r="AJ196" s="11" t="n">
        <v>36602.41261427078</v>
      </c>
      <c r="AK196" s="11" t="n">
        <v>19343.05</v>
      </c>
      <c r="AL196" s="22">
        <f>AE196+AJ196+AK196</f>
        <v/>
      </c>
      <c r="AM196" s="22">
        <f>AE196</f>
        <v/>
      </c>
      <c r="AN196" s="14" t="n">
        <v>72585.42</v>
      </c>
      <c r="AO196" s="15" t="n">
        <v>40.872086</v>
      </c>
      <c r="AP196" s="14" t="n">
        <v>24326302.74</v>
      </c>
      <c r="AQ196" s="14" t="n">
        <v>26201.0939</v>
      </c>
      <c r="AR196" s="14" t="n">
        <v>1301.1221</v>
      </c>
      <c r="AS196" s="14" t="n"/>
      <c r="AT196" s="16" t="n">
        <v>418.3646705476461</v>
      </c>
      <c r="AU196" s="17" t="n">
        <v>0.0217663053</v>
      </c>
      <c r="AV196" s="14" t="n">
        <v>423770144.9763</v>
      </c>
      <c r="AW196" s="18" t="n">
        <v>60100000</v>
      </c>
      <c r="AX196" s="19" t="n">
        <v>24326302.74</v>
      </c>
      <c r="AY196" s="18" t="n">
        <v>3100000</v>
      </c>
      <c r="AZ196" s="18">
        <f>1000000000-999723546.0476</f>
        <v/>
      </c>
      <c r="BA196" s="20">
        <f>1000000000-AV196-AW196-AX196-AY196-AZ196</f>
        <v/>
      </c>
      <c r="BB196" s="21" t="n">
        <v>244.9</v>
      </c>
      <c r="BC196" s="21">
        <f>BA196/1000000-BB196</f>
        <v/>
      </c>
      <c r="BD196" s="22">
        <f>BA196*38.51</f>
        <v/>
      </c>
    </row>
    <row r="197">
      <c r="A197" s="10" t="n">
        <v>45819</v>
      </c>
      <c r="B197" s="11" t="n">
        <v>8880849385.853497</v>
      </c>
      <c r="C197" s="11" t="n"/>
      <c r="D197" s="11" t="n">
        <v>491823654</v>
      </c>
      <c r="E197" s="11" t="n"/>
      <c r="M197" s="22">
        <f>Z197/(1-R197)</f>
        <v/>
      </c>
      <c r="N197" s="11" t="n"/>
      <c r="O197" s="11" t="n">
        <v>105920</v>
      </c>
      <c r="P197" s="11" t="n"/>
      <c r="Q197" s="22">
        <f>M197+N197+O197+P197</f>
        <v/>
      </c>
      <c r="R197" s="12" t="n">
        <v>0.03</v>
      </c>
      <c r="S197" s="22">
        <f>M197*R197</f>
        <v/>
      </c>
      <c r="T197" s="22">
        <f>N197*R197</f>
        <v/>
      </c>
      <c r="U197" s="22">
        <f>(O197-V197)*R197</f>
        <v/>
      </c>
      <c r="V197" s="11" t="n">
        <v>24755</v>
      </c>
      <c r="W197" s="11" t="n"/>
      <c r="X197" s="22">
        <f>S197+T197+U197+V197+W197</f>
        <v/>
      </c>
      <c r="Y197" s="11" t="n"/>
      <c r="Z197" s="22">
        <f>AE197-AB197-AA197-AC197</f>
        <v/>
      </c>
      <c r="AA197" s="22">
        <f>N197-T197-W197</f>
        <v/>
      </c>
      <c r="AB197" s="22">
        <f>O197-V197-U197</f>
        <v/>
      </c>
      <c r="AC197" s="22">
        <f>P197</f>
        <v/>
      </c>
      <c r="AD197" s="23">
        <f>Z197+AA197+AB197+AC197</f>
        <v/>
      </c>
      <c r="AE197" s="11" t="n">
        <v>2670016.404</v>
      </c>
      <c r="AF197" s="24">
        <f>AD197-AE197</f>
        <v/>
      </c>
      <c r="AG197" s="13">
        <f>IF(OR(B197="",B197=0,M197=""),"",M197/B197*10000)</f>
        <v/>
      </c>
      <c r="AH197" s="13">
        <f>IF(OR(C197="",C197=0),"",N197/C197*10000)</f>
        <v/>
      </c>
      <c r="AI197" s="13">
        <f>IF(OR(D197="",D197=0),"",O197/D197*10000)</f>
        <v/>
      </c>
      <c r="AJ197" s="11" t="n">
        <v>23763.46511041922</v>
      </c>
      <c r="AK197" s="11" t="n">
        <v>0</v>
      </c>
      <c r="AL197" s="22">
        <f>AE197+AJ197+AK197</f>
        <v/>
      </c>
      <c r="AM197" s="22">
        <f>AE197</f>
        <v/>
      </c>
      <c r="AN197" s="14" t="n">
        <v>62825.88</v>
      </c>
      <c r="AO197" s="15" t="n">
        <v>42.498671</v>
      </c>
      <c r="AP197" s="14" t="n">
        <v>24389128.62</v>
      </c>
      <c r="AQ197" s="14" t="n">
        <v>26194.2846</v>
      </c>
      <c r="AR197" s="14" t="n">
        <v>2420.7992</v>
      </c>
      <c r="AS197" s="14" t="n"/>
      <c r="AT197" s="16" t="n">
        <v>417.9488968910906</v>
      </c>
      <c r="AU197" s="17" t="n">
        <v>0.0217770036</v>
      </c>
      <c r="AV197" s="14" t="n">
        <v>423743950.6916</v>
      </c>
      <c r="AW197" s="18" t="n">
        <v>60100000</v>
      </c>
      <c r="AX197" s="19" t="n">
        <v>24389128.62</v>
      </c>
      <c r="AY197" s="18" t="n">
        <v>3100000</v>
      </c>
      <c r="AZ197" s="18">
        <f>1000000000-999721125.2484</f>
        <v/>
      </c>
      <c r="BA197" s="20">
        <f>1000000000-AV197-AW197-AX197-AY197-AZ197</f>
        <v/>
      </c>
      <c r="BB197" s="21" t="n">
        <v>244.9</v>
      </c>
      <c r="BC197" s="21">
        <f>BA197/1000000-BB197</f>
        <v/>
      </c>
      <c r="BD197" s="22">
        <f>BA197*42.21</f>
        <v/>
      </c>
    </row>
    <row r="198">
      <c r="A198" s="10" t="n">
        <v>45820</v>
      </c>
      <c r="B198" s="11" t="n">
        <v>9859976825.038404</v>
      </c>
      <c r="C198" s="11" t="n"/>
      <c r="D198" s="11" t="n">
        <v>499156091</v>
      </c>
      <c r="E198" s="11" t="n"/>
      <c r="M198" s="22">
        <f>Z198/(1-R198)</f>
        <v/>
      </c>
      <c r="N198" s="11" t="n"/>
      <c r="O198" s="11" t="n">
        <v>95479</v>
      </c>
      <c r="P198" s="11" t="n"/>
      <c r="Q198" s="22">
        <f>M198+N198+O198+P198</f>
        <v/>
      </c>
      <c r="R198" s="12" t="n">
        <v>0.03</v>
      </c>
      <c r="S198" s="22">
        <f>M198*R198</f>
        <v/>
      </c>
      <c r="T198" s="22">
        <f>N198*R198</f>
        <v/>
      </c>
      <c r="U198" s="22">
        <f>(O198-V198)*R198</f>
        <v/>
      </c>
      <c r="V198" s="11" t="n">
        <v>15274</v>
      </c>
      <c r="W198" s="11" t="n"/>
      <c r="X198" s="22">
        <f>S198+T198+U198+V198+W198</f>
        <v/>
      </c>
      <c r="Y198" s="11" t="n"/>
      <c r="Z198" s="22">
        <f>AE198-AB198-AA198-AC198</f>
        <v/>
      </c>
      <c r="AA198" s="22">
        <f>N198-T198-W198</f>
        <v/>
      </c>
      <c r="AB198" s="22">
        <f>O198-V198-U198</f>
        <v/>
      </c>
      <c r="AC198" s="22">
        <f>P198</f>
        <v/>
      </c>
      <c r="AD198" s="23">
        <f>Z198+AA198+AB198+AC198</f>
        <v/>
      </c>
      <c r="AE198" s="11" t="n">
        <v>2787983.18</v>
      </c>
      <c r="AF198" s="24">
        <f>AD198-AE198</f>
        <v/>
      </c>
      <c r="AG198" s="13">
        <f>IF(OR(B198="",B198=0,M198=""),"",M198/B198*10000)</f>
        <v/>
      </c>
      <c r="AH198" s="13">
        <f>IF(OR(C198="",C198=0),"",N198/C198*10000)</f>
        <v/>
      </c>
      <c r="AI198" s="13">
        <f>IF(OR(D198="",D198=0),"",O198/D198*10000)</f>
        <v/>
      </c>
      <c r="AJ198" s="11" t="n">
        <v>21543.03993374297</v>
      </c>
      <c r="AK198" s="11" t="n">
        <v>0</v>
      </c>
      <c r="AL198" s="22">
        <f>AE198+AJ198+AK198</f>
        <v/>
      </c>
      <c r="AM198" s="22">
        <f>AE198</f>
        <v/>
      </c>
      <c r="AN198" s="14" t="n">
        <v>66551.07000000001</v>
      </c>
      <c r="AO198" s="15" t="n">
        <v>41.892387</v>
      </c>
      <c r="AP198" s="14" t="n">
        <v>24455679.69</v>
      </c>
      <c r="AQ198" s="14" t="n">
        <v>26172.6772</v>
      </c>
      <c r="AR198" s="14" t="n">
        <v>1573.8715</v>
      </c>
      <c r="AS198" s="14" t="n"/>
      <c r="AT198" s="16" t="n">
        <v>417.3013437597028</v>
      </c>
      <c r="AU198" s="17" t="n">
        <v>0.021793695</v>
      </c>
      <c r="AV198" s="14" t="n">
        <v>423717778.0144</v>
      </c>
      <c r="AW198" s="18" t="n">
        <v>60100000</v>
      </c>
      <c r="AX198" s="19" t="n">
        <v>24455679.69</v>
      </c>
      <c r="AY198" s="18" t="n">
        <v>3100000</v>
      </c>
      <c r="AZ198" s="18">
        <f>1000000000-999719551.3769</f>
        <v/>
      </c>
      <c r="BA198" s="20">
        <f>1000000000-AV198-AW198-AX198-AY198-AZ198</f>
        <v/>
      </c>
      <c r="BB198" s="21" t="n">
        <v>244.9</v>
      </c>
      <c r="BC198" s="21">
        <f>BA198/1000000-BB198</f>
        <v/>
      </c>
      <c r="BD198" s="22">
        <f>BA198*41.34</f>
        <v/>
      </c>
    </row>
    <row r="199">
      <c r="A199" s="10" t="n">
        <v>45821</v>
      </c>
      <c r="B199" s="11" t="n">
        <v>13286056841.76529</v>
      </c>
      <c r="C199" s="11" t="n"/>
      <c r="D199" s="11" t="n">
        <v>642044619</v>
      </c>
      <c r="E199" s="11" t="n"/>
      <c r="M199" s="22">
        <f>Z199/(1-R199)</f>
        <v/>
      </c>
      <c r="N199" s="11" t="n"/>
      <c r="O199" s="11" t="n">
        <v>148721</v>
      </c>
      <c r="P199" s="11" t="n"/>
      <c r="Q199" s="22">
        <f>M199+N199+O199+P199</f>
        <v/>
      </c>
      <c r="R199" s="12" t="n">
        <v>0.03</v>
      </c>
      <c r="S199" s="22">
        <f>M199*R199</f>
        <v/>
      </c>
      <c r="T199" s="22">
        <f>N199*R199</f>
        <v/>
      </c>
      <c r="U199" s="22">
        <f>(O199-V199)*R199</f>
        <v/>
      </c>
      <c r="V199" s="11" t="n">
        <v>17314</v>
      </c>
      <c r="W199" s="11" t="n"/>
      <c r="X199" s="22">
        <f>S199+T199+U199+V199+W199</f>
        <v/>
      </c>
      <c r="Y199" s="11" t="n"/>
      <c r="Z199" s="22">
        <f>AE199-AB199-AA199-AC199</f>
        <v/>
      </c>
      <c r="AA199" s="22">
        <f>N199-T199-W199</f>
        <v/>
      </c>
      <c r="AB199" s="22">
        <f>O199-V199-U199</f>
        <v/>
      </c>
      <c r="AC199" s="22">
        <f>P199</f>
        <v/>
      </c>
      <c r="AD199" s="23">
        <f>Z199+AA199+AB199+AC199</f>
        <v/>
      </c>
      <c r="AE199" s="11" t="n">
        <v>4333047.901</v>
      </c>
      <c r="AF199" s="24">
        <f>AD199-AE199</f>
        <v/>
      </c>
      <c r="AG199" s="13">
        <f>IF(OR(B199="",B199=0,M199=""),"",M199/B199*10000)</f>
        <v/>
      </c>
      <c r="AH199" s="13">
        <f>IF(OR(C199="",C199=0),"",N199/C199*10000)</f>
        <v/>
      </c>
      <c r="AI199" s="13">
        <f>IF(OR(D199="",D199=0),"",O199/D199*10000)</f>
        <v/>
      </c>
      <c r="AJ199" s="11" t="n">
        <v>25139.00915677668</v>
      </c>
      <c r="AK199" s="11" t="n">
        <v>20519.17</v>
      </c>
      <c r="AL199" s="22">
        <f>AE199+AJ199+AK199</f>
        <v/>
      </c>
      <c r="AM199" s="22">
        <f>AE199</f>
        <v/>
      </c>
      <c r="AN199" s="14" t="n">
        <v>106831.07</v>
      </c>
      <c r="AO199" s="15" t="n">
        <v>40.55981</v>
      </c>
      <c r="AP199" s="14" t="n">
        <v>24562510.76</v>
      </c>
      <c r="AQ199" s="14" t="n">
        <v>26192.0002</v>
      </c>
      <c r="AR199" s="14" t="n">
        <v>1328.325</v>
      </c>
      <c r="AS199" s="14" t="n"/>
      <c r="AT199" s="16" t="n">
        <v>420.5324196988528</v>
      </c>
      <c r="AU199" s="17" t="n">
        <v>0.0217107914</v>
      </c>
      <c r="AV199" s="14" t="n">
        <v>423691586.0142</v>
      </c>
      <c r="AW199" s="18" t="n">
        <v>60100000</v>
      </c>
      <c r="AX199" s="19" t="n">
        <v>24562510.76</v>
      </c>
      <c r="AY199" s="18" t="n">
        <v>3100000</v>
      </c>
      <c r="AZ199" s="18">
        <f>1000000000-999718223.0519</f>
        <v/>
      </c>
      <c r="BA199" s="20">
        <f>1000000000-AV199-AW199-AX199-AY199-AZ199</f>
        <v/>
      </c>
      <c r="BB199" s="21" t="n">
        <v>244.9</v>
      </c>
      <c r="BC199" s="21">
        <f>BA199/1000000-BB199</f>
        <v/>
      </c>
      <c r="BD199" s="22">
        <f>BA199*39.44</f>
        <v/>
      </c>
    </row>
    <row r="200">
      <c r="A200" s="10" t="n">
        <v>45822</v>
      </c>
      <c r="B200" s="11" t="n">
        <v>4490469119.637341</v>
      </c>
      <c r="C200" s="11" t="n"/>
      <c r="D200" s="11" t="n">
        <v>223313776</v>
      </c>
      <c r="E200" s="11" t="n"/>
      <c r="M200" s="22">
        <f>Z200/(1-R200)</f>
        <v/>
      </c>
      <c r="N200" s="11" t="n"/>
      <c r="O200" s="11" t="n">
        <v>53146</v>
      </c>
      <c r="P200" s="11" t="n"/>
      <c r="Q200" s="22">
        <f>M200+N200+O200+P200</f>
        <v/>
      </c>
      <c r="R200" s="12" t="n">
        <v>0.03</v>
      </c>
      <c r="S200" s="22">
        <f>M200*R200</f>
        <v/>
      </c>
      <c r="T200" s="22">
        <f>N200*R200</f>
        <v/>
      </c>
      <c r="U200" s="22">
        <f>(O200-V200)*R200</f>
        <v/>
      </c>
      <c r="V200" s="11" t="n">
        <v>6066</v>
      </c>
      <c r="W200" s="11" t="n"/>
      <c r="X200" s="22">
        <f>S200+T200+U200+V200+W200</f>
        <v/>
      </c>
      <c r="Y200" s="11" t="n"/>
      <c r="Z200" s="22">
        <f>AE200-AB200-AA200-AC200</f>
        <v/>
      </c>
      <c r="AA200" s="22">
        <f>N200-T200-W200</f>
        <v/>
      </c>
      <c r="AB200" s="22">
        <f>O200-V200-U200</f>
        <v/>
      </c>
      <c r="AC200" s="22">
        <f>P200</f>
        <v/>
      </c>
      <c r="AD200" s="23">
        <f>Z200+AA200+AB200+AC200</f>
        <v/>
      </c>
      <c r="AE200" s="11" t="n">
        <v>2185535.18</v>
      </c>
      <c r="AF200" s="24">
        <f>AD200-AE200</f>
        <v/>
      </c>
      <c r="AG200" s="13">
        <f>IF(OR(B200="",B200=0,M200=""),"",M200/B200*10000)</f>
        <v/>
      </c>
      <c r="AH200" s="13">
        <f>IF(OR(C200="",C200=0),"",N200/C200*10000)</f>
        <v/>
      </c>
      <c r="AI200" s="13">
        <f>IF(OR(D200="",D200=0),"",O200/D200*10000)</f>
        <v/>
      </c>
      <c r="AJ200" s="11" t="n">
        <v>8906.428435099999</v>
      </c>
      <c r="AK200" s="11" t="n">
        <v>34608.23</v>
      </c>
      <c r="AL200" s="22">
        <f>AE200+AJ200+AK200</f>
        <v/>
      </c>
      <c r="AM200" s="22">
        <f>AE200</f>
        <v/>
      </c>
      <c r="AN200" s="14" t="n">
        <v>53683.83</v>
      </c>
      <c r="AO200" s="15" t="n">
        <v>40.711238</v>
      </c>
      <c r="AP200" s="14" t="n">
        <v>24616194.59</v>
      </c>
      <c r="AQ200" s="14" t="n">
        <v>26263.4844</v>
      </c>
      <c r="AR200" s="14" t="n">
        <v>2718.0225</v>
      </c>
      <c r="AS200" s="14" t="n"/>
      <c r="AT200" s="16" t="n">
        <v>421.2096141779845</v>
      </c>
      <c r="AU200" s="17" t="n">
        <v>0.0216935359</v>
      </c>
      <c r="AV200" s="14" t="n">
        <v>423665322.5298</v>
      </c>
      <c r="AW200" s="18" t="n">
        <v>60100000</v>
      </c>
      <c r="AX200" s="19" t="n">
        <v>24616194.59</v>
      </c>
      <c r="AY200" s="18" t="n">
        <v>3100000</v>
      </c>
      <c r="AZ200" s="18">
        <f>1000000000-999715505.0294</f>
        <v/>
      </c>
      <c r="BA200" s="20">
        <f>1000000000-AV200-AW200-AX200-AY200-AZ200</f>
        <v/>
      </c>
      <c r="BB200" s="21" t="n">
        <v>244.9</v>
      </c>
      <c r="BC200" s="21">
        <f>BA200/1000000-BB200</f>
        <v/>
      </c>
      <c r="BD200" s="22">
        <f>BA200*42.07</f>
        <v/>
      </c>
    </row>
    <row r="201">
      <c r="A201" s="10" t="n">
        <v>45823</v>
      </c>
      <c r="B201" s="11" t="n">
        <v>4120559320.636847</v>
      </c>
      <c r="C201" s="11" t="n"/>
      <c r="D201" s="11" t="n">
        <v>208088792</v>
      </c>
      <c r="E201" s="11" t="n"/>
      <c r="M201" s="22">
        <f>Z201/(1-R201)</f>
        <v/>
      </c>
      <c r="N201" s="11" t="n"/>
      <c r="O201" s="11" t="n">
        <v>39647</v>
      </c>
      <c r="P201" s="11" t="n"/>
      <c r="Q201" s="22">
        <f>M201+N201+O201+P201</f>
        <v/>
      </c>
      <c r="R201" s="12" t="n">
        <v>0.03</v>
      </c>
      <c r="S201" s="22">
        <f>M201*R201</f>
        <v/>
      </c>
      <c r="T201" s="22">
        <f>N201*R201</f>
        <v/>
      </c>
      <c r="U201" s="22">
        <f>(O201-V201)*R201</f>
        <v/>
      </c>
      <c r="V201" s="11" t="n">
        <v>9055</v>
      </c>
      <c r="W201" s="11" t="n"/>
      <c r="X201" s="22">
        <f>S201+T201+U201+V201+W201</f>
        <v/>
      </c>
      <c r="Y201" s="11" t="n"/>
      <c r="Z201" s="22">
        <f>AE201-AB201-AA201-AC201</f>
        <v/>
      </c>
      <c r="AA201" s="22">
        <f>N201-T201-W201</f>
        <v/>
      </c>
      <c r="AB201" s="22">
        <f>O201-V201-U201</f>
        <v/>
      </c>
      <c r="AC201" s="22">
        <f>P201</f>
        <v/>
      </c>
      <c r="AD201" s="23">
        <f>Z201+AA201+AB201+AC201</f>
        <v/>
      </c>
      <c r="AE201" s="11" t="n">
        <v>1164654.025</v>
      </c>
      <c r="AF201" s="24">
        <f>AD201-AE201</f>
        <v/>
      </c>
      <c r="AG201" s="13">
        <f>IF(OR(B201="",B201=0,M201=""),"",M201/B201*10000)</f>
        <v/>
      </c>
      <c r="AH201" s="13">
        <f>IF(OR(C201="",C201=0),"",N201/C201*10000)</f>
        <v/>
      </c>
      <c r="AI201" s="13">
        <f>IF(OR(D201="",D201=0),"",O201/D201*10000)</f>
        <v/>
      </c>
      <c r="AJ201" s="11" t="n">
        <v>6346.058325351533</v>
      </c>
      <c r="AK201" s="11" t="n">
        <v>0</v>
      </c>
      <c r="AL201" s="22">
        <f>AE201+AJ201+AK201</f>
        <v/>
      </c>
      <c r="AM201" s="22">
        <f>AE201</f>
        <v/>
      </c>
      <c r="AN201" s="14" t="n">
        <v>28628.23</v>
      </c>
      <c r="AO201" s="15" t="n">
        <v>40.682013</v>
      </c>
      <c r="AP201" s="14" t="n">
        <v>24644822.82</v>
      </c>
      <c r="AQ201" s="14" t="n">
        <v>26057.0889</v>
      </c>
      <c r="AR201" s="14" t="n">
        <v>1523.9619</v>
      </c>
      <c r="AS201" s="14" t="n"/>
      <c r="AT201" s="16" t="n">
        <v>421.1880137404808</v>
      </c>
      <c r="AU201" s="17" t="n">
        <v>0.0216940849</v>
      </c>
      <c r="AV201" s="14" t="n">
        <v>423639265.4409</v>
      </c>
      <c r="AW201" s="18" t="n">
        <v>60100000</v>
      </c>
      <c r="AX201" s="19" t="n">
        <v>24644822.82</v>
      </c>
      <c r="AY201" s="18" t="n">
        <v>3100000</v>
      </c>
      <c r="AZ201" s="18">
        <f>1000000000-999713981.0676</f>
        <v/>
      </c>
      <c r="BA201" s="20">
        <f>1000000000-AV201-AW201-AX201-AY201-AZ201</f>
        <v/>
      </c>
      <c r="BB201" s="21" t="n">
        <v>244.9</v>
      </c>
      <c r="BC201" s="21">
        <f>BA201/1000000-BB201</f>
        <v/>
      </c>
      <c r="BD201" s="22">
        <f>BA201*40.21</f>
        <v/>
      </c>
    </row>
    <row r="202">
      <c r="A202" s="10" t="n">
        <v>45824</v>
      </c>
      <c r="B202" s="11" t="n">
        <v>9910445108.152103</v>
      </c>
      <c r="C202" s="11" t="n"/>
      <c r="D202" s="11" t="n">
        <v>500000932</v>
      </c>
      <c r="E202" s="11" t="n"/>
      <c r="M202" s="22">
        <f>Z202/(1-R202)</f>
        <v/>
      </c>
      <c r="N202" s="11" t="n"/>
      <c r="O202" s="11" t="n">
        <v>103884</v>
      </c>
      <c r="P202" s="11" t="n"/>
      <c r="Q202" s="22">
        <f>M202+N202+O202+P202</f>
        <v/>
      </c>
      <c r="R202" s="12" t="n">
        <v>0.03</v>
      </c>
      <c r="S202" s="22">
        <f>M202*R202</f>
        <v/>
      </c>
      <c r="T202" s="22">
        <f>N202*R202</f>
        <v/>
      </c>
      <c r="U202" s="22">
        <f>(O202-V202)*R202</f>
        <v/>
      </c>
      <c r="V202" s="11" t="n">
        <v>18956</v>
      </c>
      <c r="W202" s="11" t="n"/>
      <c r="X202" s="22">
        <f>S202+T202+U202+V202+W202</f>
        <v/>
      </c>
      <c r="Y202" s="11" t="n"/>
      <c r="Z202" s="22">
        <f>AE202-AB202-AA202-AC202</f>
        <v/>
      </c>
      <c r="AA202" s="22">
        <f>N202-T202-W202</f>
        <v/>
      </c>
      <c r="AB202" s="22">
        <f>O202-V202-U202</f>
        <v/>
      </c>
      <c r="AC202" s="22">
        <f>P202</f>
        <v/>
      </c>
      <c r="AD202" s="23">
        <f>Z202+AA202+AB202+AC202</f>
        <v/>
      </c>
      <c r="AE202" s="11" t="n">
        <v>1387388.361</v>
      </c>
      <c r="AF202" s="24">
        <f>AD202-AE202</f>
        <v/>
      </c>
      <c r="AG202" s="13">
        <f>IF(OR(B202="",B202=0,M202=""),"",M202/B202*10000)</f>
        <v/>
      </c>
      <c r="AH202" s="13">
        <f>IF(OR(C202="",C202=0),"",N202/C202*10000)</f>
        <v/>
      </c>
      <c r="AI202" s="13">
        <f>IF(OR(D202="",D202=0),"",O202/D202*10000)</f>
        <v/>
      </c>
      <c r="AJ202" s="11" t="n">
        <v>13337.00449259716</v>
      </c>
      <c r="AK202" s="11" t="n">
        <v>43700.71</v>
      </c>
      <c r="AL202" s="22">
        <f>AE202+AJ202+AK202</f>
        <v/>
      </c>
      <c r="AM202" s="22">
        <f>AE202</f>
        <v/>
      </c>
      <c r="AN202" s="14" t="n">
        <v>31692.79</v>
      </c>
      <c r="AO202" s="15" t="n">
        <v>43.776151</v>
      </c>
      <c r="AP202" s="14" t="n">
        <v>24676515.61</v>
      </c>
      <c r="AQ202" s="14" t="n">
        <v>26275.4979</v>
      </c>
      <c r="AR202" s="14" t="n">
        <v>535.3125</v>
      </c>
      <c r="AS202" s="14" t="n"/>
      <c r="AT202" s="16" t="n">
        <v>421.2189245307666</v>
      </c>
      <c r="AU202" s="17" t="n">
        <v>0.0216932982</v>
      </c>
      <c r="AV202" s="14" t="n">
        <v>423612989.943</v>
      </c>
      <c r="AW202" s="18" t="n">
        <v>60100000</v>
      </c>
      <c r="AX202" s="19" t="n">
        <v>24676515.61</v>
      </c>
      <c r="AY202" s="18" t="n">
        <v>3100000</v>
      </c>
      <c r="AZ202" s="18">
        <f>1000000000-999713445.755</f>
        <v/>
      </c>
      <c r="BA202" s="20">
        <f>1000000000-AV202-AW202-AX202-AY202-AZ202</f>
        <v/>
      </c>
      <c r="BB202" s="21" t="n">
        <v>244.9</v>
      </c>
      <c r="BC202" s="21">
        <f>BA202/1000000-BB202</f>
        <v/>
      </c>
      <c r="BD202" s="22">
        <f>BA202*40.98</f>
        <v/>
      </c>
    </row>
    <row r="203">
      <c r="A203" s="10" t="n">
        <v>45825</v>
      </c>
      <c r="B203" s="11" t="n">
        <v>11324625683.5624</v>
      </c>
      <c r="C203" s="11" t="n"/>
      <c r="D203" s="11" t="n">
        <v>481779486</v>
      </c>
      <c r="E203" s="11" t="n"/>
      <c r="M203" s="22">
        <f>Z203/(1-R203)</f>
        <v/>
      </c>
      <c r="N203" s="11" t="n"/>
      <c r="O203" s="11" t="n">
        <v>119116</v>
      </c>
      <c r="P203" s="11" t="n"/>
      <c r="Q203" s="22">
        <f>M203+N203+O203+P203</f>
        <v/>
      </c>
      <c r="R203" s="12" t="n">
        <v>0.03</v>
      </c>
      <c r="S203" s="22">
        <f>M203*R203</f>
        <v/>
      </c>
      <c r="T203" s="22">
        <f>N203*R203</f>
        <v/>
      </c>
      <c r="U203" s="22">
        <f>(O203-V203)*R203</f>
        <v/>
      </c>
      <c r="V203" s="11" t="n">
        <v>12781</v>
      </c>
      <c r="W203" s="11" t="n"/>
      <c r="X203" s="22">
        <f>S203+T203+U203+V203+W203</f>
        <v/>
      </c>
      <c r="Y203" s="11" t="n"/>
      <c r="Z203" s="22">
        <f>AE203-AB203-AA203-AC203</f>
        <v/>
      </c>
      <c r="AA203" s="22">
        <f>N203-T203-W203</f>
        <v/>
      </c>
      <c r="AB203" s="22">
        <f>O203-V203-U203</f>
        <v/>
      </c>
      <c r="AC203" s="22">
        <f>P203</f>
        <v/>
      </c>
      <c r="AD203" s="23">
        <f>Z203+AA203+AB203+AC203</f>
        <v/>
      </c>
      <c r="AE203" s="11" t="n">
        <v>3414074.097</v>
      </c>
      <c r="AF203" s="24">
        <f>AD203-AE203</f>
        <v/>
      </c>
      <c r="AG203" s="13">
        <f>IF(OR(B203="",B203=0,M203=""),"",M203/B203*10000)</f>
        <v/>
      </c>
      <c r="AH203" s="13">
        <f>IF(OR(C203="",C203=0),"",N203/C203*10000)</f>
        <v/>
      </c>
      <c r="AI203" s="13">
        <f>IF(OR(D203="",D203=0),"",O203/D203*10000)</f>
        <v/>
      </c>
      <c r="AJ203" s="11" t="n">
        <v>20062.71327571625</v>
      </c>
      <c r="AK203" s="11" t="n">
        <v>0</v>
      </c>
      <c r="AL203" s="22">
        <f>AE203+AJ203+AK203</f>
        <v/>
      </c>
      <c r="AM203" s="22">
        <f>AE203</f>
        <v/>
      </c>
      <c r="AN203" s="14" t="n">
        <v>84832.16</v>
      </c>
      <c r="AO203" s="15" t="n">
        <v>40.245045</v>
      </c>
      <c r="AP203" s="14" t="n">
        <v>24761347.77</v>
      </c>
      <c r="AQ203" s="14" t="n">
        <v>26285.5777</v>
      </c>
      <c r="AR203" s="14" t="n">
        <v>2288.4006</v>
      </c>
      <c r="AS203" s="14" t="n"/>
      <c r="AT203" s="16" t="n">
        <v>421.6480756549562</v>
      </c>
      <c r="AU203" s="17" t="n">
        <v>0.0216823848</v>
      </c>
      <c r="AV203" s="14" t="n">
        <v>423586704.3654</v>
      </c>
      <c r="AW203" s="18" t="n">
        <v>60100000</v>
      </c>
      <c r="AX203" s="19" t="n">
        <v>24761347.77</v>
      </c>
      <c r="AY203" s="18" t="n">
        <v>3100000</v>
      </c>
      <c r="AZ203" s="18">
        <f>1000000000-999711157.3544</f>
        <v/>
      </c>
      <c r="BA203" s="20">
        <f>1000000000-AV203-AW203-AX203-AY203-AZ203</f>
        <v/>
      </c>
      <c r="BB203" s="21" t="n">
        <v>244.9</v>
      </c>
      <c r="BC203" s="21">
        <f>BA203/1000000-BB203</f>
        <v/>
      </c>
      <c r="BD203" s="22">
        <f>BA203*41.36</f>
        <v/>
      </c>
    </row>
    <row r="204">
      <c r="A204" s="10" t="n">
        <v>45826</v>
      </c>
      <c r="B204" s="11" t="n">
        <v>7999530032.926586</v>
      </c>
      <c r="C204" s="11" t="n"/>
      <c r="D204" s="11" t="n">
        <v>420606916</v>
      </c>
      <c r="E204" s="11" t="n"/>
      <c r="M204" s="22">
        <f>Z204/(1-R204)</f>
        <v/>
      </c>
      <c r="N204" s="11" t="n"/>
      <c r="O204" s="11" t="n">
        <v>88887</v>
      </c>
      <c r="P204" s="11" t="n"/>
      <c r="Q204" s="22">
        <f>M204+N204+O204+P204</f>
        <v/>
      </c>
      <c r="R204" s="12" t="n">
        <v>0.03</v>
      </c>
      <c r="S204" s="22">
        <f>M204*R204</f>
        <v/>
      </c>
      <c r="T204" s="22">
        <f>N204*R204</f>
        <v/>
      </c>
      <c r="U204" s="22">
        <f>(O204-V204)*R204</f>
        <v/>
      </c>
      <c r="V204" s="11" t="n">
        <v>13775</v>
      </c>
      <c r="W204" s="11" t="n"/>
      <c r="X204" s="22">
        <f>S204+T204+U204+V204+W204</f>
        <v/>
      </c>
      <c r="Y204" s="11" t="n"/>
      <c r="Z204" s="22">
        <f>AE204-AB204-AA204-AC204</f>
        <v/>
      </c>
      <c r="AA204" s="22">
        <f>N204-T204-W204</f>
        <v/>
      </c>
      <c r="AB204" s="22">
        <f>O204-V204-U204</f>
        <v/>
      </c>
      <c r="AC204" s="22">
        <f>P204</f>
        <v/>
      </c>
      <c r="AD204" s="23">
        <f>Z204+AA204+AB204+AC204</f>
        <v/>
      </c>
      <c r="AE204" s="11" t="n">
        <v>2621754.273</v>
      </c>
      <c r="AF204" s="24">
        <f>AD204-AE204</f>
        <v/>
      </c>
      <c r="AG204" s="13">
        <f>IF(OR(B204="",B204=0,M204=""),"",M204/B204*10000)</f>
        <v/>
      </c>
      <c r="AH204" s="13">
        <f>IF(OR(C204="",C204=0),"",N204/C204*10000)</f>
        <v/>
      </c>
      <c r="AI204" s="13">
        <f>IF(OR(D204="",D204=0),"",O204/D204*10000)</f>
        <v/>
      </c>
      <c r="AJ204" s="11" t="n">
        <v>15089.27882149545</v>
      </c>
      <c r="AK204" s="11" t="n">
        <v>28795.88</v>
      </c>
      <c r="AL204" s="22">
        <f>AE204+AJ204+AK204</f>
        <v/>
      </c>
      <c r="AM204" s="22">
        <f>AE204</f>
        <v/>
      </c>
      <c r="AN204" s="14" t="n">
        <v>68011.24000000001</v>
      </c>
      <c r="AO204" s="15" t="n">
        <v>38.548838</v>
      </c>
      <c r="AP204" s="14" t="n">
        <v>24829359.01</v>
      </c>
      <c r="AQ204" s="14" t="n">
        <v>26255.0567</v>
      </c>
      <c r="AR204" s="14" t="n">
        <v>1751.8615</v>
      </c>
      <c r="AS204" s="14" t="n"/>
      <c r="AT204" s="16" t="n">
        <v>418.8556508589211</v>
      </c>
      <c r="AU204" s="17" t="n">
        <v>0.0217536955</v>
      </c>
      <c r="AV204" s="14" t="n">
        <v>423560449.3087</v>
      </c>
      <c r="AW204" s="18" t="n">
        <v>60100000</v>
      </c>
      <c r="AX204" s="19" t="n">
        <v>24829359.01</v>
      </c>
      <c r="AY204" s="18" t="n">
        <v>3100000</v>
      </c>
      <c r="AZ204" s="18">
        <f>1000000000-999709405.493</f>
        <v/>
      </c>
      <c r="BA204" s="20">
        <f>1000000000-AV204-AW204-AX204-AY204-AZ204</f>
        <v/>
      </c>
      <c r="BB204" s="21" t="n">
        <v>244.9</v>
      </c>
      <c r="BC204" s="21">
        <f>BA204/1000000-BB204</f>
        <v/>
      </c>
      <c r="BD204" s="22">
        <f>BA204*39.8</f>
        <v/>
      </c>
    </row>
    <row r="205">
      <c r="A205" s="10" t="n">
        <v>45827</v>
      </c>
      <c r="B205" s="11" t="n">
        <v>5309706181.645636</v>
      </c>
      <c r="C205" s="11" t="n"/>
      <c r="D205" s="11" t="n">
        <v>309275966</v>
      </c>
      <c r="E205" s="11" t="n"/>
      <c r="M205" s="22">
        <f>Z205/(1-R205)</f>
        <v/>
      </c>
      <c r="N205" s="11" t="n"/>
      <c r="O205" s="11" t="n">
        <v>73911</v>
      </c>
      <c r="P205" s="11" t="n"/>
      <c r="Q205" s="22">
        <f>M205+N205+O205+P205</f>
        <v/>
      </c>
      <c r="R205" s="12" t="n">
        <v>0.03</v>
      </c>
      <c r="S205" s="22">
        <f>M205*R205</f>
        <v/>
      </c>
      <c r="T205" s="22">
        <f>N205*R205</f>
        <v/>
      </c>
      <c r="U205" s="22">
        <f>(O205-V205)*R205</f>
        <v/>
      </c>
      <c r="V205" s="11" t="n">
        <v>7959</v>
      </c>
      <c r="W205" s="11" t="n"/>
      <c r="X205" s="22">
        <f>S205+T205+U205+V205+W205</f>
        <v/>
      </c>
      <c r="Y205" s="11" t="n"/>
      <c r="Z205" s="22">
        <f>AE205-AB205-AA205-AC205</f>
        <v/>
      </c>
      <c r="AA205" s="22">
        <f>N205-T205-W205</f>
        <v/>
      </c>
      <c r="AB205" s="22">
        <f>O205-V205-U205</f>
        <v/>
      </c>
      <c r="AC205" s="22">
        <f>P205</f>
        <v/>
      </c>
      <c r="AD205" s="23">
        <f>Z205+AA205+AB205+AC205</f>
        <v/>
      </c>
      <c r="AE205" s="11" t="n">
        <v>2072394.657</v>
      </c>
      <c r="AF205" s="24">
        <f>AD205-AE205</f>
        <v/>
      </c>
      <c r="AG205" s="13">
        <f>IF(OR(B205="",B205=0,M205=""),"",M205/B205*10000)</f>
        <v/>
      </c>
      <c r="AH205" s="13">
        <f>IF(OR(C205="",C205=0),"",N205/C205*10000)</f>
        <v/>
      </c>
      <c r="AI205" s="13">
        <f>IF(OR(D205="",D205=0),"",O205/D205*10000)</f>
        <v/>
      </c>
      <c r="AJ205" s="11" t="n">
        <v>18252.61533476083</v>
      </c>
      <c r="AK205" s="11" t="n">
        <v>24354.76</v>
      </c>
      <c r="AL205" s="22">
        <f>AE205+AJ205+AK205</f>
        <v/>
      </c>
      <c r="AM205" s="22">
        <f>AE205</f>
        <v/>
      </c>
      <c r="AN205" s="14" t="n">
        <v>55708.49</v>
      </c>
      <c r="AO205" s="15" t="n">
        <v>37.200697</v>
      </c>
      <c r="AP205" s="14" t="n">
        <v>24885067.5</v>
      </c>
      <c r="AQ205" s="14" t="n">
        <v>26211.4713</v>
      </c>
      <c r="AR205" s="14" t="n">
        <v>1998.2373</v>
      </c>
      <c r="AS205" s="14" t="n"/>
      <c r="AT205" s="16" t="n">
        <v>418.6703988789594</v>
      </c>
      <c r="AU205" s="17" t="n">
        <v>0.0217584513</v>
      </c>
      <c r="AV205" s="14" t="n">
        <v>423534237.8373</v>
      </c>
      <c r="AW205" s="18" t="n">
        <v>60100000</v>
      </c>
      <c r="AX205" s="19" t="n">
        <v>24885067.5</v>
      </c>
      <c r="AY205" s="18" t="n">
        <v>3100000</v>
      </c>
      <c r="AZ205" s="18">
        <f>1000000000-999707407.2557</f>
        <v/>
      </c>
      <c r="BA205" s="20">
        <f>1000000000-AV205-AW205-AX205-AY205-AZ205</f>
        <v/>
      </c>
      <c r="BB205" s="21" t="n">
        <v>244.9</v>
      </c>
      <c r="BC205" s="21">
        <f>BA205/1000000-BB205</f>
        <v/>
      </c>
      <c r="BD205" s="22">
        <f>BA205*39.3</f>
        <v/>
      </c>
    </row>
    <row r="206">
      <c r="A206" s="10" t="n">
        <v>45828</v>
      </c>
      <c r="B206" s="11" t="n">
        <v>8984765570.031044</v>
      </c>
      <c r="C206" s="11" t="n"/>
      <c r="D206" s="11" t="n">
        <v>390870684</v>
      </c>
      <c r="E206" s="11" t="n"/>
      <c r="M206" s="22">
        <f>Z206/(1-R206)</f>
        <v/>
      </c>
      <c r="N206" s="11" t="n"/>
      <c r="O206" s="11" t="n">
        <v>93536</v>
      </c>
      <c r="P206" s="11" t="n"/>
      <c r="Q206" s="22">
        <f>M206+N206+O206+P206</f>
        <v/>
      </c>
      <c r="R206" s="12" t="n">
        <v>0.03</v>
      </c>
      <c r="S206" s="22">
        <f>M206*R206</f>
        <v/>
      </c>
      <c r="T206" s="22">
        <f>N206*R206</f>
        <v/>
      </c>
      <c r="U206" s="22">
        <f>(O206-V206)*R206</f>
        <v/>
      </c>
      <c r="V206" s="11" t="n">
        <v>17100</v>
      </c>
      <c r="W206" s="11" t="n"/>
      <c r="X206" s="22">
        <f>S206+T206+U206+V206+W206</f>
        <v/>
      </c>
      <c r="Y206" s="11" t="n"/>
      <c r="Z206" s="22">
        <f>AE206-AB206-AA206-AC206</f>
        <v/>
      </c>
      <c r="AA206" s="22">
        <f>N206-T206-W206</f>
        <v/>
      </c>
      <c r="AB206" s="22">
        <f>O206-V206-U206</f>
        <v/>
      </c>
      <c r="AC206" s="22">
        <f>P206</f>
        <v/>
      </c>
      <c r="AD206" s="23">
        <f>Z206+AA206+AB206+AC206</f>
        <v/>
      </c>
      <c r="AE206" s="11" t="n">
        <v>1572540.275</v>
      </c>
      <c r="AF206" s="24">
        <f>AD206-AE206</f>
        <v/>
      </c>
      <c r="AG206" s="13">
        <f>IF(OR(B206="",B206=0,M206=""),"",M206/B206*10000)</f>
        <v/>
      </c>
      <c r="AH206" s="13">
        <f>IF(OR(C206="",C206=0),"",N206/C206*10000)</f>
        <v/>
      </c>
      <c r="AI206" s="13">
        <f>IF(OR(D206="",D206=0),"",O206/D206*10000)</f>
        <v/>
      </c>
      <c r="AJ206" s="11" t="n">
        <v>19860.19996333497</v>
      </c>
      <c r="AK206" s="11" t="n">
        <v>25525.19</v>
      </c>
      <c r="AL206" s="22">
        <f>AE206+AJ206+AK206</f>
        <v/>
      </c>
      <c r="AM206" s="22">
        <f>AE206</f>
        <v/>
      </c>
      <c r="AN206" s="14" t="n">
        <v>46185.19</v>
      </c>
      <c r="AO206" s="15" t="n">
        <v>34.048583</v>
      </c>
      <c r="AP206" s="14" t="n">
        <v>24931252.69</v>
      </c>
      <c r="AQ206" s="14" t="n">
        <v>26182.7163</v>
      </c>
      <c r="AR206" s="14" t="n">
        <v>1736.6411</v>
      </c>
      <c r="AS206" s="14" t="n"/>
      <c r="AT206" s="16" t="n">
        <v>419.6617842861842</v>
      </c>
      <c r="AU206" s="17" t="n">
        <v>0.0217330368</v>
      </c>
      <c r="AV206" s="14" t="n">
        <v>423508055.1211</v>
      </c>
      <c r="AW206" s="18" t="n">
        <v>60100000</v>
      </c>
      <c r="AX206" s="19" t="n">
        <v>24931252.69</v>
      </c>
      <c r="AY206" s="18" t="n">
        <v>3100000</v>
      </c>
      <c r="AZ206" s="18">
        <f>1000000000-999705670.6146</f>
        <v/>
      </c>
      <c r="BA206" s="20">
        <f>1000000000-AV206-AW206-AX206-AY206-AZ206</f>
        <v/>
      </c>
      <c r="BB206" s="21" t="n">
        <v>244.9</v>
      </c>
      <c r="BC206" s="21">
        <f>BA206/1000000-BB206</f>
        <v/>
      </c>
      <c r="BD206" s="22">
        <f>BA206*36.93</f>
        <v/>
      </c>
    </row>
    <row r="207">
      <c r="A207" s="10" t="n">
        <v>45829</v>
      </c>
      <c r="B207" s="11" t="n">
        <v>5853561717.658664</v>
      </c>
      <c r="C207" s="11" t="n"/>
      <c r="D207" s="11" t="n">
        <v>325856019</v>
      </c>
      <c r="E207" s="11" t="n"/>
      <c r="M207" s="22">
        <f>Z207/(1-R207)</f>
        <v/>
      </c>
      <c r="N207" s="11" t="n"/>
      <c r="O207" s="11" t="n">
        <v>69112</v>
      </c>
      <c r="P207" s="11" t="n"/>
      <c r="Q207" s="22">
        <f>M207+N207+O207+P207</f>
        <v/>
      </c>
      <c r="R207" s="12" t="n">
        <v>0.03</v>
      </c>
      <c r="S207" s="22">
        <f>M207*R207</f>
        <v/>
      </c>
      <c r="T207" s="22">
        <f>N207*R207</f>
        <v/>
      </c>
      <c r="U207" s="22">
        <f>(O207-V207)*R207</f>
        <v/>
      </c>
      <c r="V207" s="11" t="n">
        <v>10606</v>
      </c>
      <c r="W207" s="11" t="n"/>
      <c r="X207" s="22">
        <f>S207+T207+U207+V207+W207</f>
        <v/>
      </c>
      <c r="Y207" s="11" t="n"/>
      <c r="Z207" s="22">
        <f>AE207-AB207-AA207-AC207</f>
        <v/>
      </c>
      <c r="AA207" s="22">
        <f>N207-T207-W207</f>
        <v/>
      </c>
      <c r="AB207" s="22">
        <f>O207-V207-U207</f>
        <v/>
      </c>
      <c r="AC207" s="22">
        <f>P207</f>
        <v/>
      </c>
      <c r="AD207" s="23">
        <f>Z207+AA207+AB207+AC207</f>
        <v/>
      </c>
      <c r="AE207" s="11" t="n">
        <v>2062339.95</v>
      </c>
      <c r="AF207" s="24">
        <f>AD207-AE207</f>
        <v/>
      </c>
      <c r="AG207" s="13">
        <f>IF(OR(B207="",B207=0,M207=""),"",M207/B207*10000)</f>
        <v/>
      </c>
      <c r="AH207" s="13">
        <f>IF(OR(C207="",C207=0),"",N207/C207*10000)</f>
        <v/>
      </c>
      <c r="AI207" s="13">
        <f>IF(OR(D207="",D207=0),"",O207/D207*10000)</f>
        <v/>
      </c>
      <c r="AJ207" s="11" t="n">
        <v>10510.7072833123</v>
      </c>
      <c r="AK207" s="11" t="n">
        <v>26551.55</v>
      </c>
      <c r="AL207" s="22">
        <f>AE207+AJ207+AK207</f>
        <v/>
      </c>
      <c r="AM207" s="22">
        <f>AE207</f>
        <v/>
      </c>
      <c r="AN207" s="14" t="n">
        <v>62400.26</v>
      </c>
      <c r="AO207" s="15" t="n">
        <v>33.050182</v>
      </c>
      <c r="AP207" s="14" t="n">
        <v>24993652.95</v>
      </c>
      <c r="AQ207" s="14" t="n">
        <v>26223.7499</v>
      </c>
      <c r="AR207" s="14" t="n">
        <v>1975.2883</v>
      </c>
      <c r="AS207" s="14" t="n"/>
      <c r="AT207" s="16" t="n">
        <v>419.0810266395478</v>
      </c>
      <c r="AU207" s="17" t="n">
        <v>0.0217479139</v>
      </c>
      <c r="AV207" s="14" t="n">
        <v>423481831.3712</v>
      </c>
      <c r="AW207" s="18" t="n">
        <v>60100000</v>
      </c>
      <c r="AX207" s="19" t="n">
        <v>24993652.95</v>
      </c>
      <c r="AY207" s="18" t="n">
        <v>3100000</v>
      </c>
      <c r="AZ207" s="18">
        <f>1000000000-999703695.3263</f>
        <v/>
      </c>
      <c r="BA207" s="20">
        <f>1000000000-AV207-AW207-AX207-AY207-AZ207</f>
        <v/>
      </c>
      <c r="BB207" s="21" t="n">
        <v>244.9</v>
      </c>
      <c r="BC207" s="21">
        <f>BA207/1000000-BB207</f>
        <v/>
      </c>
      <c r="BD207" s="22">
        <f>BA207*33.01</f>
        <v/>
      </c>
    </row>
    <row r="208">
      <c r="A208" s="10" t="n">
        <v>45830</v>
      </c>
      <c r="B208" s="11" t="n">
        <v>12754870645.14705</v>
      </c>
      <c r="C208" s="11" t="n"/>
      <c r="D208" s="11" t="n">
        <v>428910072</v>
      </c>
      <c r="E208" s="11" t="n"/>
      <c r="M208" s="22">
        <f>Z208/(1-R208)</f>
        <v/>
      </c>
      <c r="N208" s="11" t="n"/>
      <c r="O208" s="11" t="n">
        <v>92755</v>
      </c>
      <c r="P208" s="11" t="n"/>
      <c r="Q208" s="22">
        <f>M208+N208+O208+P208</f>
        <v/>
      </c>
      <c r="R208" s="12" t="n">
        <v>0.03</v>
      </c>
      <c r="S208" s="22">
        <f>M208*R208</f>
        <v/>
      </c>
      <c r="T208" s="22">
        <f>N208*R208</f>
        <v/>
      </c>
      <c r="U208" s="22">
        <f>(O208-V208)*R208</f>
        <v/>
      </c>
      <c r="V208" s="11" t="n">
        <v>22993</v>
      </c>
      <c r="W208" s="11" t="n"/>
      <c r="X208" s="22">
        <f>S208+T208+U208+V208+W208</f>
        <v/>
      </c>
      <c r="Y208" s="11" t="n"/>
      <c r="Z208" s="22">
        <f>AE208-AB208-AA208-AC208</f>
        <v/>
      </c>
      <c r="AA208" s="22">
        <f>N208-T208-W208</f>
        <v/>
      </c>
      <c r="AB208" s="22">
        <f>O208-V208-U208</f>
        <v/>
      </c>
      <c r="AC208" s="22">
        <f>P208</f>
        <v/>
      </c>
      <c r="AD208" s="23">
        <f>Z208+AA208+AB208+AC208</f>
        <v/>
      </c>
      <c r="AE208" s="11" t="n">
        <v>2243331.857</v>
      </c>
      <c r="AF208" s="24">
        <f>AD208-AE208</f>
        <v/>
      </c>
      <c r="AG208" s="13">
        <f>IF(OR(B208="",B208=0,M208=""),"",M208/B208*10000)</f>
        <v/>
      </c>
      <c r="AH208" s="13">
        <f>IF(OR(C208="",C208=0),"",N208/C208*10000)</f>
        <v/>
      </c>
      <c r="AI208" s="13">
        <f>IF(OR(D208="",D208=0),"",O208/D208*10000)</f>
        <v/>
      </c>
      <c r="AJ208" s="11" t="n">
        <v>13559.37666744104</v>
      </c>
      <c r="AK208" s="11" t="n">
        <v>0</v>
      </c>
      <c r="AL208" s="22">
        <f>AE208+AJ208+AK208</f>
        <v/>
      </c>
      <c r="AM208" s="22">
        <f>AE208</f>
        <v/>
      </c>
      <c r="AN208" s="14" t="n">
        <v>67413.95</v>
      </c>
      <c r="AO208" s="15" t="n">
        <v>33.276968</v>
      </c>
      <c r="AP208" s="14" t="n">
        <v>25061066.9</v>
      </c>
      <c r="AQ208" s="14" t="n">
        <v>26187.2271</v>
      </c>
      <c r="AR208" s="14" t="n">
        <v>2172.3448</v>
      </c>
      <c r="AS208" s="14" t="n"/>
      <c r="AT208" s="16" t="n">
        <v>418.9143011259516</v>
      </c>
      <c r="AU208" s="17" t="n">
        <v>0.0217521897</v>
      </c>
      <c r="AV208" s="14" t="n">
        <v>423455644.144</v>
      </c>
      <c r="AW208" s="18" t="n">
        <v>60100000</v>
      </c>
      <c r="AX208" s="19" t="n">
        <v>25061066.9</v>
      </c>
      <c r="AY208" s="18" t="n">
        <v>3100000</v>
      </c>
      <c r="AZ208" s="18">
        <f>1000000000-999701522.9815</f>
        <v/>
      </c>
      <c r="BA208" s="20">
        <f>1000000000-AV208-AW208-AX208-AY208-AZ208</f>
        <v/>
      </c>
      <c r="BB208" s="21" t="n">
        <v>244.9</v>
      </c>
      <c r="BC208" s="21">
        <f>BA208/1000000-BB208</f>
        <v/>
      </c>
      <c r="BD208" s="22">
        <f>BA208*33.64</f>
        <v/>
      </c>
    </row>
    <row r="209">
      <c r="A209" s="10" t="n">
        <v>45831</v>
      </c>
      <c r="B209" s="11" t="n">
        <v>13808379727.87627</v>
      </c>
      <c r="C209" s="11" t="n"/>
      <c r="D209" s="11" t="n">
        <v>521103467</v>
      </c>
      <c r="E209" s="11" t="n"/>
      <c r="M209" s="22">
        <f>Z209/(1-R209)</f>
        <v/>
      </c>
      <c r="N209" s="11" t="n"/>
      <c r="O209" s="11" t="n">
        <v>106972</v>
      </c>
      <c r="P209" s="11" t="n"/>
      <c r="Q209" s="22">
        <f>M209+N209+O209+P209</f>
        <v/>
      </c>
      <c r="R209" s="12" t="n">
        <v>0.03</v>
      </c>
      <c r="S209" s="22">
        <f>M209*R209</f>
        <v/>
      </c>
      <c r="T209" s="22">
        <f>N209*R209</f>
        <v/>
      </c>
      <c r="U209" s="22">
        <f>(O209-V209)*R209</f>
        <v/>
      </c>
      <c r="V209" s="11" t="n">
        <v>22370</v>
      </c>
      <c r="W209" s="11" t="n"/>
      <c r="X209" s="22">
        <f>S209+T209+U209+V209+W209</f>
        <v/>
      </c>
      <c r="Y209" s="11" t="n"/>
      <c r="Z209" s="22">
        <f>AE209-AB209-AA209-AC209</f>
        <v/>
      </c>
      <c r="AA209" s="22">
        <f>N209-T209-W209</f>
        <v/>
      </c>
      <c r="AB209" s="22">
        <f>O209-V209-U209</f>
        <v/>
      </c>
      <c r="AC209" s="22">
        <f>P209</f>
        <v/>
      </c>
      <c r="AD209" s="23">
        <f>Z209+AA209+AB209+AC209</f>
        <v/>
      </c>
      <c r="AE209" s="11" t="n">
        <v>3427206.965</v>
      </c>
      <c r="AF209" s="24">
        <f>AD209-AE209</f>
        <v/>
      </c>
      <c r="AG209" s="13">
        <f>IF(OR(B209="",B209=0,M209=""),"",M209/B209*10000)</f>
        <v/>
      </c>
      <c r="AH209" s="13">
        <f>IF(OR(C209="",C209=0),"",N209/C209*10000)</f>
        <v/>
      </c>
      <c r="AI209" s="13">
        <f>IF(OR(D209="",D209=0),"",O209/D209*10000)</f>
        <v/>
      </c>
      <c r="AJ209" s="11" t="n">
        <v>16668.45397892478</v>
      </c>
      <c r="AK209" s="11" t="n">
        <v>24169.31</v>
      </c>
      <c r="AL209" s="22">
        <f>AE209+AJ209+AK209</f>
        <v/>
      </c>
      <c r="AM209" s="22">
        <f>AE209</f>
        <v/>
      </c>
      <c r="AN209" s="14" t="n">
        <v>93856.7</v>
      </c>
      <c r="AO209" s="15" t="n">
        <v>36.515315</v>
      </c>
      <c r="AP209" s="14" t="n">
        <v>25154923.6</v>
      </c>
      <c r="AQ209" s="14" t="n">
        <v>26160.7949</v>
      </c>
      <c r="AR209" s="14" t="n">
        <v>1693.9611</v>
      </c>
      <c r="AS209" s="14" t="n"/>
      <c r="AT209" s="16" t="n">
        <v>418.6927192101451</v>
      </c>
      <c r="AU209" s="17" t="n">
        <v>0.0217578774</v>
      </c>
      <c r="AV209" s="14" t="n">
        <v>423429483.3491</v>
      </c>
      <c r="AW209" s="18" t="n">
        <v>60100000</v>
      </c>
      <c r="AX209" s="19" t="n">
        <v>25154923.6</v>
      </c>
      <c r="AY209" s="18" t="n">
        <v>3100000</v>
      </c>
      <c r="AZ209" s="18">
        <f>1000000000-999699829.0203</f>
        <v/>
      </c>
      <c r="BA209" s="20">
        <f>1000000000-AV209-AW209-AX209-AY209-AZ209</f>
        <v/>
      </c>
      <c r="BB209" s="21" t="n">
        <v>244.9</v>
      </c>
      <c r="BC209" s="21">
        <f>BA209/1000000-BB209</f>
        <v/>
      </c>
      <c r="BD209" s="22">
        <f>BA209*35.3</f>
        <v/>
      </c>
    </row>
    <row r="210">
      <c r="A210" s="10" t="n">
        <v>45832</v>
      </c>
      <c r="B210" s="11" t="n">
        <v>7562435082.964275</v>
      </c>
      <c r="C210" s="11" t="n"/>
      <c r="D210" s="11" t="n">
        <v>337608363</v>
      </c>
      <c r="E210" s="11" t="n"/>
      <c r="M210" s="22">
        <f>Z210/(1-R210)</f>
        <v/>
      </c>
      <c r="N210" s="11" t="n"/>
      <c r="O210" s="11" t="n">
        <v>75574</v>
      </c>
      <c r="P210" s="11" t="n"/>
      <c r="Q210" s="22">
        <f>M210+N210+O210+P210</f>
        <v/>
      </c>
      <c r="R210" s="12" t="n">
        <v>0.03</v>
      </c>
      <c r="S210" s="22">
        <f>M210*R210</f>
        <v/>
      </c>
      <c r="T210" s="22">
        <f>N210*R210</f>
        <v/>
      </c>
      <c r="U210" s="22">
        <f>(O210-V210)*R210</f>
        <v/>
      </c>
      <c r="V210" s="11" t="n">
        <v>15897</v>
      </c>
      <c r="W210" s="11" t="n"/>
      <c r="X210" s="22">
        <f>S210+T210+U210+V210+W210</f>
        <v/>
      </c>
      <c r="Y210" s="11" t="n"/>
      <c r="Z210" s="22">
        <f>AE210-AB210-AA210-AC210</f>
        <v/>
      </c>
      <c r="AA210" s="22">
        <f>N210-T210-W210</f>
        <v/>
      </c>
      <c r="AB210" s="22">
        <f>O210-V210-U210</f>
        <v/>
      </c>
      <c r="AC210" s="22">
        <f>P210</f>
        <v/>
      </c>
      <c r="AD210" s="23">
        <f>Z210+AA210+AB210+AC210</f>
        <v/>
      </c>
      <c r="AE210" s="11" t="n">
        <v>4394495.539</v>
      </c>
      <c r="AF210" s="24">
        <f>AD210-AE210</f>
        <v/>
      </c>
      <c r="AG210" s="13">
        <f>IF(OR(B210="",B210=0,M210=""),"",M210/B210*10000)</f>
        <v/>
      </c>
      <c r="AH210" s="13">
        <f>IF(OR(C210="",C210=0),"",N210/C210*10000)</f>
        <v/>
      </c>
      <c r="AI210" s="13">
        <f>IF(OR(D210="",D210=0),"",O210/D210*10000)</f>
        <v/>
      </c>
      <c r="AJ210" s="11" t="n">
        <v>6948.965492956771</v>
      </c>
      <c r="AK210" s="11" t="n">
        <v>27735.18</v>
      </c>
      <c r="AL210" s="22">
        <f>AE210+AJ210+AK210</f>
        <v/>
      </c>
      <c r="AM210" s="22">
        <f>AE210</f>
        <v/>
      </c>
      <c r="AN210" s="14" t="n">
        <v>116998.38</v>
      </c>
      <c r="AO210" s="15" t="n">
        <v>37.560311</v>
      </c>
      <c r="AP210" s="14" t="n">
        <v>25271921.98</v>
      </c>
      <c r="AQ210" s="14" t="n">
        <v>26181.7962</v>
      </c>
      <c r="AR210" s="14" t="n">
        <v>2653.9171</v>
      </c>
      <c r="AS210" s="14" t="n"/>
      <c r="AT210" s="16" t="n">
        <v>418.399781381552</v>
      </c>
      <c r="AU210" s="17" t="n">
        <v>0.0217654035</v>
      </c>
      <c r="AV210" s="14" t="n">
        <v>423403301.5529</v>
      </c>
      <c r="AW210" s="18" t="n">
        <v>60100000</v>
      </c>
      <c r="AX210" s="19" t="n">
        <v>25271921.98</v>
      </c>
      <c r="AY210" s="18" t="n">
        <v>3100000</v>
      </c>
      <c r="AZ210" s="18">
        <f>1000000000-999697175.1033</f>
        <v/>
      </c>
      <c r="BA210" s="20">
        <f>1000000000-AV210-AW210-AX210-AY210-AZ210</f>
        <v/>
      </c>
      <c r="BB210" s="21" t="n">
        <v>244.9</v>
      </c>
      <c r="BC210" s="21">
        <f>BA210/1000000-BB210</f>
        <v/>
      </c>
      <c r="BD210" s="22">
        <f>BA210*37.87</f>
        <v/>
      </c>
    </row>
    <row r="211">
      <c r="A211" s="10" t="n">
        <v>45833</v>
      </c>
      <c r="B211" s="11" t="n">
        <v>7112711274.387126</v>
      </c>
      <c r="C211" s="11" t="n"/>
      <c r="D211" s="11" t="n">
        <v>303321363</v>
      </c>
      <c r="E211" s="11" t="n"/>
      <c r="M211" s="22">
        <f>Z211/(1-R211)</f>
        <v/>
      </c>
      <c r="N211" s="11" t="n"/>
      <c r="O211" s="11" t="n">
        <v>66347</v>
      </c>
      <c r="P211" s="11" t="n"/>
      <c r="Q211" s="22">
        <f>M211+N211+O211+P211</f>
        <v/>
      </c>
      <c r="R211" s="12" t="n">
        <v>0.03</v>
      </c>
      <c r="S211" s="22">
        <f>M211*R211</f>
        <v/>
      </c>
      <c r="T211" s="22">
        <f>N211*R211</f>
        <v/>
      </c>
      <c r="U211" s="22">
        <f>(O211-V211)*R211</f>
        <v/>
      </c>
      <c r="V211" s="11" t="n">
        <v>12062</v>
      </c>
      <c r="W211" s="11" t="n"/>
      <c r="X211" s="22">
        <f>S211+T211+U211+V211+W211</f>
        <v/>
      </c>
      <c r="Y211" s="11" t="n"/>
      <c r="Z211" s="22">
        <f>AE211-AB211-AA211-AC211</f>
        <v/>
      </c>
      <c r="AA211" s="22">
        <f>N211-T211-W211</f>
        <v/>
      </c>
      <c r="AB211" s="22">
        <f>O211-V211-U211</f>
        <v/>
      </c>
      <c r="AC211" s="22">
        <f>P211</f>
        <v/>
      </c>
      <c r="AD211" s="23">
        <f>Z211+AA211+AB211+AC211</f>
        <v/>
      </c>
      <c r="AE211" s="11" t="n">
        <v>1849546.926</v>
      </c>
      <c r="AF211" s="24">
        <f>AD211-AE211</f>
        <v/>
      </c>
      <c r="AG211" s="13">
        <f>IF(OR(B211="",B211=0,M211=""),"",M211/B211*10000)</f>
        <v/>
      </c>
      <c r="AH211" s="13">
        <f>IF(OR(C211="",C211=0),"",N211/C211*10000)</f>
        <v/>
      </c>
      <c r="AI211" s="13">
        <f>IF(OR(D211="",D211=0),"",O211/D211*10000)</f>
        <v/>
      </c>
      <c r="AJ211" s="11" t="n">
        <v>7939.630694802136</v>
      </c>
      <c r="AK211" s="11" t="n">
        <v>0</v>
      </c>
      <c r="AL211" s="22">
        <f>AE211+AJ211+AK211</f>
        <v/>
      </c>
      <c r="AM211" s="22">
        <f>AE211</f>
        <v/>
      </c>
      <c r="AN211" s="14" t="n">
        <v>49011.9</v>
      </c>
      <c r="AO211" s="15" t="n">
        <v>37.736691</v>
      </c>
      <c r="AP211" s="14" t="n">
        <v>25320933.88</v>
      </c>
      <c r="AQ211" s="14" t="n">
        <v>26205.6615</v>
      </c>
      <c r="AR211" s="14" t="n">
        <v>1860.9468</v>
      </c>
      <c r="AS211" s="14" t="n"/>
      <c r="AT211" s="16" t="n">
        <v>420.8730926361306</v>
      </c>
      <c r="AU211" s="17" t="n">
        <v>0.0217021108</v>
      </c>
      <c r="AV211" s="14" t="n">
        <v>423377095.8914</v>
      </c>
      <c r="AW211" s="18" t="n">
        <v>60100000</v>
      </c>
      <c r="AX211" s="19" t="n">
        <v>25320933.88</v>
      </c>
      <c r="AY211" s="18" t="n">
        <v>3100000</v>
      </c>
      <c r="AZ211" s="18">
        <f>1000000000-999695314.1564</f>
        <v/>
      </c>
      <c r="BA211" s="20">
        <f>1000000000-AV211-AW211-AX211-AY211-AZ211</f>
        <v/>
      </c>
      <c r="BB211" s="21" t="n">
        <v>244.9</v>
      </c>
      <c r="BC211" s="21">
        <f>BA211/1000000-BB211</f>
        <v/>
      </c>
      <c r="BD211" s="22">
        <f>BA211*37.62</f>
        <v/>
      </c>
    </row>
    <row r="212">
      <c r="A212" s="10" t="n">
        <v>45834</v>
      </c>
      <c r="B212" s="11" t="n">
        <v>6054093572.703783</v>
      </c>
      <c r="C212" s="11" t="n"/>
      <c r="D212" s="11" t="n">
        <v>253266297</v>
      </c>
      <c r="E212" s="11" t="n"/>
      <c r="M212" s="22">
        <f>Z212/(1-R212)</f>
        <v/>
      </c>
      <c r="N212" s="11" t="n"/>
      <c r="O212" s="11" t="n">
        <v>54006</v>
      </c>
      <c r="P212" s="11" t="n"/>
      <c r="Q212" s="22">
        <f>M212+N212+O212+P212</f>
        <v/>
      </c>
      <c r="R212" s="12" t="n">
        <v>0.03</v>
      </c>
      <c r="S212" s="22">
        <f>M212*R212</f>
        <v/>
      </c>
      <c r="T212" s="22">
        <f>N212*R212</f>
        <v/>
      </c>
      <c r="U212" s="22">
        <f>(O212-V212)*R212</f>
        <v/>
      </c>
      <c r="V212" s="11" t="n">
        <v>9775</v>
      </c>
      <c r="W212" s="11" t="n"/>
      <c r="X212" s="22">
        <f>S212+T212+U212+V212+W212</f>
        <v/>
      </c>
      <c r="Y212" s="11" t="n"/>
      <c r="Z212" s="22">
        <f>AE212-AB212-AA212-AC212</f>
        <v/>
      </c>
      <c r="AA212" s="22">
        <f>N212-T212-W212</f>
        <v/>
      </c>
      <c r="AB212" s="22">
        <f>O212-V212-U212</f>
        <v/>
      </c>
      <c r="AC212" s="22">
        <f>P212</f>
        <v/>
      </c>
      <c r="AD212" s="23">
        <f>Z212+AA212+AB212+AC212</f>
        <v/>
      </c>
      <c r="AE212" s="11" t="n">
        <v>1978598.824</v>
      </c>
      <c r="AF212" s="24">
        <f>AD212-AE212</f>
        <v/>
      </c>
      <c r="AG212" s="13">
        <f>IF(OR(B212="",B212=0,M212=""),"",M212/B212*10000)</f>
        <v/>
      </c>
      <c r="AH212" s="13">
        <f>IF(OR(C212="",C212=0),"",N212/C212*10000)</f>
        <v/>
      </c>
      <c r="AI212" s="13">
        <f>IF(OR(D212="",D212=0),"",O212/D212*10000)</f>
        <v/>
      </c>
      <c r="AJ212" s="11" t="n">
        <v>8495.846218578423</v>
      </c>
      <c r="AK212" s="11" t="n">
        <v>18461</v>
      </c>
      <c r="AL212" s="22">
        <f>AE212+AJ212+AK212</f>
        <v/>
      </c>
      <c r="AM212" s="22">
        <f>AE212</f>
        <v/>
      </c>
      <c r="AN212" s="14" t="n">
        <v>53218.85</v>
      </c>
      <c r="AO212" s="15" t="n">
        <v>37.178534</v>
      </c>
      <c r="AP212" s="14" t="n">
        <v>25374152.73</v>
      </c>
      <c r="AQ212" s="14" t="n">
        <v>26264.077</v>
      </c>
      <c r="AR212" s="14" t="n">
        <v>931.2572</v>
      </c>
      <c r="AS212" s="14" t="n"/>
      <c r="AT212" s="16" t="n">
        <v>420.8256260074126</v>
      </c>
      <c r="AU212" s="17" t="n">
        <v>0.0217033204</v>
      </c>
      <c r="AV212" s="14" t="n">
        <v>423350831.8144</v>
      </c>
      <c r="AW212" s="18" t="n">
        <v>60100000</v>
      </c>
      <c r="AX212" s="19" t="n">
        <v>25374152.73</v>
      </c>
      <c r="AY212" s="18" t="n">
        <v>3100000</v>
      </c>
      <c r="AZ212" s="18">
        <f>1000000000-999694382.8992</f>
        <v/>
      </c>
      <c r="BA212" s="20">
        <f>1000000000-AV212-AW212-AX212-AY212-AZ212</f>
        <v/>
      </c>
      <c r="BB212" s="21" t="n">
        <v>244.9</v>
      </c>
      <c r="BC212" s="21">
        <f>BA212/1000000-BB212</f>
        <v/>
      </c>
      <c r="BD212" s="22">
        <f>BA212*37.11</f>
        <v/>
      </c>
    </row>
    <row r="213">
      <c r="A213" s="10" t="n">
        <v>45835</v>
      </c>
      <c r="B213" s="11" t="n">
        <v>5468496333.636342</v>
      </c>
      <c r="C213" s="11" t="n"/>
      <c r="D213" s="11" t="n">
        <v>170980501</v>
      </c>
      <c r="E213" s="11" t="n"/>
      <c r="M213" s="22">
        <f>Z213/(1-R213)</f>
        <v/>
      </c>
      <c r="N213" s="11" t="n"/>
      <c r="O213" s="11" t="n">
        <v>37448</v>
      </c>
      <c r="P213" s="11" t="n"/>
      <c r="Q213" s="22">
        <f>M213+N213+O213+P213</f>
        <v/>
      </c>
      <c r="R213" s="12" t="n">
        <v>0.03</v>
      </c>
      <c r="S213" s="22">
        <f>M213*R213</f>
        <v/>
      </c>
      <c r="T213" s="22">
        <f>N213*R213</f>
        <v/>
      </c>
      <c r="U213" s="22">
        <f>(O213-V213)*R213</f>
        <v/>
      </c>
      <c r="V213" s="11" t="n">
        <v>5682</v>
      </c>
      <c r="W213" s="11" t="n"/>
      <c r="X213" s="22">
        <f>S213+T213+U213+V213+W213</f>
        <v/>
      </c>
      <c r="Y213" s="11" t="n"/>
      <c r="Z213" s="22">
        <f>AE213-AB213-AA213-AC213</f>
        <v/>
      </c>
      <c r="AA213" s="22">
        <f>N213-T213-W213</f>
        <v/>
      </c>
      <c r="AB213" s="22">
        <f>O213-V213-U213</f>
        <v/>
      </c>
      <c r="AC213" s="22">
        <f>P213</f>
        <v/>
      </c>
      <c r="AD213" s="23">
        <f>Z213+AA213+AB213+AC213</f>
        <v/>
      </c>
      <c r="AE213" s="11" t="n">
        <v>1815313.983</v>
      </c>
      <c r="AF213" s="24">
        <f>AD213-AE213</f>
        <v/>
      </c>
      <c r="AG213" s="13">
        <f>IF(OR(B213="",B213=0,M213=""),"",M213/B213*10000)</f>
        <v/>
      </c>
      <c r="AH213" s="13">
        <f>IF(OR(C213="",C213=0),"",N213/C213*10000)</f>
        <v/>
      </c>
      <c r="AI213" s="13">
        <f>IF(OR(D213="",D213=0),"",O213/D213*10000)</f>
        <v/>
      </c>
      <c r="AJ213" s="11" t="n">
        <v>4007.853210149209</v>
      </c>
      <c r="AK213" s="11" t="n">
        <v>0</v>
      </c>
      <c r="AL213" s="22">
        <f>AE213+AJ213+AK213</f>
        <v/>
      </c>
      <c r="AM213" s="22">
        <f>AE213</f>
        <v/>
      </c>
      <c r="AN213" s="14" t="n">
        <v>49767.76</v>
      </c>
      <c r="AO213" s="15" t="n">
        <v>36.475702</v>
      </c>
      <c r="AP213" s="14" t="n">
        <v>25423920.49</v>
      </c>
      <c r="AQ213" s="14" t="n">
        <v>26235.3685</v>
      </c>
      <c r="AR213" s="14" t="n">
        <v>1348.0803</v>
      </c>
      <c r="AS213" s="14" t="n"/>
      <c r="AT213" s="16" t="n">
        <v>421.0694556635931</v>
      </c>
      <c r="AU213" s="17" t="n">
        <v>0.0216971091</v>
      </c>
      <c r="AV213" s="14" t="n">
        <v>423324596.4459</v>
      </c>
      <c r="AW213" s="18" t="n">
        <v>60100000</v>
      </c>
      <c r="AX213" s="19" t="n">
        <v>25423920.49</v>
      </c>
      <c r="AY213" s="18" t="n">
        <v>3100000</v>
      </c>
      <c r="AZ213" s="18">
        <f>1000000000-999693034.8189</f>
        <v/>
      </c>
      <c r="BA213" s="20">
        <f>1000000000-AV213-AW213-AX213-AY213-AZ213</f>
        <v/>
      </c>
      <c r="BB213" s="21" t="n">
        <v>244.9</v>
      </c>
      <c r="BC213" s="21">
        <f>BA213/1000000-BB213</f>
        <v/>
      </c>
      <c r="BD213" s="22">
        <f>BA213*35.7</f>
        <v/>
      </c>
    </row>
    <row r="214">
      <c r="A214" s="10" t="n">
        <v>45836</v>
      </c>
      <c r="B214" s="11" t="n">
        <v>2029915379.929195</v>
      </c>
      <c r="C214" s="11" t="n"/>
      <c r="D214" s="11" t="n">
        <v>127382868</v>
      </c>
      <c r="E214" s="11" t="n"/>
      <c r="M214" s="22">
        <f>Z214/(1-R214)</f>
        <v/>
      </c>
      <c r="N214" s="11" t="n"/>
      <c r="O214" s="11" t="n">
        <v>28957</v>
      </c>
      <c r="P214" s="11" t="n"/>
      <c r="Q214" s="22">
        <f>M214+N214+O214+P214</f>
        <v/>
      </c>
      <c r="R214" s="12" t="n">
        <v>0.03</v>
      </c>
      <c r="S214" s="22">
        <f>M214*R214</f>
        <v/>
      </c>
      <c r="T214" s="22">
        <f>N214*R214</f>
        <v/>
      </c>
      <c r="U214" s="22">
        <f>(O214-V214)*R214</f>
        <v/>
      </c>
      <c r="V214" s="11" t="n">
        <v>6964</v>
      </c>
      <c r="W214" s="11" t="n"/>
      <c r="X214" s="22">
        <f>S214+T214+U214+V214+W214</f>
        <v/>
      </c>
      <c r="Y214" s="11" t="n"/>
      <c r="Z214" s="22">
        <f>AE214-AB214-AA214-AC214</f>
        <v/>
      </c>
      <c r="AA214" s="22">
        <f>N214-T214-W214</f>
        <v/>
      </c>
      <c r="AB214" s="22">
        <f>O214-V214-U214</f>
        <v/>
      </c>
      <c r="AC214" s="22">
        <f>P214</f>
        <v/>
      </c>
      <c r="AD214" s="23">
        <f>Z214+AA214+AB214+AC214</f>
        <v/>
      </c>
      <c r="AE214" s="11" t="n">
        <v>1203337.358</v>
      </c>
      <c r="AF214" s="24">
        <f>AD214-AE214</f>
        <v/>
      </c>
      <c r="AG214" s="13">
        <f>IF(OR(B214="",B214=0,M214=""),"",M214/B214*10000)</f>
        <v/>
      </c>
      <c r="AH214" s="13">
        <f>IF(OR(C214="",C214=0),"",N214/C214*10000)</f>
        <v/>
      </c>
      <c r="AI214" s="13">
        <f>IF(OR(D214="",D214=0),"",O214/D214*10000)</f>
        <v/>
      </c>
      <c r="AJ214" s="11" t="n">
        <v>3740.089685894544</v>
      </c>
      <c r="AK214" s="11" t="n">
        <v>18251.71</v>
      </c>
      <c r="AL214" s="22">
        <f>AE214+AJ214+AK214</f>
        <v/>
      </c>
      <c r="AM214" s="22">
        <f>AE214</f>
        <v/>
      </c>
      <c r="AN214" s="14" t="n">
        <v>32517.99</v>
      </c>
      <c r="AO214" s="15" t="n">
        <v>37.005281</v>
      </c>
      <c r="AP214" s="14" t="n">
        <v>25456438.48</v>
      </c>
      <c r="AQ214" s="14" t="n">
        <v>26271.3196</v>
      </c>
      <c r="AR214" s="14" t="n">
        <v>599.8286000000001</v>
      </c>
      <c r="AS214" s="14" t="n"/>
      <c r="AT214" s="16" t="n">
        <v>421.2115136617858</v>
      </c>
      <c r="AU214" s="17" t="n">
        <v>0.0216934928</v>
      </c>
      <c r="AV214" s="14" t="n">
        <v>423298325.1262</v>
      </c>
      <c r="AW214" s="18" t="n">
        <v>60100000</v>
      </c>
      <c r="AX214" s="19" t="n">
        <v>25456438.48</v>
      </c>
      <c r="AY214" s="18" t="n">
        <v>3100000</v>
      </c>
      <c r="AZ214" s="18">
        <f>1000000000-999692434.9903</f>
        <v/>
      </c>
      <c r="BA214" s="20">
        <f>1000000000-AV214-AW214-AX214-AY214-AZ214</f>
        <v/>
      </c>
      <c r="BB214" s="21" t="n">
        <v>244.9</v>
      </c>
      <c r="BC214" s="21">
        <f>BA214/1000000-BB214</f>
        <v/>
      </c>
      <c r="BD214" s="22">
        <f>BA214*36.35</f>
        <v/>
      </c>
    </row>
    <row r="215">
      <c r="A215" s="10" t="n">
        <v>45837</v>
      </c>
      <c r="B215" s="11" t="n">
        <v>3690353142.092132</v>
      </c>
      <c r="C215" s="11" t="n"/>
      <c r="D215" s="11" t="n">
        <v>199996202</v>
      </c>
      <c r="E215" s="11" t="n"/>
      <c r="M215" s="22">
        <f>Z215/(1-R215)</f>
        <v/>
      </c>
      <c r="N215" s="11" t="n"/>
      <c r="O215" s="11" t="n">
        <v>47224</v>
      </c>
      <c r="P215" s="11" t="n"/>
      <c r="Q215" s="22">
        <f>M215+N215+O215+P215</f>
        <v/>
      </c>
      <c r="R215" s="12" t="n">
        <v>0.03</v>
      </c>
      <c r="S215" s="22">
        <f>M215*R215</f>
        <v/>
      </c>
      <c r="T215" s="22">
        <f>N215*R215</f>
        <v/>
      </c>
      <c r="U215" s="22">
        <f>(O215-V215)*R215</f>
        <v/>
      </c>
      <c r="V215" s="11" t="n">
        <v>11286</v>
      </c>
      <c r="W215" s="11" t="n"/>
      <c r="X215" s="22">
        <f>S215+T215+U215+V215+W215</f>
        <v/>
      </c>
      <c r="Y215" s="11" t="n"/>
      <c r="Z215" s="22">
        <f>AE215-AB215-AA215-AC215</f>
        <v/>
      </c>
      <c r="AA215" s="22">
        <f>N215-T215-W215</f>
        <v/>
      </c>
      <c r="AB215" s="22">
        <f>O215-V215-U215</f>
        <v/>
      </c>
      <c r="AC215" s="22">
        <f>P215</f>
        <v/>
      </c>
      <c r="AD215" s="23">
        <f>Z215+AA215+AB215+AC215</f>
        <v/>
      </c>
      <c r="AE215" s="11" t="n">
        <v>542414.0383</v>
      </c>
      <c r="AF215" s="24">
        <f>AD215-AE215</f>
        <v/>
      </c>
      <c r="AG215" s="13">
        <f>IF(OR(B215="",B215=0,M215=""),"",M215/B215*10000)</f>
        <v/>
      </c>
      <c r="AH215" s="13">
        <f>IF(OR(C215="",C215=0),"",N215/C215*10000)</f>
        <v/>
      </c>
      <c r="AI215" s="13">
        <f>IF(OR(D215="",D215=0),"",O215/D215*10000)</f>
        <v/>
      </c>
      <c r="AJ215" s="11" t="n">
        <v>3387.603864184065</v>
      </c>
      <c r="AK215" s="11" t="n">
        <v>0</v>
      </c>
      <c r="AL215" s="22">
        <f>AE215+AJ215+AK215</f>
        <v/>
      </c>
      <c r="AM215" s="22">
        <f>AE215</f>
        <v/>
      </c>
      <c r="AN215" s="14" t="n">
        <v>14116.47</v>
      </c>
      <c r="AO215" s="15" t="n">
        <v>38.424198</v>
      </c>
      <c r="AP215" s="14" t="n">
        <v>25470554.95</v>
      </c>
      <c r="AQ215" s="14" t="n">
        <v>26095.91</v>
      </c>
      <c r="AR215" s="14" t="n">
        <v>873.9448</v>
      </c>
      <c r="AS215" s="14" t="n"/>
      <c r="AT215" s="16" t="n">
        <v>421.9684478857336</v>
      </c>
      <c r="AU215" s="17" t="n">
        <v>0.0216742484</v>
      </c>
      <c r="AV215" s="14" t="n">
        <v>423272229.2162</v>
      </c>
      <c r="AW215" s="18" t="n">
        <v>60100000</v>
      </c>
      <c r="AX215" s="19" t="n">
        <v>25470554.95</v>
      </c>
      <c r="AY215" s="18" t="n">
        <v>3100000</v>
      </c>
      <c r="AZ215" s="18">
        <f>1000000000-999691561.0455</f>
        <v/>
      </c>
      <c r="BA215" s="20">
        <f>1000000000-AV215-AW215-AX215-AY215-AZ215</f>
        <v/>
      </c>
      <c r="BB215" s="21" t="n">
        <v>244.9</v>
      </c>
      <c r="BC215" s="21">
        <f>BA215/1000000-BB215</f>
        <v/>
      </c>
      <c r="BD215" s="22">
        <f>BA215*37.73</f>
        <v/>
      </c>
    </row>
    <row r="216">
      <c r="A216" s="10" t="n">
        <v>45838</v>
      </c>
      <c r="B216" s="11" t="n">
        <v>6117167590.460418</v>
      </c>
      <c r="C216" s="11" t="n"/>
      <c r="D216" s="11" t="n">
        <v>277804580</v>
      </c>
      <c r="E216" s="11" t="n"/>
      <c r="M216" s="22">
        <f>Z216/(1-R216)</f>
        <v/>
      </c>
      <c r="N216" s="11" t="n"/>
      <c r="O216" s="11" t="n">
        <v>60735</v>
      </c>
      <c r="P216" s="11" t="n"/>
      <c r="Q216" s="22">
        <f>M216+N216+O216+P216</f>
        <v/>
      </c>
      <c r="R216" s="12" t="n">
        <v>0.03</v>
      </c>
      <c r="S216" s="22">
        <f>M216*R216</f>
        <v/>
      </c>
      <c r="T216" s="22">
        <f>N216*R216</f>
        <v/>
      </c>
      <c r="U216" s="22">
        <f>(O216-V216)*R216</f>
        <v/>
      </c>
      <c r="V216" s="11" t="n">
        <v>10138</v>
      </c>
      <c r="W216" s="11" t="n"/>
      <c r="X216" s="22">
        <f>S216+T216+U216+V216+W216</f>
        <v/>
      </c>
      <c r="Y216" s="11" t="n"/>
      <c r="Z216" s="22">
        <f>AE216-AB216-AA216-AC216</f>
        <v/>
      </c>
      <c r="AA216" s="22">
        <f>N216-T216-W216</f>
        <v/>
      </c>
      <c r="AB216" s="22">
        <f>O216-V216-U216</f>
        <v/>
      </c>
      <c r="AC216" s="22">
        <f>P216</f>
        <v/>
      </c>
      <c r="AD216" s="23">
        <f>Z216+AA216+AB216+AC216</f>
        <v/>
      </c>
      <c r="AE216" s="11" t="n">
        <v>1536144.182</v>
      </c>
      <c r="AF216" s="24">
        <f>AD216-AE216</f>
        <v/>
      </c>
      <c r="AG216" s="13">
        <f>IF(OR(B216="",B216=0,M216=""),"",M216/B216*10000)</f>
        <v/>
      </c>
      <c r="AH216" s="13">
        <f>IF(OR(C216="",C216=0),"",N216/C216*10000)</f>
        <v/>
      </c>
      <c r="AI216" s="13">
        <f>IF(OR(D216="",D216=0),"",O216/D216*10000)</f>
        <v/>
      </c>
      <c r="AJ216" s="11" t="n">
        <v>38958.54557761391</v>
      </c>
      <c r="AK216" s="11" t="n">
        <v>0</v>
      </c>
      <c r="AL216" s="22">
        <f>AE216+AJ216+AK216</f>
        <v/>
      </c>
      <c r="AM216" s="22">
        <f>AE216</f>
        <v/>
      </c>
      <c r="AN216" s="14" t="n">
        <v>38320.67</v>
      </c>
      <c r="AO216" s="15" t="n">
        <v>40.086569</v>
      </c>
      <c r="AP216" s="14" t="n">
        <v>25508875.62</v>
      </c>
      <c r="AQ216" s="14" t="n">
        <v>26277.9253</v>
      </c>
      <c r="AR216" s="14" t="n">
        <v>649.6043</v>
      </c>
      <c r="AS216" s="14" t="n"/>
      <c r="AT216" s="16" t="n">
        <v>422.0713609434271</v>
      </c>
      <c r="AU216" s="17" t="n">
        <v>0.0216716367</v>
      </c>
      <c r="AV216" s="14" t="n">
        <v>423245951.291</v>
      </c>
      <c r="AW216" s="18" t="n">
        <v>60100000</v>
      </c>
      <c r="AX216" s="19" t="n">
        <v>25508875.62</v>
      </c>
      <c r="AY216" s="18" t="n">
        <v>3100000</v>
      </c>
      <c r="AZ216" s="18">
        <f>1000000000-999690911.4412</f>
        <v/>
      </c>
      <c r="BA216" s="20">
        <f>1000000000-AV216-AW216-AX216-AY216-AZ216</f>
        <v/>
      </c>
      <c r="BB216" s="21" t="n">
        <v>244.9</v>
      </c>
      <c r="BC216" s="21">
        <f>BA216/1000000-BB216</f>
        <v/>
      </c>
      <c r="BD216" s="22">
        <f>BA216*39.53</f>
        <v/>
      </c>
    </row>
    <row r="217">
      <c r="A217" s="10" t="n">
        <v>45839</v>
      </c>
      <c r="B217" s="11" t="n">
        <v>6136377450.129353</v>
      </c>
      <c r="C217" s="11" t="n"/>
      <c r="D217" s="11" t="n">
        <v>249646512</v>
      </c>
      <c r="E217" s="11" t="n"/>
      <c r="M217" s="22">
        <f>Z217/(1-R217)</f>
        <v/>
      </c>
      <c r="N217" s="11" t="n"/>
      <c r="O217" s="11" t="n">
        <v>56869</v>
      </c>
      <c r="P217" s="11" t="n"/>
      <c r="Q217" s="22">
        <f>M217+N217+O217+P217</f>
        <v/>
      </c>
      <c r="R217" s="12" t="n">
        <v>0.03</v>
      </c>
      <c r="S217" s="22">
        <f>M217*R217</f>
        <v/>
      </c>
      <c r="T217" s="22">
        <f>N217*R217</f>
        <v/>
      </c>
      <c r="U217" s="22">
        <f>(O217-V217)*R217</f>
        <v/>
      </c>
      <c r="V217" s="11" t="n">
        <v>11423</v>
      </c>
      <c r="W217" s="11" t="n"/>
      <c r="X217" s="22">
        <f>S217+T217+U217+V217+W217</f>
        <v/>
      </c>
      <c r="Y217" s="11" t="n"/>
      <c r="Z217" s="22">
        <f>AE217-AB217-AA217-AC217</f>
        <v/>
      </c>
      <c r="AA217" s="22">
        <f>N217-T217-W217</f>
        <v/>
      </c>
      <c r="AB217" s="22">
        <f>O217-V217-U217</f>
        <v/>
      </c>
      <c r="AC217" s="22">
        <f>P217</f>
        <v/>
      </c>
      <c r="AD217" s="23">
        <f>Z217+AA217+AB217+AC217</f>
        <v/>
      </c>
      <c r="AE217" s="11" t="n">
        <v>1555195.846</v>
      </c>
      <c r="AF217" s="24">
        <f>AD217-AE217</f>
        <v/>
      </c>
      <c r="AG217" s="13">
        <f>IF(OR(B217="",B217=0,M217=""),"",M217/B217*10000)</f>
        <v/>
      </c>
      <c r="AH217" s="13">
        <f>IF(OR(C217="",C217=0),"",N217/C217*10000)</f>
        <v/>
      </c>
      <c r="AI217" s="13">
        <f>IF(OR(D217="",D217=0),"",O217/D217*10000)</f>
        <v/>
      </c>
      <c r="AJ217" s="11" t="n">
        <v>8099.642670797391</v>
      </c>
      <c r="AK217" s="11" t="n">
        <v>0</v>
      </c>
      <c r="AL217" s="22">
        <f>AE217+AJ217+AK217</f>
        <v/>
      </c>
      <c r="AM217" s="22">
        <f>AE217</f>
        <v/>
      </c>
      <c r="AN217" s="14" t="n">
        <v>40397.31</v>
      </c>
      <c r="AO217" s="15" t="n">
        <v>38.49751</v>
      </c>
      <c r="AP217" s="14" t="n">
        <v>25549272.93</v>
      </c>
      <c r="AQ217" s="14" t="n">
        <v>26322.6881</v>
      </c>
      <c r="AR217" s="14" t="n">
        <v>850.0683</v>
      </c>
      <c r="AS217" s="14" t="n"/>
      <c r="AT217" s="16" t="n">
        <v>422.2082550772893</v>
      </c>
      <c r="AU217" s="17" t="n">
        <v>0.0216681641</v>
      </c>
      <c r="AV217" s="14" t="n">
        <v>423219628.6029</v>
      </c>
      <c r="AW217" s="18" t="n">
        <v>60100000</v>
      </c>
      <c r="AX217" s="19" t="n">
        <v>25549272.93</v>
      </c>
      <c r="AY217" s="18" t="n">
        <v>3100000</v>
      </c>
      <c r="AZ217" s="18">
        <f>1000000000-999690061.3729</f>
        <v/>
      </c>
      <c r="BA217" s="20">
        <f>1000000000-AV217-AW217-AX217-AY217-AZ217</f>
        <v/>
      </c>
      <c r="BB217" s="21" t="n">
        <v>244.9</v>
      </c>
      <c r="BC217" s="21">
        <f>BA217/1000000-BB217</f>
        <v/>
      </c>
      <c r="BD217" s="22">
        <f>BA217*39.49</f>
        <v/>
      </c>
    </row>
    <row r="218">
      <c r="A218" s="10" t="n">
        <v>45840</v>
      </c>
      <c r="B218" s="11" t="n">
        <v>8708461911.885946</v>
      </c>
      <c r="C218" s="11" t="n"/>
      <c r="D218" s="11" t="n">
        <v>292172889</v>
      </c>
      <c r="E218" s="11" t="n"/>
      <c r="M218" s="22">
        <f>Z218/(1-R218)</f>
        <v/>
      </c>
      <c r="N218" s="11" t="n"/>
      <c r="O218" s="11" t="n">
        <v>60148</v>
      </c>
      <c r="P218" s="11" t="n"/>
      <c r="Q218" s="22">
        <f>M218+N218+O218+P218</f>
        <v/>
      </c>
      <c r="R218" s="12" t="n">
        <v>0.03</v>
      </c>
      <c r="S218" s="22">
        <f>M218*R218</f>
        <v/>
      </c>
      <c r="T218" s="22">
        <f>N218*R218</f>
        <v/>
      </c>
      <c r="U218" s="22">
        <f>(O218-V218)*R218</f>
        <v/>
      </c>
      <c r="V218" s="11" t="n">
        <v>17543</v>
      </c>
      <c r="W218" s="11" t="n"/>
      <c r="X218" s="22">
        <f>S218+T218+U218+V218+W218</f>
        <v/>
      </c>
      <c r="Y218" s="11" t="n"/>
      <c r="Z218" s="22">
        <f>AE218-AB218-AA218-AC218</f>
        <v/>
      </c>
      <c r="AA218" s="22">
        <f>N218-T218-W218</f>
        <v/>
      </c>
      <c r="AB218" s="22">
        <f>O218-V218-U218</f>
        <v/>
      </c>
      <c r="AC218" s="22">
        <f>P218</f>
        <v/>
      </c>
      <c r="AD218" s="23">
        <f>Z218+AA218+AB218+AC218</f>
        <v/>
      </c>
      <c r="AE218" s="11" t="n">
        <v>1844481.991</v>
      </c>
      <c r="AF218" s="24">
        <f>AD218-AE218</f>
        <v/>
      </c>
      <c r="AG218" s="13">
        <f>IF(OR(B218="",B218=0,M218=""),"",M218/B218*10000)</f>
        <v/>
      </c>
      <c r="AH218" s="13">
        <f>IF(OR(C218="",C218=0),"",N218/C218*10000)</f>
        <v/>
      </c>
      <c r="AI218" s="13">
        <f>IF(OR(D218="",D218=0),"",O218/D218*10000)</f>
        <v/>
      </c>
      <c r="AJ218" s="11" t="n">
        <v>6638.274666003046</v>
      </c>
      <c r="AK218" s="11" t="n">
        <v>0</v>
      </c>
      <c r="AL218" s="22">
        <f>AE218+AJ218+AK218</f>
        <v/>
      </c>
      <c r="AM218" s="22">
        <f>AE218</f>
        <v/>
      </c>
      <c r="AN218" s="14" t="n">
        <v>47673.58</v>
      </c>
      <c r="AO218" s="15" t="n">
        <v>38.689815</v>
      </c>
      <c r="AP218" s="14" t="n">
        <v>25596946.51</v>
      </c>
      <c r="AQ218" s="14" t="n">
        <v>26305.5889</v>
      </c>
      <c r="AR218" s="14" t="n">
        <v>710.4213</v>
      </c>
      <c r="AS218" s="14" t="n"/>
      <c r="AT218" s="16" t="n">
        <v>424.1947675775355</v>
      </c>
      <c r="AU218" s="17" t="n">
        <v>0.0216179608</v>
      </c>
      <c r="AV218" s="14" t="n">
        <v>423193323.014</v>
      </c>
      <c r="AW218" s="18" t="n">
        <v>60100000</v>
      </c>
      <c r="AX218" s="19" t="n">
        <v>25596946.51</v>
      </c>
      <c r="AY218" s="18" t="n">
        <v>3100000</v>
      </c>
      <c r="AZ218" s="18">
        <f>1000000000-999689350.9517</f>
        <v/>
      </c>
      <c r="BA218" s="20">
        <f>1000000000-AV218-AW218-AX218-AY218-AZ218</f>
        <v/>
      </c>
      <c r="BB218" s="21" t="n">
        <v>244.9</v>
      </c>
      <c r="BC218" s="21">
        <f>BA218/1000000-BB218</f>
        <v/>
      </c>
      <c r="BD218" s="22">
        <f>BA218*37.01</f>
        <v/>
      </c>
    </row>
    <row r="219">
      <c r="A219" s="10" t="n">
        <v>45841</v>
      </c>
      <c r="B219" s="11" t="n">
        <v>6251465096.543179</v>
      </c>
      <c r="C219" s="11" t="n"/>
      <c r="D219" s="11" t="n">
        <v>229236296</v>
      </c>
      <c r="E219" s="11" t="n"/>
      <c r="M219" s="22">
        <f>Z219/(1-R219)</f>
        <v/>
      </c>
      <c r="N219" s="11" t="n"/>
      <c r="O219" s="11" t="n">
        <v>51268</v>
      </c>
      <c r="P219" s="11" t="n"/>
      <c r="Q219" s="22">
        <f>M219+N219+O219+P219</f>
        <v/>
      </c>
      <c r="R219" s="12" t="n">
        <v>0.03</v>
      </c>
      <c r="S219" s="22">
        <f>M219*R219</f>
        <v/>
      </c>
      <c r="T219" s="22">
        <f>N219*R219</f>
        <v/>
      </c>
      <c r="U219" s="22">
        <f>(O219-V219)*R219</f>
        <v/>
      </c>
      <c r="V219" s="11" t="n">
        <v>13590</v>
      </c>
      <c r="W219" s="11" t="n"/>
      <c r="X219" s="22">
        <f>S219+T219+U219+V219+W219</f>
        <v/>
      </c>
      <c r="Y219" s="11" t="n"/>
      <c r="Z219" s="22">
        <f>AE219-AB219-AA219-AC219</f>
        <v/>
      </c>
      <c r="AA219" s="22">
        <f>N219-T219-W219</f>
        <v/>
      </c>
      <c r="AB219" s="22">
        <f>O219-V219-U219</f>
        <v/>
      </c>
      <c r="AC219" s="22">
        <f>P219</f>
        <v/>
      </c>
      <c r="AD219" s="23">
        <f>Z219+AA219+AB219+AC219</f>
        <v/>
      </c>
      <c r="AE219" s="11" t="n">
        <v>2494949.024</v>
      </c>
      <c r="AF219" s="24">
        <f>AD219-AE219</f>
        <v/>
      </c>
      <c r="AG219" s="13">
        <f>IF(OR(B219="",B219=0,M219=""),"",M219/B219*10000)</f>
        <v/>
      </c>
      <c r="AH219" s="13">
        <f>IF(OR(C219="",C219=0),"",N219/C219*10000)</f>
        <v/>
      </c>
      <c r="AI219" s="13">
        <f>IF(OR(D219="",D219=0),"",O219/D219*10000)</f>
        <v/>
      </c>
      <c r="AJ219" s="11" t="n">
        <v>9166.216101661439</v>
      </c>
      <c r="AK219" s="11" t="n">
        <v>0</v>
      </c>
      <c r="AL219" s="22">
        <f>AE219+AJ219+AK219</f>
        <v/>
      </c>
      <c r="AM219" s="22">
        <f>AE219</f>
        <v/>
      </c>
      <c r="AN219" s="14" t="n">
        <v>61753.57</v>
      </c>
      <c r="AO219" s="15" t="n">
        <v>40.401697</v>
      </c>
      <c r="AP219" s="14" t="n">
        <v>25658700.08</v>
      </c>
      <c r="AQ219" s="14" t="n">
        <v>26103.9266</v>
      </c>
      <c r="AR219" s="14" t="n">
        <v>954.5984999999999</v>
      </c>
      <c r="AS219" s="14" t="n"/>
      <c r="AT219" s="16" t="n">
        <v>424.2840027275696</v>
      </c>
      <c r="AU219" s="17" t="n">
        <v>0.0216157139</v>
      </c>
      <c r="AV219" s="14" t="n">
        <v>423167219.0874</v>
      </c>
      <c r="AW219" s="18" t="n">
        <v>60100000</v>
      </c>
      <c r="AX219" s="19" t="n">
        <v>25658700.08</v>
      </c>
      <c r="AY219" s="18" t="n">
        <v>3100000</v>
      </c>
      <c r="AZ219" s="18">
        <f>1000000000-999688396.3532</f>
        <v/>
      </c>
      <c r="BA219" s="20">
        <f>1000000000-AV219-AW219-AX219-AY219-AZ219</f>
        <v/>
      </c>
      <c r="BB219" s="21" t="n">
        <v>244.9</v>
      </c>
      <c r="BC219" s="21">
        <f>BA219/1000000-BB219</f>
        <v/>
      </c>
      <c r="BD219" s="22">
        <f>BA219*39.86</f>
        <v/>
      </c>
    </row>
    <row r="220">
      <c r="A220" s="10" t="n">
        <v>45842</v>
      </c>
      <c r="B220" s="11" t="n">
        <v>5865755226.167191</v>
      </c>
      <c r="C220" s="11" t="n"/>
      <c r="D220" s="11" t="n">
        <v>221169152</v>
      </c>
      <c r="E220" s="11" t="n"/>
      <c r="M220" s="22">
        <f>Z220/(1-R220)</f>
        <v/>
      </c>
      <c r="N220" s="11" t="n"/>
      <c r="O220" s="11" t="n">
        <v>49787</v>
      </c>
      <c r="P220" s="11" t="n"/>
      <c r="Q220" s="22">
        <f>M220+N220+O220+P220</f>
        <v/>
      </c>
      <c r="R220" s="12" t="n">
        <v>0.03</v>
      </c>
      <c r="S220" s="22">
        <f>M220*R220</f>
        <v/>
      </c>
      <c r="T220" s="22">
        <f>N220*R220</f>
        <v/>
      </c>
      <c r="U220" s="22">
        <f>(O220-V220)*R220</f>
        <v/>
      </c>
      <c r="V220" s="11" t="n">
        <v>11419</v>
      </c>
      <c r="W220" s="11" t="n"/>
      <c r="X220" s="22">
        <f>S220+T220+U220+V220+W220</f>
        <v/>
      </c>
      <c r="Y220" s="11" t="n"/>
      <c r="Z220" s="22">
        <f>AE220-AB220-AA220-AC220</f>
        <v/>
      </c>
      <c r="AA220" s="22">
        <f>N220-T220-W220</f>
        <v/>
      </c>
      <c r="AB220" s="22">
        <f>O220-V220-U220</f>
        <v/>
      </c>
      <c r="AC220" s="22">
        <f>P220</f>
        <v/>
      </c>
      <c r="AD220" s="23">
        <f>Z220+AA220+AB220+AC220</f>
        <v/>
      </c>
      <c r="AE220" s="11" t="n">
        <v>1741250.39</v>
      </c>
      <c r="AF220" s="24">
        <f>AD220-AE220</f>
        <v/>
      </c>
      <c r="AG220" s="13">
        <f>IF(OR(B220="",B220=0,M220=""),"",M220/B220*10000)</f>
        <v/>
      </c>
      <c r="AH220" s="13">
        <f>IF(OR(C220="",C220=0),"",N220/C220*10000)</f>
        <v/>
      </c>
      <c r="AI220" s="13">
        <f>IF(OR(D220="",D220=0),"",O220/D220*10000)</f>
        <v/>
      </c>
      <c r="AJ220" s="11" t="n">
        <v>7770.906878301268</v>
      </c>
      <c r="AK220" s="11" t="n">
        <v>0</v>
      </c>
      <c r="AL220" s="22">
        <f>AE220+AJ220+AK220</f>
        <v/>
      </c>
      <c r="AM220" s="22">
        <f>AE220</f>
        <v/>
      </c>
      <c r="AN220" s="14" t="n">
        <v>45057.8</v>
      </c>
      <c r="AO220" s="15" t="n">
        <v>38.644816</v>
      </c>
      <c r="AP220" s="14" t="n">
        <v>25703757.88</v>
      </c>
      <c r="AQ220" s="14" t="n">
        <v>26133.6193</v>
      </c>
      <c r="AR220" s="14" t="n">
        <v>597.4414</v>
      </c>
      <c r="AS220" s="14" t="n"/>
      <c r="AT220" s="16" t="n">
        <v>423.2379674024105</v>
      </c>
      <c r="AU220" s="17" t="n">
        <v>0.0216420977</v>
      </c>
      <c r="AV220" s="14" t="n">
        <v>423141085.4681</v>
      </c>
      <c r="AW220" s="18" t="n">
        <v>60100000</v>
      </c>
      <c r="AX220" s="19" t="n">
        <v>25703757.88</v>
      </c>
      <c r="AY220" s="18" t="n">
        <v>3100000</v>
      </c>
      <c r="AZ220" s="18">
        <f>1000000000-999687798.9117</f>
        <v/>
      </c>
      <c r="BA220" s="20">
        <f>1000000000-AV220-AW220-AX220-AY220-AZ220</f>
        <v/>
      </c>
      <c r="BB220" s="21" t="n">
        <v>244.9</v>
      </c>
      <c r="BC220" s="21">
        <f>BA220/1000000-BB220</f>
        <v/>
      </c>
      <c r="BD220" s="22">
        <f>BA220*40.17</f>
        <v/>
      </c>
    </row>
    <row r="221">
      <c r="A221" s="10" t="n">
        <v>45843</v>
      </c>
      <c r="B221" s="11" t="n">
        <v>2451950269.5296</v>
      </c>
      <c r="C221" s="11" t="n"/>
      <c r="D221" s="11" t="n">
        <v>128067841</v>
      </c>
      <c r="E221" s="11" t="n"/>
      <c r="M221" s="22">
        <f>Z221/(1-R221)</f>
        <v/>
      </c>
      <c r="N221" s="11" t="n"/>
      <c r="O221" s="11" t="n">
        <v>29379</v>
      </c>
      <c r="P221" s="11" t="n"/>
      <c r="Q221" s="22">
        <f>M221+N221+O221+P221</f>
        <v/>
      </c>
      <c r="R221" s="12" t="n">
        <v>0.03</v>
      </c>
      <c r="S221" s="22">
        <f>M221*R221</f>
        <v/>
      </c>
      <c r="T221" s="22">
        <f>N221*R221</f>
        <v/>
      </c>
      <c r="U221" s="22">
        <f>(O221-V221)*R221</f>
        <v/>
      </c>
      <c r="V221" s="11" t="n">
        <v>6451</v>
      </c>
      <c r="W221" s="11" t="n"/>
      <c r="X221" s="22">
        <f>S221+T221+U221+V221+W221</f>
        <v/>
      </c>
      <c r="Y221" s="11" t="n"/>
      <c r="Z221" s="22">
        <f>AE221-AB221-AA221-AC221</f>
        <v/>
      </c>
      <c r="AA221" s="22">
        <f>N221-T221-W221</f>
        <v/>
      </c>
      <c r="AB221" s="22">
        <f>O221-V221-U221</f>
        <v/>
      </c>
      <c r="AC221" s="22">
        <f>P221</f>
        <v/>
      </c>
      <c r="AD221" s="23">
        <f>Z221+AA221+AB221+AC221</f>
        <v/>
      </c>
      <c r="AE221" s="11" t="n">
        <v>1596923.669</v>
      </c>
      <c r="AF221" s="24">
        <f>AD221-AE221</f>
        <v/>
      </c>
      <c r="AG221" s="13">
        <f>IF(OR(B221="",B221=0,M221=""),"",M221/B221*10000)</f>
        <v/>
      </c>
      <c r="AH221" s="13">
        <f>IF(OR(C221="",C221=0),"",N221/C221*10000)</f>
        <v/>
      </c>
      <c r="AI221" s="13">
        <f>IF(OR(D221="",D221=0),"",O221/D221*10000)</f>
        <v/>
      </c>
      <c r="AJ221" s="11" t="n">
        <v>5293.572988509542</v>
      </c>
      <c r="AK221" s="11" t="n">
        <v>0</v>
      </c>
      <c r="AL221" s="22">
        <f>AE221+AJ221+AK221</f>
        <v/>
      </c>
      <c r="AM221" s="22">
        <f>AE221</f>
        <v/>
      </c>
      <c r="AN221" s="14" t="n">
        <v>40813.15</v>
      </c>
      <c r="AO221" s="15" t="n">
        <v>39.127675</v>
      </c>
      <c r="AP221" s="14" t="n">
        <v>25744571.03</v>
      </c>
      <c r="AQ221" s="14" t="n">
        <v>26192.9064</v>
      </c>
      <c r="AR221" s="14" t="n">
        <v>708.3487</v>
      </c>
      <c r="AS221" s="14" t="n"/>
      <c r="AT221" s="16" t="n">
        <v>424.0156565388771</v>
      </c>
      <c r="AU221" s="17" t="n">
        <v>0.021622473</v>
      </c>
      <c r="AV221" s="14" t="n">
        <v>423114892.5617</v>
      </c>
      <c r="AW221" s="18" t="n">
        <v>60100000</v>
      </c>
      <c r="AX221" s="19" t="n">
        <v>25744571.03</v>
      </c>
      <c r="AY221" s="18" t="n">
        <v>3100000</v>
      </c>
      <c r="AZ221" s="18">
        <f>1000000000-999687090.563</f>
        <v/>
      </c>
      <c r="BA221" s="20">
        <f>1000000000-AV221-AW221-AX221-AY221-AZ221</f>
        <v/>
      </c>
      <c r="BB221" s="21" t="n">
        <v>244.9</v>
      </c>
      <c r="BC221" s="21">
        <f>BA221/1000000-BB221</f>
        <v/>
      </c>
      <c r="BD221" s="22">
        <f>BA221*39.03</f>
        <v/>
      </c>
    </row>
    <row r="222">
      <c r="A222" s="10" t="n">
        <v>45844</v>
      </c>
      <c r="B222" s="11" t="n">
        <v>4289662636.717702</v>
      </c>
      <c r="C222" s="11" t="n"/>
      <c r="D222" s="11" t="n">
        <v>135062039</v>
      </c>
      <c r="E222" s="11" t="n"/>
      <c r="M222" s="22">
        <f>Z222/(1-R222)</f>
        <v/>
      </c>
      <c r="N222" s="11" t="n"/>
      <c r="O222" s="11" t="n">
        <v>26841</v>
      </c>
      <c r="P222" s="11" t="n"/>
      <c r="Q222" s="22">
        <f>M222+N222+O222+P222</f>
        <v/>
      </c>
      <c r="R222" s="12" t="n">
        <v>0.03</v>
      </c>
      <c r="S222" s="22">
        <f>M222*R222</f>
        <v/>
      </c>
      <c r="T222" s="22">
        <f>N222*R222</f>
        <v/>
      </c>
      <c r="U222" s="22">
        <f>(O222-V222)*R222</f>
        <v/>
      </c>
      <c r="V222" s="11" t="n">
        <v>10980</v>
      </c>
      <c r="W222" s="11" t="n"/>
      <c r="X222" s="22">
        <f>S222+T222+U222+V222+W222</f>
        <v/>
      </c>
      <c r="Y222" s="11" t="n"/>
      <c r="Z222" s="22">
        <f>AE222-AB222-AA222-AC222</f>
        <v/>
      </c>
      <c r="AA222" s="22">
        <f>N222-T222-W222</f>
        <v/>
      </c>
      <c r="AB222" s="22">
        <f>O222-V222-U222</f>
        <v/>
      </c>
      <c r="AC222" s="22">
        <f>P222</f>
        <v/>
      </c>
      <c r="AD222" s="23">
        <f>Z222+AA222+AB222+AC222</f>
        <v/>
      </c>
      <c r="AE222" s="11" t="n">
        <v>650244.1229</v>
      </c>
      <c r="AF222" s="24">
        <f>AD222-AE222</f>
        <v/>
      </c>
      <c r="AG222" s="13">
        <f>IF(OR(B222="",B222=0,M222=""),"",M222/B222*10000)</f>
        <v/>
      </c>
      <c r="AH222" s="13">
        <f>IF(OR(C222="",C222=0),"",N222/C222*10000)</f>
        <v/>
      </c>
      <c r="AI222" s="13">
        <f>IF(OR(D222="",D222=0),"",O222/D222*10000)</f>
        <v/>
      </c>
      <c r="AJ222" s="11" t="n">
        <v>4856.094394934317</v>
      </c>
      <c r="AK222" s="11" t="n">
        <v>0</v>
      </c>
      <c r="AL222" s="22">
        <f>AE222+AJ222+AK222</f>
        <v/>
      </c>
      <c r="AM222" s="22">
        <f>AE222</f>
        <v/>
      </c>
      <c r="AN222" s="14" t="n">
        <v>16520.15</v>
      </c>
      <c r="AO222" s="15" t="n">
        <v>39.360667</v>
      </c>
      <c r="AP222" s="14" t="n">
        <v>25761091.18</v>
      </c>
      <c r="AQ222" s="14" t="n">
        <v>26201.8544</v>
      </c>
      <c r="AR222" s="14" t="n">
        <v>331.3298</v>
      </c>
      <c r="AS222" s="14" t="n"/>
      <c r="AT222" s="16" t="n">
        <v>423.4424051106208</v>
      </c>
      <c r="AU222" s="17" t="n">
        <v>0.0216369329</v>
      </c>
      <c r="AV222" s="14" t="n">
        <v>423088690.7074</v>
      </c>
      <c r="AW222" s="18" t="n">
        <v>60100000</v>
      </c>
      <c r="AX222" s="19" t="n">
        <v>25761091.18</v>
      </c>
      <c r="AY222" s="18" t="n">
        <v>3100000</v>
      </c>
      <c r="AZ222" s="18">
        <f>1000000000-999686759.2332</f>
        <v/>
      </c>
      <c r="BA222" s="20">
        <f>1000000000-AV222-AW222-AX222-AY222-AZ222</f>
        <v/>
      </c>
      <c r="BB222" s="21" t="n">
        <v>244.9</v>
      </c>
      <c r="BC222" s="21">
        <f>BA222/1000000-BB222</f>
        <v/>
      </c>
      <c r="BD222" s="22">
        <f>BA222*39.01</f>
        <v/>
      </c>
    </row>
    <row r="223">
      <c r="A223" s="10" t="n">
        <v>45845</v>
      </c>
      <c r="B223" s="11" t="n">
        <v>5322409239.838073</v>
      </c>
      <c r="C223" s="11" t="n"/>
      <c r="D223" s="11" t="n">
        <v>200536259</v>
      </c>
      <c r="E223" s="11" t="n"/>
      <c r="M223" s="22">
        <f>Z223/(1-R223)</f>
        <v/>
      </c>
      <c r="N223" s="11" t="n"/>
      <c r="O223" s="11" t="n">
        <v>48359</v>
      </c>
      <c r="P223" s="11" t="n"/>
      <c r="Q223" s="22">
        <f>M223+N223+O223+P223</f>
        <v/>
      </c>
      <c r="R223" s="12" t="n">
        <v>0.03</v>
      </c>
      <c r="S223" s="22">
        <f>M223*R223</f>
        <v/>
      </c>
      <c r="T223" s="22">
        <f>N223*R223</f>
        <v/>
      </c>
      <c r="U223" s="22">
        <f>(O223-V223)*R223</f>
        <v/>
      </c>
      <c r="V223" s="11" t="n">
        <v>17850</v>
      </c>
      <c r="W223" s="11" t="n"/>
      <c r="X223" s="22">
        <f>S223+T223+U223+V223+W223</f>
        <v/>
      </c>
      <c r="Y223" s="11" t="n"/>
      <c r="Z223" s="22">
        <f>AE223-AB223-AA223-AC223</f>
        <v/>
      </c>
      <c r="AA223" s="22">
        <f>N223-T223-W223</f>
        <v/>
      </c>
      <c r="AB223" s="22">
        <f>O223-V223-U223</f>
        <v/>
      </c>
      <c r="AC223" s="22">
        <f>P223</f>
        <v/>
      </c>
      <c r="AD223" s="23">
        <f>Z223+AA223+AB223+AC223</f>
        <v/>
      </c>
      <c r="AE223" s="11" t="n">
        <v>1372817.964</v>
      </c>
      <c r="AF223" s="24">
        <f>AD223-AE223</f>
        <v/>
      </c>
      <c r="AG223" s="13">
        <f>IF(OR(B223="",B223=0,M223=""),"",M223/B223*10000)</f>
        <v/>
      </c>
      <c r="AH223" s="13">
        <f>IF(OR(C223="",C223=0),"",N223/C223*10000)</f>
        <v/>
      </c>
      <c r="AI223" s="13">
        <f>IF(OR(D223="",D223=0),"",O223/D223*10000)</f>
        <v/>
      </c>
      <c r="AJ223" s="11" t="n">
        <v>51071.86506595204</v>
      </c>
      <c r="AK223" s="11" t="n">
        <v>19890.06</v>
      </c>
      <c r="AL223" s="22">
        <f>AE223+AJ223+AK223</f>
        <v/>
      </c>
      <c r="AM223" s="22">
        <f>AE223</f>
        <v/>
      </c>
      <c r="AN223" s="14" t="n">
        <v>34874.72</v>
      </c>
      <c r="AO223" s="15" t="n">
        <v>39.364272</v>
      </c>
      <c r="AP223" s="14" t="n">
        <v>25795965.9</v>
      </c>
      <c r="AQ223" s="14" t="n">
        <v>26216.6899</v>
      </c>
      <c r="AR223" s="14" t="n">
        <v>330.7715</v>
      </c>
      <c r="AS223" s="14" t="n"/>
      <c r="AT223" s="16" t="n">
        <v>423.409712576739</v>
      </c>
      <c r="AU223" s="17" t="n">
        <v>0.0216377584</v>
      </c>
      <c r="AV223" s="14" t="n">
        <v>423062474.0175</v>
      </c>
      <c r="AW223" s="18" t="n">
        <v>60100000</v>
      </c>
      <c r="AX223" s="19" t="n">
        <v>25795965.9</v>
      </c>
      <c r="AY223" s="18" t="n">
        <v>3100000</v>
      </c>
      <c r="AZ223" s="18">
        <f>1000000000-999686428.4617</f>
        <v/>
      </c>
      <c r="BA223" s="20">
        <f>1000000000-AV223-AW223-AX223-AY223-AZ223</f>
        <v/>
      </c>
      <c r="BB223" s="21" t="n">
        <v>244.9</v>
      </c>
      <c r="BC223" s="21">
        <f>BA223/1000000-BB223</f>
        <v/>
      </c>
      <c r="BD223" s="22">
        <f>BA223*39.72</f>
        <v/>
      </c>
    </row>
    <row r="224">
      <c r="A224" s="10" t="n">
        <v>45846</v>
      </c>
      <c r="B224" s="11" t="n">
        <v>5320747621.804342</v>
      </c>
      <c r="C224" s="11" t="n"/>
      <c r="D224" s="11" t="n">
        <v>248230529</v>
      </c>
      <c r="E224" s="11" t="n"/>
      <c r="M224" s="22">
        <f>Z224/(1-R224)</f>
        <v/>
      </c>
      <c r="N224" s="11" t="n"/>
      <c r="O224" s="11" t="n">
        <v>58482</v>
      </c>
      <c r="P224" s="11" t="n"/>
      <c r="Q224" s="22">
        <f>M224+N224+O224+P224</f>
        <v/>
      </c>
      <c r="R224" s="12" t="n">
        <v>0.03</v>
      </c>
      <c r="S224" s="22">
        <f>M224*R224</f>
        <v/>
      </c>
      <c r="T224" s="22">
        <f>N224*R224</f>
        <v/>
      </c>
      <c r="U224" s="22">
        <f>(O224-V224)*R224</f>
        <v/>
      </c>
      <c r="V224" s="11" t="n">
        <v>16995</v>
      </c>
      <c r="W224" s="11" t="n"/>
      <c r="X224" s="22">
        <f>S224+T224+U224+V224+W224</f>
        <v/>
      </c>
      <c r="Y224" s="11" t="n"/>
      <c r="Z224" s="22">
        <f>AE224-AB224-AA224-AC224</f>
        <v/>
      </c>
      <c r="AA224" s="22">
        <f>N224-T224-W224</f>
        <v/>
      </c>
      <c r="AB224" s="22">
        <f>O224-V224-U224</f>
        <v/>
      </c>
      <c r="AC224" s="22">
        <f>P224</f>
        <v/>
      </c>
      <c r="AD224" s="23">
        <f>Z224+AA224+AB224+AC224</f>
        <v/>
      </c>
      <c r="AE224" s="11" t="n">
        <v>1519235.873</v>
      </c>
      <c r="AF224" s="24">
        <f>AD224-AE224</f>
        <v/>
      </c>
      <c r="AG224" s="13">
        <f>IF(OR(B224="",B224=0,M224=""),"",M224/B224*10000)</f>
        <v/>
      </c>
      <c r="AH224" s="13">
        <f>IF(OR(C224="",C224=0),"",N224/C224*10000)</f>
        <v/>
      </c>
      <c r="AI224" s="13">
        <f>IF(OR(D224="",D224=0),"",O224/D224*10000)</f>
        <v/>
      </c>
      <c r="AJ224" s="11" t="n">
        <v>10924.06923909988</v>
      </c>
      <c r="AK224" s="11" t="n">
        <v>0</v>
      </c>
      <c r="AL224" s="22">
        <f>AE224+AJ224+AK224</f>
        <v/>
      </c>
      <c r="AM224" s="22">
        <f>AE224</f>
        <v/>
      </c>
      <c r="AN224" s="14" t="n">
        <v>39768.58</v>
      </c>
      <c r="AO224" s="15" t="n">
        <v>38.201914</v>
      </c>
      <c r="AP224" s="14" t="n">
        <v>25835734.48</v>
      </c>
      <c r="AQ224" s="14" t="n">
        <v>26255.6227</v>
      </c>
      <c r="AR224" s="14" t="n">
        <v>1043.8797</v>
      </c>
      <c r="AS224" s="14" t="n"/>
      <c r="AT224" s="16" t="n">
        <v>422.2131733713982</v>
      </c>
      <c r="AU224" s="17" t="n">
        <v>0.0216680394</v>
      </c>
      <c r="AV224" s="14" t="n">
        <v>423036218.3947</v>
      </c>
      <c r="AW224" s="18" t="n">
        <v>60100000</v>
      </c>
      <c r="AX224" s="19" t="n">
        <v>25835734.48</v>
      </c>
      <c r="AY224" s="18" t="n">
        <v>3100000</v>
      </c>
      <c r="AZ224" s="18">
        <f>1000000000-999685384.5819</f>
        <v/>
      </c>
      <c r="BA224" s="20">
        <f>1000000000-AV224-AW224-AX224-AY224-AZ224</f>
        <v/>
      </c>
      <c r="BB224" s="21" t="n">
        <v>244.9</v>
      </c>
      <c r="BC224" s="21">
        <f>BA224/1000000-BB224</f>
        <v/>
      </c>
      <c r="BD224" s="22">
        <f>BA224*38.59</f>
        <v/>
      </c>
    </row>
    <row r="225">
      <c r="A225" s="10" t="n">
        <v>45847</v>
      </c>
      <c r="B225" s="11" t="n">
        <v>8668787164.751041</v>
      </c>
      <c r="C225" s="11" t="n"/>
      <c r="D225" s="11" t="n">
        <v>298577873</v>
      </c>
      <c r="E225" s="11" t="n"/>
      <c r="M225" s="22">
        <f>Z225/(1-R225)</f>
        <v/>
      </c>
      <c r="N225" s="11" t="n"/>
      <c r="O225" s="11" t="n">
        <v>67974</v>
      </c>
      <c r="P225" s="11" t="n"/>
      <c r="Q225" s="22">
        <f>M225+N225+O225+P225</f>
        <v/>
      </c>
      <c r="R225" s="12" t="n">
        <v>0.03</v>
      </c>
      <c r="S225" s="22">
        <f>M225*R225</f>
        <v/>
      </c>
      <c r="T225" s="22">
        <f>N225*R225</f>
        <v/>
      </c>
      <c r="U225" s="22">
        <f>(O225-V225)*R225</f>
        <v/>
      </c>
      <c r="V225" s="11" t="n">
        <v>30180</v>
      </c>
      <c r="W225" s="11" t="n"/>
      <c r="X225" s="22">
        <f>S225+T225+U225+V225+W225</f>
        <v/>
      </c>
      <c r="Y225" s="11" t="n"/>
      <c r="Z225" s="22">
        <f>AE225-AB225-AA225-AC225</f>
        <v/>
      </c>
      <c r="AA225" s="22">
        <f>N225-T225-W225</f>
        <v/>
      </c>
      <c r="AB225" s="22">
        <f>O225-V225-U225</f>
        <v/>
      </c>
      <c r="AC225" s="22">
        <f>P225</f>
        <v/>
      </c>
      <c r="AD225" s="23">
        <f>Z225+AA225+AB225+AC225</f>
        <v/>
      </c>
      <c r="AE225" s="11" t="n">
        <v>1613091.807</v>
      </c>
      <c r="AF225" s="24">
        <f>AD225-AE225</f>
        <v/>
      </c>
      <c r="AG225" s="13">
        <f>IF(OR(B225="",B225=0,M225=""),"",M225/B225*10000)</f>
        <v/>
      </c>
      <c r="AH225" s="13">
        <f>IF(OR(C225="",C225=0),"",N225/C225*10000)</f>
        <v/>
      </c>
      <c r="AI225" s="13">
        <f>IF(OR(D225="",D225=0),"",O225/D225*10000)</f>
        <v/>
      </c>
      <c r="AJ225" s="11" t="n">
        <v>14525.89532465642</v>
      </c>
      <c r="AK225" s="11" t="n">
        <v>0</v>
      </c>
      <c r="AL225" s="22">
        <f>AE225+AJ225+AK225</f>
        <v/>
      </c>
      <c r="AM225" s="22">
        <f>AE225</f>
        <v/>
      </c>
      <c r="AN225" s="14" t="n">
        <v>40396.81</v>
      </c>
      <c r="AO225" s="15" t="n">
        <v>39.931168</v>
      </c>
      <c r="AP225" s="14" t="n">
        <v>25876131.29</v>
      </c>
      <c r="AQ225" s="14" t="n">
        <v>26158.1165</v>
      </c>
      <c r="AR225" s="14" t="n">
        <v>884.6962</v>
      </c>
      <c r="AS225" s="14" t="n"/>
      <c r="AT225" s="16" t="n">
        <v>420.7129332654138</v>
      </c>
      <c r="AU225" s="17" t="n">
        <v>0.0217384144</v>
      </c>
      <c r="AV225" s="14" t="n">
        <v>423010060.2782</v>
      </c>
      <c r="AW225" s="18" t="n">
        <v>60100000</v>
      </c>
      <c r="AX225" s="19" t="n">
        <v>25876131.29</v>
      </c>
      <c r="AY225" s="18" t="n">
        <v>3100000</v>
      </c>
      <c r="AZ225" s="18">
        <f>1000000000-999684499.8857</f>
        <v/>
      </c>
      <c r="BA225" s="20">
        <f>1000000000-AV225-AW225-AX225-AY225-AZ225</f>
        <v/>
      </c>
      <c r="BB225" s="21" t="n">
        <v>244.9</v>
      </c>
      <c r="BC225" s="21">
        <f>BA225/1000000-BB225</f>
        <v/>
      </c>
      <c r="BD225" s="22">
        <f>BA225*38.88</f>
        <v/>
      </c>
    </row>
    <row r="226">
      <c r="A226" s="10" t="n">
        <v>45848</v>
      </c>
      <c r="B226" s="11" t="n">
        <v>10991694982.19964</v>
      </c>
      <c r="C226" s="11" t="n"/>
      <c r="D226" s="11" t="n">
        <v>408100683</v>
      </c>
      <c r="E226" s="11" t="n"/>
      <c r="M226" s="22">
        <f>Z226/(1-R226)</f>
        <v/>
      </c>
      <c r="N226" s="11" t="n"/>
      <c r="O226" s="11" t="n">
        <v>94024</v>
      </c>
      <c r="P226" s="11" t="n"/>
      <c r="Q226" s="22">
        <f>M226+N226+O226+P226</f>
        <v/>
      </c>
      <c r="R226" s="12" t="n">
        <v>0.03</v>
      </c>
      <c r="S226" s="22">
        <f>M226*R226</f>
        <v/>
      </c>
      <c r="T226" s="22">
        <f>N226*R226</f>
        <v/>
      </c>
      <c r="U226" s="22">
        <f>(O226-V226)*R226</f>
        <v/>
      </c>
      <c r="V226" s="11" t="n">
        <v>39757</v>
      </c>
      <c r="W226" s="11" t="n"/>
      <c r="X226" s="22">
        <f>S226+T226+U226+V226+W226</f>
        <v/>
      </c>
      <c r="Y226" s="11" t="n"/>
      <c r="Z226" s="22">
        <f>AE226-AB226-AA226-AC226</f>
        <v/>
      </c>
      <c r="AA226" s="22">
        <f>N226-T226-W226</f>
        <v/>
      </c>
      <c r="AB226" s="22">
        <f>O226-V226-U226</f>
        <v/>
      </c>
      <c r="AC226" s="22">
        <f>P226</f>
        <v/>
      </c>
      <c r="AD226" s="23">
        <f>Z226+AA226+AB226+AC226</f>
        <v/>
      </c>
      <c r="AE226" s="11" t="n">
        <v>2954098.983</v>
      </c>
      <c r="AF226" s="24">
        <f>AD226-AE226</f>
        <v/>
      </c>
      <c r="AG226" s="13">
        <f>IF(OR(B226="",B226=0,M226=""),"",M226/B226*10000)</f>
        <v/>
      </c>
      <c r="AH226" s="13">
        <f>IF(OR(C226="",C226=0),"",N226/C226*10000)</f>
        <v/>
      </c>
      <c r="AI226" s="13">
        <f>IF(OR(D226="",D226=0),"",O226/D226*10000)</f>
        <v/>
      </c>
      <c r="AJ226" s="11" t="n">
        <v>12995.80219957034</v>
      </c>
      <c r="AK226" s="11" t="n">
        <v>20914.09</v>
      </c>
      <c r="AL226" s="22">
        <f>AE226+AJ226+AK226</f>
        <v/>
      </c>
      <c r="AM226" s="22">
        <f>AE226</f>
        <v/>
      </c>
      <c r="AN226" s="14" t="n">
        <v>69330.37</v>
      </c>
      <c r="AO226" s="15" t="n">
        <v>42.609018</v>
      </c>
      <c r="AP226" s="14" t="n">
        <v>25945461.66</v>
      </c>
      <c r="AQ226" s="14" t="n">
        <v>26159.7777</v>
      </c>
      <c r="AR226" s="14" t="n">
        <v>723.8416</v>
      </c>
      <c r="AS226" s="14" t="n"/>
      <c r="AT226" s="16" t="n">
        <v>419.3060380354427</v>
      </c>
      <c r="AU226" s="17" t="n">
        <v>0.0217744263</v>
      </c>
      <c r="AV226" s="14" t="n">
        <v>422983900.5005</v>
      </c>
      <c r="AW226" s="18" t="n">
        <v>60100000</v>
      </c>
      <c r="AX226" s="19" t="n">
        <v>25945461.66</v>
      </c>
      <c r="AY226" s="18" t="n">
        <v>3100000</v>
      </c>
      <c r="AZ226" s="18">
        <f>1000000000-999683776.0441</f>
        <v/>
      </c>
      <c r="BA226" s="20">
        <f>1000000000-AV226-AW226-AX226-AY226-AZ226</f>
        <v/>
      </c>
      <c r="BB226" s="21" t="n">
        <v>244.9</v>
      </c>
      <c r="BC226" s="21">
        <f>BA226/1000000-BB226</f>
        <v/>
      </c>
      <c r="BD226" s="22">
        <f>BA226*40.92</f>
        <v/>
      </c>
    </row>
    <row r="227">
      <c r="A227" s="10" t="n">
        <v>45849</v>
      </c>
      <c r="B227" s="11" t="n">
        <v>12433064594.48568</v>
      </c>
      <c r="C227" s="11" t="n"/>
      <c r="D227" s="11" t="n">
        <v>470323564</v>
      </c>
      <c r="E227" s="11" t="n"/>
      <c r="M227" s="22">
        <f>Z227/(1-R227)</f>
        <v/>
      </c>
      <c r="N227" s="11" t="n"/>
      <c r="O227" s="11" t="n">
        <v>108458</v>
      </c>
      <c r="P227" s="11" t="n"/>
      <c r="Q227" s="22">
        <f>M227+N227+O227+P227</f>
        <v/>
      </c>
      <c r="R227" s="12" t="n">
        <v>0.03</v>
      </c>
      <c r="S227" s="22">
        <f>M227*R227</f>
        <v/>
      </c>
      <c r="T227" s="22">
        <f>N227*R227</f>
        <v/>
      </c>
      <c r="U227" s="22">
        <f>(O227-V227)*R227</f>
        <v/>
      </c>
      <c r="V227" s="11" t="n">
        <v>36669</v>
      </c>
      <c r="W227" s="11" t="n"/>
      <c r="X227" s="22">
        <f>S227+T227+U227+V227+W227</f>
        <v/>
      </c>
      <c r="Y227" s="11" t="n"/>
      <c r="Z227" s="22">
        <f>AE227-AB227-AA227-AC227</f>
        <v/>
      </c>
      <c r="AA227" s="22">
        <f>N227-T227-W227</f>
        <v/>
      </c>
      <c r="AB227" s="22">
        <f>O227-V227-U227</f>
        <v/>
      </c>
      <c r="AC227" s="22">
        <f>P227</f>
        <v/>
      </c>
      <c r="AD227" s="23">
        <f>Z227+AA227+AB227+AC227</f>
        <v/>
      </c>
      <c r="AE227" s="11" t="n">
        <v>3647033.077</v>
      </c>
      <c r="AF227" s="24">
        <f>AD227-AE227</f>
        <v/>
      </c>
      <c r="AG227" s="13">
        <f>IF(OR(B227="",B227=0,M227=""),"",M227/B227*10000)</f>
        <v/>
      </c>
      <c r="AH227" s="13">
        <f>IF(OR(C227="",C227=0),"",N227/C227*10000)</f>
        <v/>
      </c>
      <c r="AI227" s="13">
        <f>IF(OR(D227="",D227=0),"",O227/D227*10000)</f>
        <v/>
      </c>
      <c r="AJ227" s="11" t="n">
        <v>15500.35035738051</v>
      </c>
      <c r="AK227" s="11" t="n">
        <v>23004.42</v>
      </c>
      <c r="AL227" s="22">
        <f>AE227+AJ227+AK227</f>
        <v/>
      </c>
      <c r="AM227" s="22">
        <f>AE227</f>
        <v/>
      </c>
      <c r="AN227" s="14" t="n">
        <v>80315.2</v>
      </c>
      <c r="AO227" s="15" t="n">
        <v>45.409002</v>
      </c>
      <c r="AP227" s="14" t="n">
        <v>26025776.86</v>
      </c>
      <c r="AQ227" s="14" t="n">
        <v>26122.8024</v>
      </c>
      <c r="AR227" s="14" t="n">
        <v>1451.9016</v>
      </c>
      <c r="AS227" s="14" t="n"/>
      <c r="AT227" s="16" t="n">
        <v>418.9566292247577</v>
      </c>
      <c r="AU227" s="17" t="n">
        <v>0.0217833979</v>
      </c>
      <c r="AV227" s="14" t="n">
        <v>422957777.6981</v>
      </c>
      <c r="AW227" s="18" t="n">
        <v>60100000</v>
      </c>
      <c r="AX227" s="19" t="n">
        <v>26025776.86</v>
      </c>
      <c r="AY227" s="18" t="n">
        <v>3100000</v>
      </c>
      <c r="AZ227" s="18">
        <f>1000000000-999682324.1425</f>
        <v/>
      </c>
      <c r="BA227" s="20">
        <f>1000000000-AV227-AW227-AX227-AY227-AZ227</f>
        <v/>
      </c>
      <c r="BB227" s="21" t="n">
        <v>244.9</v>
      </c>
      <c r="BC227" s="21">
        <f>BA227/1000000-BB227</f>
        <v/>
      </c>
      <c r="BD227" s="22">
        <f>BA227*43.63</f>
        <v/>
      </c>
    </row>
    <row r="228">
      <c r="A228" s="10" t="n">
        <v>45850</v>
      </c>
      <c r="B228" s="11" t="n">
        <v>5486400795.634754</v>
      </c>
      <c r="C228" s="11" t="n"/>
      <c r="D228" s="11" t="n">
        <v>306157655</v>
      </c>
      <c r="E228" s="11" t="n"/>
      <c r="M228" s="22">
        <f>Z228/(1-R228)</f>
        <v/>
      </c>
      <c r="N228" s="11" t="n"/>
      <c r="O228" s="11" t="n">
        <v>76542</v>
      </c>
      <c r="P228" s="11" t="n"/>
      <c r="Q228" s="22">
        <f>M228+N228+O228+P228</f>
        <v/>
      </c>
      <c r="R228" s="12" t="n">
        <v>0.03</v>
      </c>
      <c r="S228" s="22">
        <f>M228*R228</f>
        <v/>
      </c>
      <c r="T228" s="22">
        <f>N228*R228</f>
        <v/>
      </c>
      <c r="U228" s="22">
        <f>(O228-V228)*R228</f>
        <v/>
      </c>
      <c r="V228" s="11" t="n">
        <v>18876</v>
      </c>
      <c r="W228" s="11" t="n"/>
      <c r="X228" s="22">
        <f>S228+T228+U228+V228+W228</f>
        <v/>
      </c>
      <c r="Y228" s="11" t="n"/>
      <c r="Z228" s="22">
        <f>AE228-AB228-AA228-AC228</f>
        <v/>
      </c>
      <c r="AA228" s="22">
        <f>N228-T228-W228</f>
        <v/>
      </c>
      <c r="AB228" s="22">
        <f>O228-V228-U228</f>
        <v/>
      </c>
      <c r="AC228" s="22">
        <f>P228</f>
        <v/>
      </c>
      <c r="AD228" s="23">
        <f>Z228+AA228+AB228+AC228</f>
        <v/>
      </c>
      <c r="AE228" s="11" t="n">
        <v>3465960.553</v>
      </c>
      <c r="AF228" s="24">
        <f>AD228-AE228</f>
        <v/>
      </c>
      <c r="AG228" s="13">
        <f>IF(OR(B228="",B228=0,M228=""),"",M228/B228*10000)</f>
        <v/>
      </c>
      <c r="AH228" s="13">
        <f>IF(OR(C228="",C228=0),"",N228/C228*10000)</f>
        <v/>
      </c>
      <c r="AI228" s="13">
        <f>IF(OR(D228="",D228=0),"",O228/D228*10000)</f>
        <v/>
      </c>
      <c r="AJ228" s="11" t="n">
        <v>15073.9213791158</v>
      </c>
      <c r="AK228" s="11" t="n">
        <v>23282.54</v>
      </c>
      <c r="AL228" s="22">
        <f>AE228+AJ228+AK228</f>
        <v/>
      </c>
      <c r="AM228" s="22">
        <f>AE228</f>
        <v/>
      </c>
      <c r="AN228" s="14" t="n">
        <v>74964.00999999999</v>
      </c>
      <c r="AO228" s="15" t="n">
        <v>46.234994</v>
      </c>
      <c r="AP228" s="14" t="n">
        <v>26100740.87</v>
      </c>
      <c r="AQ228" s="14" t="n">
        <v>26136.0303</v>
      </c>
      <c r="AR228" s="14" t="n">
        <v>1831.2501</v>
      </c>
      <c r="AS228" s="14" t="n"/>
      <c r="AT228" s="16" t="n">
        <v>419.529967174103</v>
      </c>
      <c r="AU228" s="17" t="n">
        <v>0.0217686824</v>
      </c>
      <c r="AV228" s="14" t="n">
        <v>422931641.6678</v>
      </c>
      <c r="AW228" s="18" t="n">
        <v>60100000</v>
      </c>
      <c r="AX228" s="19" t="n">
        <v>26100740.87</v>
      </c>
      <c r="AY228" s="18" t="n">
        <v>3100000</v>
      </c>
      <c r="AZ228" s="18">
        <f>1000000000-999680492.8925</f>
        <v/>
      </c>
      <c r="BA228" s="20">
        <f>1000000000-AV228-AW228-AX228-AY228-AZ228</f>
        <v/>
      </c>
      <c r="BB228" s="21" t="n">
        <v>244.9</v>
      </c>
      <c r="BC228" s="21">
        <f>BA228/1000000-BB228</f>
        <v/>
      </c>
      <c r="BD228" s="22">
        <f>BA228*46.29</f>
        <v/>
      </c>
    </row>
    <row r="229">
      <c r="A229" s="10" t="n">
        <v>45851</v>
      </c>
      <c r="B229" s="11" t="n">
        <v>6412427250.738647</v>
      </c>
      <c r="C229" s="11" t="n"/>
      <c r="D229" s="11" t="n">
        <v>302499066</v>
      </c>
      <c r="E229" s="11" t="n"/>
      <c r="M229" s="22">
        <f>Z229/(1-R229)</f>
        <v/>
      </c>
      <c r="N229" s="11" t="n"/>
      <c r="O229" s="11" t="n">
        <v>70779</v>
      </c>
      <c r="P229" s="11" t="n"/>
      <c r="Q229" s="22">
        <f>M229+N229+O229+P229</f>
        <v/>
      </c>
      <c r="R229" s="12" t="n">
        <v>0.03</v>
      </c>
      <c r="S229" s="22">
        <f>M229*R229</f>
        <v/>
      </c>
      <c r="T229" s="22">
        <f>N229*R229</f>
        <v/>
      </c>
      <c r="U229" s="22">
        <f>(O229-V229)*R229</f>
        <v/>
      </c>
      <c r="V229" s="11" t="n">
        <v>24827</v>
      </c>
      <c r="W229" s="11" t="n"/>
      <c r="X229" s="22">
        <f>S229+T229+U229+V229+W229</f>
        <v/>
      </c>
      <c r="Y229" s="11" t="n"/>
      <c r="Z229" s="22">
        <f>AE229-AB229-AA229-AC229</f>
        <v/>
      </c>
      <c r="AA229" s="22">
        <f>N229-T229-W229</f>
        <v/>
      </c>
      <c r="AB229" s="22">
        <f>O229-V229-U229</f>
        <v/>
      </c>
      <c r="AC229" s="22">
        <f>P229</f>
        <v/>
      </c>
      <c r="AD229" s="23">
        <f>Z229+AA229+AB229+AC229</f>
        <v/>
      </c>
      <c r="AE229" s="11" t="n">
        <v>2008748.358</v>
      </c>
      <c r="AF229" s="24">
        <f>AD229-AE229</f>
        <v/>
      </c>
      <c r="AG229" s="13">
        <f>IF(OR(B229="",B229=0,M229=""),"",M229/B229*10000)</f>
        <v/>
      </c>
      <c r="AH229" s="13">
        <f>IF(OR(C229="",C229=0),"",N229/C229*10000)</f>
        <v/>
      </c>
      <c r="AI229" s="13">
        <f>IF(OR(D229="",D229=0),"",O229/D229*10000)</f>
        <v/>
      </c>
      <c r="AJ229" s="11" t="n">
        <v>10846.0034337668</v>
      </c>
      <c r="AK229" s="11" t="n">
        <v>30350.1</v>
      </c>
      <c r="AL229" s="22">
        <f>AE229+AJ229+AK229</f>
        <v/>
      </c>
      <c r="AM229" s="22">
        <f>AE229</f>
        <v/>
      </c>
      <c r="AN229" s="14" t="n">
        <v>41639.5</v>
      </c>
      <c r="AO229" s="15" t="n">
        <v>48.241414</v>
      </c>
      <c r="AP229" s="14" t="n">
        <v>26142380.37</v>
      </c>
      <c r="AQ229" s="14" t="n">
        <v>26013.8934</v>
      </c>
      <c r="AR229" s="14" t="n">
        <v>1374.6539</v>
      </c>
      <c r="AS229" s="14" t="n"/>
      <c r="AT229" s="16" t="n">
        <v>419.3449181001562</v>
      </c>
      <c r="AU229" s="17" t="n">
        <v>0.0217734287</v>
      </c>
      <c r="AV229" s="14" t="n">
        <v>422905627.7744</v>
      </c>
      <c r="AW229" s="18" t="n">
        <v>60100000</v>
      </c>
      <c r="AX229" s="19" t="n">
        <v>26142380.37</v>
      </c>
      <c r="AY229" s="18" t="n">
        <v>3100000</v>
      </c>
      <c r="AZ229" s="18">
        <f>1000000000-999679118.2386</f>
        <v/>
      </c>
      <c r="BA229" s="20">
        <f>1000000000-AV229-AW229-AX229-AY229-AZ229</f>
        <v/>
      </c>
      <c r="BB229" s="21" t="n">
        <v>244.9</v>
      </c>
      <c r="BC229" s="21">
        <f>BA229/1000000-BB229</f>
        <v/>
      </c>
      <c r="BD229" s="22">
        <f>BA229*47.13</f>
        <v/>
      </c>
    </row>
    <row r="230">
      <c r="A230" s="10" t="n">
        <v>45852</v>
      </c>
      <c r="B230" s="11" t="n">
        <v>13350737289.80416</v>
      </c>
      <c r="C230" s="11" t="n"/>
      <c r="D230" s="11" t="n">
        <v>527347600</v>
      </c>
      <c r="E230" s="11" t="n"/>
      <c r="M230" s="22">
        <f>Z230/(1-R230)</f>
        <v/>
      </c>
      <c r="N230" s="11" t="n"/>
      <c r="O230" s="11" t="n">
        <v>121963</v>
      </c>
      <c r="P230" s="11" t="n"/>
      <c r="Q230" s="22">
        <f>M230+N230+O230+P230</f>
        <v/>
      </c>
      <c r="R230" s="12" t="n">
        <v>0.03</v>
      </c>
      <c r="S230" s="22">
        <f>M230*R230</f>
        <v/>
      </c>
      <c r="T230" s="22">
        <f>N230*R230</f>
        <v/>
      </c>
      <c r="U230" s="22">
        <f>(O230-V230)*R230</f>
        <v/>
      </c>
      <c r="V230" s="11" t="n">
        <v>72766</v>
      </c>
      <c r="W230" s="11" t="n"/>
      <c r="X230" s="22">
        <f>S230+T230+U230+V230+W230</f>
        <v/>
      </c>
      <c r="Y230" s="11" t="n"/>
      <c r="Z230" s="22">
        <f>AE230-AB230-AA230-AC230</f>
        <v/>
      </c>
      <c r="AA230" s="22">
        <f>N230-T230-W230</f>
        <v/>
      </c>
      <c r="AB230" s="22">
        <f>O230-V230-U230</f>
        <v/>
      </c>
      <c r="AC230" s="22">
        <f>P230</f>
        <v/>
      </c>
      <c r="AD230" s="23">
        <f>Z230+AA230+AB230+AC230</f>
        <v/>
      </c>
      <c r="AE230" s="11" t="n">
        <v>3181268.757</v>
      </c>
      <c r="AF230" s="24">
        <f>AD230-AE230</f>
        <v/>
      </c>
      <c r="AG230" s="13">
        <f>IF(OR(B230="",B230=0,M230=""),"",M230/B230*10000)</f>
        <v/>
      </c>
      <c r="AH230" s="13">
        <f>IF(OR(C230="",C230=0),"",N230/C230*10000)</f>
        <v/>
      </c>
      <c r="AI230" s="13">
        <f>IF(OR(D230="",D230=0),"",O230/D230*10000)</f>
        <v/>
      </c>
      <c r="AJ230" s="11" t="n">
        <v>16968.98052542983</v>
      </c>
      <c r="AK230" s="11" t="n">
        <v>35814.39</v>
      </c>
      <c r="AL230" s="22">
        <f>AE230+AJ230+AK230</f>
        <v/>
      </c>
      <c r="AM230" s="22">
        <f>AE230</f>
        <v/>
      </c>
      <c r="AN230" s="14" t="n">
        <v>65683.78</v>
      </c>
      <c r="AO230" s="15" t="n">
        <v>48.433095</v>
      </c>
      <c r="AP230" s="14" t="n">
        <v>26208064.15</v>
      </c>
      <c r="AQ230" s="14" t="n">
        <v>26101.0722</v>
      </c>
      <c r="AR230" s="14" t="n">
        <v>1452.3753</v>
      </c>
      <c r="AS230" s="14" t="n"/>
      <c r="AT230" s="16" t="n">
        <v>419.3729166649603</v>
      </c>
      <c r="AU230" s="17" t="n">
        <v>0.0217727104</v>
      </c>
      <c r="AV230" s="14" t="n">
        <v>422879526.7021</v>
      </c>
      <c r="AW230" s="18" t="n">
        <v>60100000</v>
      </c>
      <c r="AX230" s="19" t="n">
        <v>26208064.15</v>
      </c>
      <c r="AY230" s="18" t="n">
        <v>3100000</v>
      </c>
      <c r="AZ230" s="18">
        <f>1000000000-999677665.8633</f>
        <v/>
      </c>
      <c r="BA230" s="20">
        <f>1000000000-AV230-AW230-AX230-AY230-AZ230</f>
        <v/>
      </c>
      <c r="BB230" s="21" t="n">
        <v>244.9</v>
      </c>
      <c r="BC230" s="21">
        <f>BA230/1000000-BB230</f>
        <v/>
      </c>
      <c r="BD230" s="22">
        <f>BA230*49.09</f>
        <v/>
      </c>
    </row>
    <row r="231">
      <c r="A231" s="10" t="n">
        <v>45853</v>
      </c>
      <c r="B231" s="11" t="n">
        <v>17479662857.74258</v>
      </c>
      <c r="C231" s="11" t="n"/>
      <c r="D231" s="11" t="n">
        <v>568382607</v>
      </c>
      <c r="E231" s="11" t="n"/>
      <c r="M231" s="22">
        <f>Z231/(1-R231)</f>
        <v/>
      </c>
      <c r="N231" s="11" t="n"/>
      <c r="O231" s="11" t="n">
        <v>126425</v>
      </c>
      <c r="P231" s="11" t="n"/>
      <c r="Q231" s="22">
        <f>M231+N231+O231+P231</f>
        <v/>
      </c>
      <c r="R231" s="12" t="n">
        <v>0.03</v>
      </c>
      <c r="S231" s="22">
        <f>M231*R231</f>
        <v/>
      </c>
      <c r="T231" s="22">
        <f>N231*R231</f>
        <v/>
      </c>
      <c r="U231" s="22">
        <f>(O231-V231)*R231</f>
        <v/>
      </c>
      <c r="V231" s="11" t="n">
        <v>97148</v>
      </c>
      <c r="W231" s="11" t="n"/>
      <c r="X231" s="22">
        <f>S231+T231+U231+V231+W231</f>
        <v/>
      </c>
      <c r="Y231" s="11" t="n"/>
      <c r="Z231" s="22">
        <f>AE231-AB231-AA231-AC231</f>
        <v/>
      </c>
      <c r="AA231" s="22">
        <f>N231-T231-W231</f>
        <v/>
      </c>
      <c r="AB231" s="22">
        <f>O231-V231-U231</f>
        <v/>
      </c>
      <c r="AC231" s="22">
        <f>P231</f>
        <v/>
      </c>
      <c r="AD231" s="23">
        <f>Z231+AA231+AB231+AC231</f>
        <v/>
      </c>
      <c r="AE231" s="11" t="n">
        <v>3961622.468</v>
      </c>
      <c r="AF231" s="24">
        <f>AD231-AE231</f>
        <v/>
      </c>
      <c r="AG231" s="13">
        <f>IF(OR(B231="",B231=0,M231=""),"",M231/B231*10000)</f>
        <v/>
      </c>
      <c r="AH231" s="13">
        <f>IF(OR(C231="",C231=0),"",N231/C231*10000)</f>
        <v/>
      </c>
      <c r="AI231" s="13">
        <f>IF(OR(D231="",D231=0),"",O231/D231*10000)</f>
        <v/>
      </c>
      <c r="AJ231" s="11" t="n">
        <v>28006.94016744708</v>
      </c>
      <c r="AK231" s="11" t="n">
        <v>0</v>
      </c>
      <c r="AL231" s="22">
        <f>AE231+AJ231+AK231</f>
        <v/>
      </c>
      <c r="AM231" s="22">
        <f>AE231</f>
        <v/>
      </c>
      <c r="AN231" s="14" t="n">
        <v>83530.85000000001</v>
      </c>
      <c r="AO231" s="15" t="n">
        <v>47.427058</v>
      </c>
      <c r="AP231" s="14" t="n">
        <v>26291595</v>
      </c>
      <c r="AQ231" s="14" t="n">
        <v>25934.9584</v>
      </c>
      <c r="AR231" s="14" t="n">
        <v>1590.787</v>
      </c>
      <c r="AS231" s="14" t="n"/>
      <c r="AT231" s="16" t="n">
        <v>419.3378926081014</v>
      </c>
      <c r="AU231" s="17" t="n">
        <v>0.0217736089</v>
      </c>
      <c r="AV231" s="14" t="n">
        <v>422853591.7437</v>
      </c>
      <c r="AW231" s="18" t="n">
        <v>60100000</v>
      </c>
      <c r="AX231" s="19" t="n">
        <v>26291595</v>
      </c>
      <c r="AY231" s="18" t="n">
        <v>3100000</v>
      </c>
      <c r="AZ231" s="18">
        <f>1000000000-999676075.0763</f>
        <v/>
      </c>
      <c r="BA231" s="20">
        <f>1000000000-AV231-AW231-AX231-AY231-AZ231</f>
        <v/>
      </c>
      <c r="BB231" s="21" t="n">
        <v>244.9</v>
      </c>
      <c r="BC231" s="21">
        <f>BA231/1000000-BB231</f>
        <v/>
      </c>
      <c r="BD231" s="22">
        <f>BA231*47.34</f>
        <v/>
      </c>
    </row>
    <row r="232">
      <c r="A232" s="10" t="n">
        <v>45854</v>
      </c>
      <c r="B232" s="11" t="n">
        <v>14838264786.44256</v>
      </c>
      <c r="C232" s="11" t="n"/>
      <c r="D232" s="11" t="n">
        <v>482934022</v>
      </c>
      <c r="E232" s="11" t="n"/>
      <c r="M232" s="22">
        <f>Z232/(1-R232)</f>
        <v/>
      </c>
      <c r="N232" s="11" t="n"/>
      <c r="O232" s="11" t="n">
        <v>110036</v>
      </c>
      <c r="P232" s="11" t="n"/>
      <c r="Q232" s="22">
        <f>M232+N232+O232+P232</f>
        <v/>
      </c>
      <c r="R232" s="12" t="n">
        <v>0.03</v>
      </c>
      <c r="S232" s="22">
        <f>M232*R232</f>
        <v/>
      </c>
      <c r="T232" s="22">
        <f>N232*R232</f>
        <v/>
      </c>
      <c r="U232" s="22">
        <f>(O232-V232)*R232</f>
        <v/>
      </c>
      <c r="V232" s="11" t="n">
        <v>64898</v>
      </c>
      <c r="W232" s="11" t="n"/>
      <c r="X232" s="22">
        <f>S232+T232+U232+V232+W232</f>
        <v/>
      </c>
      <c r="Y232" s="11" t="n"/>
      <c r="Z232" s="22">
        <f>AE232-AB232-AA232-AC232</f>
        <v/>
      </c>
      <c r="AA232" s="22">
        <f>N232-T232-W232</f>
        <v/>
      </c>
      <c r="AB232" s="22">
        <f>O232-V232-U232</f>
        <v/>
      </c>
      <c r="AC232" s="22">
        <f>P232</f>
        <v/>
      </c>
      <c r="AD232" s="23">
        <f>Z232+AA232+AB232+AC232</f>
        <v/>
      </c>
      <c r="AE232" s="11" t="n">
        <v>4321512.604</v>
      </c>
      <c r="AF232" s="24">
        <f>AD232-AE232</f>
        <v/>
      </c>
      <c r="AG232" s="13">
        <f>IF(OR(B232="",B232=0,M232=""),"",M232/B232*10000)</f>
        <v/>
      </c>
      <c r="AH232" s="13">
        <f>IF(OR(C232="",C232=0),"",N232/C232*10000)</f>
        <v/>
      </c>
      <c r="AI232" s="13">
        <f>IF(OR(D232="",D232=0),"",O232/D232*10000)</f>
        <v/>
      </c>
      <c r="AJ232" s="11" t="n">
        <v>25631.07110739695</v>
      </c>
      <c r="AK232" s="11" t="n">
        <v>37909.3</v>
      </c>
      <c r="AL232" s="22">
        <f>AE232+AJ232+AK232</f>
        <v/>
      </c>
      <c r="AM232" s="22">
        <f>AE232</f>
        <v/>
      </c>
      <c r="AN232" s="14" t="n">
        <v>90398.67999999999</v>
      </c>
      <c r="AO232" s="15" t="n">
        <v>47.805041</v>
      </c>
      <c r="AP232" s="14" t="n">
        <v>26381993.68</v>
      </c>
      <c r="AQ232" s="14" t="n">
        <v>26049.4675</v>
      </c>
      <c r="AR232" s="14" t="n">
        <v>762.501</v>
      </c>
      <c r="AS232" s="14" t="n"/>
      <c r="AT232" s="16" t="n">
        <v>424.0865230839272</v>
      </c>
      <c r="AU232" s="17" t="n">
        <v>0.0216497788</v>
      </c>
      <c r="AV232" s="14" t="n">
        <v>422827542.2762</v>
      </c>
      <c r="AW232" s="18" t="n">
        <v>60100000</v>
      </c>
      <c r="AX232" s="19" t="n">
        <v>26381993.68</v>
      </c>
      <c r="AY232" s="18" t="n">
        <v>3100000</v>
      </c>
      <c r="AZ232" s="18">
        <f>1000000000-999675312.5753</f>
        <v/>
      </c>
      <c r="BA232" s="20">
        <f>1000000000-AV232-AW232-AX232-AY232-AZ232</f>
        <v/>
      </c>
      <c r="BB232" s="21" t="n">
        <v>244.9</v>
      </c>
      <c r="BC232" s="21">
        <f>BA232/1000000-BB232</f>
        <v/>
      </c>
      <c r="BD232" s="22">
        <f>BA232*47.92</f>
        <v/>
      </c>
    </row>
    <row r="233">
      <c r="A233" s="10" t="n">
        <v>45855</v>
      </c>
      <c r="B233" s="11" t="n">
        <v>16730826628.91327</v>
      </c>
      <c r="C233" s="11" t="n"/>
      <c r="D233" s="11" t="n">
        <v>613486677</v>
      </c>
      <c r="E233" s="11" t="n"/>
      <c r="M233" s="22">
        <f>Z233/(1-R233)</f>
        <v/>
      </c>
      <c r="N233" s="11" t="n"/>
      <c r="O233" s="11" t="n">
        <v>141592</v>
      </c>
      <c r="P233" s="11" t="n"/>
      <c r="Q233" s="22">
        <f>M233+N233+O233+P233</f>
        <v/>
      </c>
      <c r="R233" s="12" t="n">
        <v>0.03</v>
      </c>
      <c r="S233" s="22">
        <f>M233*R233</f>
        <v/>
      </c>
      <c r="T233" s="22">
        <f>N233*R233</f>
        <v/>
      </c>
      <c r="U233" s="22">
        <f>(O233-V233)*R233</f>
        <v/>
      </c>
      <c r="V233" s="11" t="n">
        <v>63338</v>
      </c>
      <c r="W233" s="11" t="n"/>
      <c r="X233" s="22">
        <f>S233+T233+U233+V233+W233</f>
        <v/>
      </c>
      <c r="Y233" s="11" t="n"/>
      <c r="Z233" s="22">
        <f>AE233-AB233-AA233-AC233</f>
        <v/>
      </c>
      <c r="AA233" s="22">
        <f>N233-T233-W233</f>
        <v/>
      </c>
      <c r="AB233" s="22">
        <f>O233-V233-U233</f>
        <v/>
      </c>
      <c r="AC233" s="22">
        <f>P233</f>
        <v/>
      </c>
      <c r="AD233" s="23">
        <f>Z233+AA233+AB233+AC233</f>
        <v/>
      </c>
      <c r="AE233" s="11" t="n">
        <v>4475765.953</v>
      </c>
      <c r="AF233" s="24">
        <f>AD233-AE233</f>
        <v/>
      </c>
      <c r="AG233" s="13">
        <f>IF(OR(B233="",B233=0,M233=""),"",M233/B233*10000)</f>
        <v/>
      </c>
      <c r="AH233" s="13">
        <f>IF(OR(C233="",C233=0),"",N233/C233*10000)</f>
        <v/>
      </c>
      <c r="AI233" s="13">
        <f>IF(OR(D233="",D233=0),"",O233/D233*10000)</f>
        <v/>
      </c>
      <c r="AJ233" s="11" t="n">
        <v>30615.53347005913</v>
      </c>
      <c r="AK233" s="11" t="n">
        <v>40435.14</v>
      </c>
      <c r="AL233" s="22">
        <f>AE233+AJ233+AK233</f>
        <v/>
      </c>
      <c r="AM233" s="22">
        <f>AE233</f>
        <v/>
      </c>
      <c r="AN233" s="14" t="n">
        <v>96658.21000000001</v>
      </c>
      <c r="AO233" s="15" t="n">
        <v>46.305078</v>
      </c>
      <c r="AP233" s="14" t="n">
        <v>26478651.89</v>
      </c>
      <c r="AQ233" s="14" t="n">
        <v>26170.3924</v>
      </c>
      <c r="AR233" s="14" t="n">
        <v>1597.9602</v>
      </c>
      <c r="AS233" s="14" t="n"/>
      <c r="AT233" s="16" t="n">
        <v>423.0835404707503</v>
      </c>
      <c r="AU233" s="17" t="n">
        <v>0.0216751265</v>
      </c>
      <c r="AV233" s="14" t="n">
        <v>422801371.8838</v>
      </c>
      <c r="AW233" s="18" t="n">
        <v>60100000</v>
      </c>
      <c r="AX233" s="19" t="n">
        <v>26478651.89</v>
      </c>
      <c r="AY233" s="18" t="n">
        <v>3100000</v>
      </c>
      <c r="AZ233" s="18">
        <f>1000000000-999673714.6151</f>
        <v/>
      </c>
      <c r="BA233" s="20">
        <f>1000000000-AV233-AW233-AX233-AY233-AZ233</f>
        <v/>
      </c>
      <c r="BB233" s="21" t="n">
        <v>244.9</v>
      </c>
      <c r="BC233" s="21">
        <f>BA233/1000000-BB233</f>
        <v/>
      </c>
      <c r="BD233" s="22">
        <f>BA233*47.18</f>
        <v/>
      </c>
    </row>
    <row r="234">
      <c r="A234" s="10" t="n">
        <v>45856</v>
      </c>
      <c r="B234" s="11" t="n">
        <v>17860068610.46303</v>
      </c>
      <c r="C234" s="11" t="n"/>
      <c r="D234" s="11" t="n">
        <v>516622789</v>
      </c>
      <c r="E234" s="11" t="n"/>
      <c r="M234" s="22">
        <f>Z234/(1-R234)</f>
        <v/>
      </c>
      <c r="N234" s="11" t="n"/>
      <c r="O234" s="11" t="n">
        <v>123230</v>
      </c>
      <c r="P234" s="11" t="n"/>
      <c r="Q234" s="22">
        <f>M234+N234+O234+P234</f>
        <v/>
      </c>
      <c r="R234" s="12" t="n">
        <v>0.03</v>
      </c>
      <c r="S234" s="22">
        <f>M234*R234</f>
        <v/>
      </c>
      <c r="T234" s="22">
        <f>N234*R234</f>
        <v/>
      </c>
      <c r="U234" s="22">
        <f>(O234-V234)*R234</f>
        <v/>
      </c>
      <c r="V234" s="11" t="n">
        <v>13589</v>
      </c>
      <c r="W234" s="11" t="n"/>
      <c r="X234" s="22">
        <f>S234+T234+U234+V234+W234</f>
        <v/>
      </c>
      <c r="Y234" s="11" t="n"/>
      <c r="Z234" s="22">
        <f>AE234-AB234-AA234-AC234</f>
        <v/>
      </c>
      <c r="AA234" s="22">
        <f>N234-T234-W234</f>
        <v/>
      </c>
      <c r="AB234" s="22">
        <f>O234-V234-U234</f>
        <v/>
      </c>
      <c r="AC234" s="22">
        <f>P234</f>
        <v/>
      </c>
      <c r="AD234" s="23">
        <f>Z234+AA234+AB234+AC234</f>
        <v/>
      </c>
      <c r="AE234" s="11" t="n">
        <v>5353743.659</v>
      </c>
      <c r="AF234" s="24">
        <f>AD234-AE234</f>
        <v/>
      </c>
      <c r="AG234" s="13">
        <f>IF(OR(B234="",B234=0,M234=""),"",M234/B234*10000)</f>
        <v/>
      </c>
      <c r="AH234" s="13">
        <f>IF(OR(C234="",C234=0),"",N234/C234*10000)</f>
        <v/>
      </c>
      <c r="AI234" s="13">
        <f>IF(OR(D234="",D234=0),"",O234/D234*10000)</f>
        <v/>
      </c>
      <c r="AJ234" s="11" t="n">
        <v>27402.36328192447</v>
      </c>
      <c r="AK234" s="11" t="n">
        <v>38945.15</v>
      </c>
      <c r="AL234" s="22">
        <f>AE234+AJ234+AK234</f>
        <v/>
      </c>
      <c r="AM234" s="22">
        <f>AE234</f>
        <v/>
      </c>
      <c r="AN234" s="14" t="n">
        <v>117990.63</v>
      </c>
      <c r="AO234" s="15" t="n">
        <v>45.374312</v>
      </c>
      <c r="AP234" s="14" t="n">
        <v>26596642.52</v>
      </c>
      <c r="AQ234" s="14" t="n">
        <v>26160.4342</v>
      </c>
      <c r="AR234" s="14" t="n">
        <v>1707.7749</v>
      </c>
      <c r="AS234" s="14" t="n"/>
      <c r="AT234" s="16" t="n">
        <v>426.0831912741239</v>
      </c>
      <c r="AU234" s="17" t="n">
        <v>0.021599583</v>
      </c>
      <c r="AV234" s="14" t="n">
        <v>422775211.4497</v>
      </c>
      <c r="AW234" s="18" t="n">
        <v>60100000</v>
      </c>
      <c r="AX234" s="19" t="n">
        <v>26596642.52</v>
      </c>
      <c r="AY234" s="18" t="n">
        <v>3100000</v>
      </c>
      <c r="AZ234" s="18">
        <f>1000000000-999672006.8402</f>
        <v/>
      </c>
      <c r="BA234" s="20">
        <f>1000000000-AV234-AW234-AX234-AY234-AZ234</f>
        <v/>
      </c>
      <c r="BB234" s="21" t="n">
        <v>244.9</v>
      </c>
      <c r="BC234" s="21">
        <f>BA234/1000000-BB234</f>
        <v/>
      </c>
      <c r="BD234" s="22">
        <f>BA234*45.26</f>
        <v/>
      </c>
    </row>
    <row r="235">
      <c r="A235" s="10" t="n">
        <v>45857</v>
      </c>
      <c r="B235" s="11" t="n">
        <v>5940465680.993386</v>
      </c>
      <c r="C235" s="11" t="n"/>
      <c r="D235" s="11" t="n">
        <v>236243594</v>
      </c>
      <c r="E235" s="11" t="n"/>
      <c r="M235" s="22">
        <f>Z235/(1-R235)</f>
        <v/>
      </c>
      <c r="N235" s="11" t="n"/>
      <c r="O235" s="11" t="n">
        <v>55845</v>
      </c>
      <c r="P235" s="11" t="n"/>
      <c r="Q235" s="22">
        <f>M235+N235+O235+P235</f>
        <v/>
      </c>
      <c r="R235" s="12" t="n">
        <v>0.03</v>
      </c>
      <c r="S235" s="22">
        <f>M235*R235</f>
        <v/>
      </c>
      <c r="T235" s="22">
        <f>N235*R235</f>
        <v/>
      </c>
      <c r="U235" s="22">
        <f>(O235-V235)*R235</f>
        <v/>
      </c>
      <c r="V235" s="11" t="n">
        <v>19439</v>
      </c>
      <c r="W235" s="11" t="n"/>
      <c r="X235" s="22">
        <f>S235+T235+U235+V235+W235</f>
        <v/>
      </c>
      <c r="Y235" s="11" t="n"/>
      <c r="Z235" s="22">
        <f>AE235-AB235-AA235-AC235</f>
        <v/>
      </c>
      <c r="AA235" s="22">
        <f>N235-T235-W235</f>
        <v/>
      </c>
      <c r="AB235" s="22">
        <f>O235-V235-U235</f>
        <v/>
      </c>
      <c r="AC235" s="22">
        <f>P235</f>
        <v/>
      </c>
      <c r="AD235" s="23">
        <f>Z235+AA235+AB235+AC235</f>
        <v/>
      </c>
      <c r="AE235" s="11" t="n">
        <v>3622903.074</v>
      </c>
      <c r="AF235" s="24">
        <f>AD235-AE235</f>
        <v/>
      </c>
      <c r="AG235" s="13">
        <f>IF(OR(B235="",B235=0,M235=""),"",M235/B235*10000)</f>
        <v/>
      </c>
      <c r="AH235" s="13">
        <f>IF(OR(C235="",C235=0),"",N235/C235*10000)</f>
        <v/>
      </c>
      <c r="AI235" s="13">
        <f>IF(OR(D235="",D235=0),"",O235/D235*10000)</f>
        <v/>
      </c>
      <c r="AJ235" s="11" t="n">
        <v>10314.03957846649</v>
      </c>
      <c r="AK235" s="11" t="n">
        <v>0</v>
      </c>
      <c r="AL235" s="22">
        <f>AE235+AJ235+AK235</f>
        <v/>
      </c>
      <c r="AM235" s="22">
        <f>AE235</f>
        <v/>
      </c>
      <c r="AN235" s="14" t="n">
        <v>81070.97</v>
      </c>
      <c r="AO235" s="15" t="n">
        <v>44.688044</v>
      </c>
      <c r="AP235" s="14" t="n">
        <v>26677713.49</v>
      </c>
      <c r="AQ235" s="14" t="n">
        <v>26235.1622</v>
      </c>
      <c r="AR235" s="14" t="n">
        <v>1734.6771</v>
      </c>
      <c r="AS235" s="14" t="n"/>
      <c r="AT235" s="16" t="n">
        <v>425.1538469060342</v>
      </c>
      <c r="AU235" s="17" t="n">
        <v>0.0216229029</v>
      </c>
      <c r="AV235" s="14" t="n">
        <v>422748976.2875</v>
      </c>
      <c r="AW235" s="18" t="n">
        <v>60100000</v>
      </c>
      <c r="AX235" s="19" t="n">
        <v>26677713.49</v>
      </c>
      <c r="AY235" s="18" t="n">
        <v>3100000</v>
      </c>
      <c r="AZ235" s="18">
        <f>1000000000-999670272.1631</f>
        <v/>
      </c>
      <c r="BA235" s="20">
        <f>1000000000-AV235-AW235-AX235-AY235-AZ235</f>
        <v/>
      </c>
      <c r="BB235" s="21" t="n">
        <v>244.9</v>
      </c>
      <c r="BC235" s="21">
        <f>BA235/1000000-BB235</f>
        <v/>
      </c>
      <c r="BD235" s="22">
        <f>BA235*44.7</f>
        <v/>
      </c>
    </row>
    <row r="236">
      <c r="A236" s="10" t="n">
        <v>45858</v>
      </c>
      <c r="B236" s="11" t="n">
        <v>11223164737.14127</v>
      </c>
      <c r="C236" s="11" t="n"/>
      <c r="D236" s="11" t="n">
        <v>339236147</v>
      </c>
      <c r="E236" s="11" t="n"/>
      <c r="M236" s="22">
        <f>Z236/(1-R236)</f>
        <v/>
      </c>
      <c r="N236" s="11" t="n"/>
      <c r="O236" s="11" t="n">
        <v>67623</v>
      </c>
      <c r="P236" s="11" t="n"/>
      <c r="Q236" s="22">
        <f>M236+N236+O236+P236</f>
        <v/>
      </c>
      <c r="R236" s="12" t="n">
        <v>0.03</v>
      </c>
      <c r="S236" s="22">
        <f>M236*R236</f>
        <v/>
      </c>
      <c r="T236" s="22">
        <f>N236*R236</f>
        <v/>
      </c>
      <c r="U236" s="22">
        <f>(O236-V236)*R236</f>
        <v/>
      </c>
      <c r="V236" s="11" t="n">
        <v>38068</v>
      </c>
      <c r="W236" s="11" t="n"/>
      <c r="X236" s="22">
        <f>S236+T236+U236+V236+W236</f>
        <v/>
      </c>
      <c r="Y236" s="11" t="n"/>
      <c r="Z236" s="22">
        <f>AE236-AB236-AA236-AC236</f>
        <v/>
      </c>
      <c r="AA236" s="22">
        <f>N236-T236-W236</f>
        <v/>
      </c>
      <c r="AB236" s="22">
        <f>O236-V236-U236</f>
        <v/>
      </c>
      <c r="AC236" s="22">
        <f>P236</f>
        <v/>
      </c>
      <c r="AD236" s="23">
        <f>Z236+AA236+AB236+AC236</f>
        <v/>
      </c>
      <c r="AE236" s="11" t="n">
        <v>1637416.709</v>
      </c>
      <c r="AF236" s="24">
        <f>AD236-AE236</f>
        <v/>
      </c>
      <c r="AG236" s="13">
        <f>IF(OR(B236="",B236=0,M236=""),"",M236/B236*10000)</f>
        <v/>
      </c>
      <c r="AH236" s="13">
        <f>IF(OR(C236="",C236=0),"",N236/C236*10000)</f>
        <v/>
      </c>
      <c r="AI236" s="13">
        <f>IF(OR(D236="",D236=0),"",O236/D236*10000)</f>
        <v/>
      </c>
      <c r="AJ236" s="11" t="n">
        <v>14768.49212748751</v>
      </c>
      <c r="AK236" s="11" t="n">
        <v>23021.35</v>
      </c>
      <c r="AL236" s="22">
        <f>AE236+AJ236+AK236</f>
        <v/>
      </c>
      <c r="AM236" s="22">
        <f>AE236</f>
        <v/>
      </c>
      <c r="AN236" s="14" t="n">
        <v>35661.34</v>
      </c>
      <c r="AO236" s="15" t="n">
        <v>45.915737</v>
      </c>
      <c r="AP236" s="14" t="n">
        <v>26713374.83</v>
      </c>
      <c r="AQ236" s="14" t="n">
        <v>25437.4605</v>
      </c>
      <c r="AR236" s="14" t="n">
        <v>387.0758</v>
      </c>
      <c r="AS236" s="14" t="n"/>
      <c r="AT236" s="16" t="n">
        <v>425.9978604913276</v>
      </c>
      <c r="AU236" s="17" t="n">
        <v>0.0215581749</v>
      </c>
      <c r="AV236" s="14" t="n">
        <v>422723538.827</v>
      </c>
      <c r="AW236" s="18" t="n">
        <v>60100000</v>
      </c>
      <c r="AX236" s="19" t="n">
        <v>26713374.83</v>
      </c>
      <c r="AY236" s="18" t="n">
        <v>3100000</v>
      </c>
      <c r="AZ236" s="18">
        <f>1000000000-999669885.0873</f>
        <v/>
      </c>
      <c r="BA236" s="20">
        <f>1000000000-AV236-AW236-AX236-AY236-AZ236</f>
        <v/>
      </c>
      <c r="BB236" s="21" t="n">
        <v>244.9</v>
      </c>
      <c r="BC236" s="21">
        <f>BA236/1000000-BB236</f>
        <v/>
      </c>
      <c r="BD236" s="22">
        <f>BA236*44.24</f>
        <v/>
      </c>
    </row>
    <row r="237">
      <c r="A237" s="10" t="n">
        <v>45859</v>
      </c>
      <c r="B237" s="11" t="n">
        <v>15217202579.28521</v>
      </c>
      <c r="C237" s="11" t="n"/>
      <c r="D237" s="11" t="n">
        <v>427336704</v>
      </c>
      <c r="E237" s="11" t="n"/>
      <c r="M237" s="22">
        <f>Z237/(1-R237)</f>
        <v/>
      </c>
      <c r="N237" s="11" t="n"/>
      <c r="O237" s="11" t="n">
        <v>97640</v>
      </c>
      <c r="P237" s="11" t="n"/>
      <c r="Q237" s="22">
        <f>M237+N237+O237+P237</f>
        <v/>
      </c>
      <c r="R237" s="12" t="n">
        <v>0.03</v>
      </c>
      <c r="S237" s="22">
        <f>M237*R237</f>
        <v/>
      </c>
      <c r="T237" s="22">
        <f>N237*R237</f>
        <v/>
      </c>
      <c r="U237" s="22">
        <f>(O237-V237)*R237</f>
        <v/>
      </c>
      <c r="V237" s="11" t="n">
        <v>43509</v>
      </c>
      <c r="W237" s="11" t="n"/>
      <c r="X237" s="22">
        <f>S237+T237+U237+V237+W237</f>
        <v/>
      </c>
      <c r="Y237" s="11" t="n"/>
      <c r="Z237" s="22">
        <f>AE237-AB237-AA237-AC237</f>
        <v/>
      </c>
      <c r="AA237" s="22">
        <f>N237-T237-W237</f>
        <v/>
      </c>
      <c r="AB237" s="22">
        <f>O237-V237-U237</f>
        <v/>
      </c>
      <c r="AC237" s="22">
        <f>P237</f>
        <v/>
      </c>
      <c r="AD237" s="23">
        <f>Z237+AA237+AB237+AC237</f>
        <v/>
      </c>
      <c r="AE237" s="11" t="n">
        <v>4157067.30163</v>
      </c>
      <c r="AF237" s="24">
        <f>AD237-AE237</f>
        <v/>
      </c>
      <c r="AG237" s="13">
        <f>IF(OR(B237="",B237=0,M237=""),"",M237/B237*10000)</f>
        <v/>
      </c>
      <c r="AH237" s="13">
        <f>IF(OR(C237="",C237=0),"",N237/C237*10000)</f>
        <v/>
      </c>
      <c r="AI237" s="13">
        <f>IF(OR(D237="",D237=0),"",O237/D237*10000)</f>
        <v/>
      </c>
      <c r="AJ237" s="11" t="n">
        <v>30281.51454049356</v>
      </c>
      <c r="AK237" s="11" t="n">
        <v>30274.37</v>
      </c>
      <c r="AL237" s="22">
        <f>AE237+AJ237+AK237</f>
        <v/>
      </c>
      <c r="AM237" s="22">
        <f>AE237</f>
        <v/>
      </c>
      <c r="AN237" s="14" t="n">
        <v>89986.02</v>
      </c>
      <c r="AO237" s="15" t="n">
        <v>46.19681258966671</v>
      </c>
      <c r="AP237" s="14" t="n">
        <v>26790541.33</v>
      </c>
      <c r="AQ237" s="14" t="n">
        <v>26253.0862</v>
      </c>
      <c r="AR237" s="14" t="n">
        <v>1064.9001</v>
      </c>
      <c r="AS237" s="14" t="n"/>
      <c r="AT237" s="16" t="n">
        <v>425.8689285709855</v>
      </c>
      <c r="AU237" s="17" t="n">
        <v>0.0215614001</v>
      </c>
      <c r="AV237" s="14" t="n">
        <v>422697285.7408</v>
      </c>
      <c r="AW237" s="18" t="n">
        <v>60100000</v>
      </c>
      <c r="AX237" s="19" t="n">
        <v>26790541.33</v>
      </c>
      <c r="AY237" s="18" t="n">
        <v>3100000</v>
      </c>
      <c r="AZ237" s="18">
        <f>1000000000-999668820.1872</f>
        <v/>
      </c>
      <c r="BA237" s="20">
        <f>1000000000-AV237-AW237-AX237-AY237-AZ237</f>
        <v/>
      </c>
      <c r="BB237" s="21" t="n">
        <v>244.9</v>
      </c>
      <c r="BC237" s="21">
        <f>BA237/1000000-BB237</f>
        <v/>
      </c>
      <c r="BD237" s="22">
        <f>BA237*45.49</f>
        <v/>
      </c>
    </row>
    <row r="238">
      <c r="A238" s="10" t="n">
        <v>45860</v>
      </c>
      <c r="B238" s="11" t="n">
        <v>17573226980.30249</v>
      </c>
      <c r="C238" s="11" t="n"/>
      <c r="D238" s="11" t="n">
        <v>507977397</v>
      </c>
      <c r="E238" s="11" t="n"/>
      <c r="M238" s="22">
        <f>Z238/(1-R238)</f>
        <v/>
      </c>
      <c r="N238" s="11" t="n"/>
      <c r="O238" s="11" t="n">
        <v>105959</v>
      </c>
      <c r="P238" s="11" t="n"/>
      <c r="Q238" s="22">
        <f>M238+N238+O238+P238</f>
        <v/>
      </c>
      <c r="R238" s="12" t="n">
        <v>0.03</v>
      </c>
      <c r="S238" s="22">
        <f>M238*R238</f>
        <v/>
      </c>
      <c r="T238" s="22">
        <f>N238*R238</f>
        <v/>
      </c>
      <c r="U238" s="22">
        <f>(O238-V238)*R238</f>
        <v/>
      </c>
      <c r="V238" s="11" t="n">
        <v>26542</v>
      </c>
      <c r="W238" s="11" t="n"/>
      <c r="X238" s="22">
        <f>S238+T238+U238+V238+W238</f>
        <v/>
      </c>
      <c r="Y238" s="11" t="n"/>
      <c r="Z238" s="22">
        <f>AE238-AB238-AA238-AC238</f>
        <v/>
      </c>
      <c r="AA238" s="22">
        <f>N238-T238-W238</f>
        <v/>
      </c>
      <c r="AB238" s="22">
        <f>O238-V238-U238</f>
        <v/>
      </c>
      <c r="AC238" s="22">
        <f>P238</f>
        <v/>
      </c>
      <c r="AD238" s="23">
        <f>Z238+AA238+AB238+AC238</f>
        <v/>
      </c>
      <c r="AE238" s="11" t="n">
        <v>4309374.38511</v>
      </c>
      <c r="AF238" s="24">
        <f>AD238-AE238</f>
        <v/>
      </c>
      <c r="AG238" s="13">
        <f>IF(OR(B238="",B238=0,M238=""),"",M238/B238*10000)</f>
        <v/>
      </c>
      <c r="AH238" s="13">
        <f>IF(OR(C238="",C238=0),"",N238/C238*10000)</f>
        <v/>
      </c>
      <c r="AI238" s="13">
        <f>IF(OR(D238="",D238=0),"",O238/D238*10000)</f>
        <v/>
      </c>
      <c r="AJ238" s="11" t="n">
        <v>29834.46565461404</v>
      </c>
      <c r="AK238" s="11" t="n">
        <v>31944.03</v>
      </c>
      <c r="AL238" s="22">
        <f>AE238+AJ238+AK238</f>
        <v/>
      </c>
      <c r="AM238" s="22">
        <f>AE238</f>
        <v/>
      </c>
      <c r="AN238" s="14" t="n">
        <v>97303.92</v>
      </c>
      <c r="AO238" s="15" t="n">
        <v>44.28777777000145</v>
      </c>
      <c r="AP238" s="14" t="n">
        <v>26894757.84</v>
      </c>
      <c r="AQ238" s="14" t="n">
        <v>26270.2379</v>
      </c>
      <c r="AR238" s="14" t="n">
        <v>1351.9293</v>
      </c>
      <c r="AS238" s="14" t="n"/>
      <c r="AT238" s="16" t="n">
        <v>425.6606072624036</v>
      </c>
      <c r="AU238" s="17" t="n">
        <v>0.0215666153</v>
      </c>
      <c r="AV238" s="14" t="n">
        <v>422671015.5028</v>
      </c>
      <c r="AW238" s="18" t="n">
        <v>60100000</v>
      </c>
      <c r="AX238" s="19" t="n">
        <v>26894757.84</v>
      </c>
      <c r="AY238" s="18" t="n">
        <v>3100000</v>
      </c>
      <c r="AZ238" s="18">
        <f>1000000000-999667468.2579</f>
        <v/>
      </c>
      <c r="BA238" s="20">
        <f>1000000000-AV238-AW238-AX238-AY238-AZ238</f>
        <v/>
      </c>
      <c r="BB238" s="21" t="n">
        <v>244.9</v>
      </c>
      <c r="BC238" s="21">
        <f>BA238/1000000-BB238</f>
        <v/>
      </c>
      <c r="BD238" s="22">
        <f>BA238*44.45</f>
        <v/>
      </c>
    </row>
    <row r="239">
      <c r="A239" s="10" t="n">
        <v>45861</v>
      </c>
      <c r="B239" s="11" t="n">
        <v>13920019812.41172</v>
      </c>
      <c r="C239" s="11" t="n"/>
      <c r="D239" s="11" t="n">
        <v>456108455</v>
      </c>
      <c r="E239" s="11" t="n"/>
      <c r="M239" s="22">
        <f>Z239/(1-R239)</f>
        <v/>
      </c>
      <c r="N239" s="11" t="n"/>
      <c r="O239" s="11" t="n">
        <v>99943</v>
      </c>
      <c r="P239" s="11" t="n"/>
      <c r="Q239" s="22">
        <f>M239+N239+O239+P239</f>
        <v/>
      </c>
      <c r="R239" s="12" t="n">
        <v>0.03</v>
      </c>
      <c r="S239" s="22">
        <f>M239*R239</f>
        <v/>
      </c>
      <c r="T239" s="22">
        <f>N239*R239</f>
        <v/>
      </c>
      <c r="U239" s="22">
        <f>(O239-V239)*R239</f>
        <v/>
      </c>
      <c r="V239" s="11" t="n">
        <v>25342</v>
      </c>
      <c r="W239" s="11" t="n"/>
      <c r="X239" s="22">
        <f>S239+T239+U239+V239+W239</f>
        <v/>
      </c>
      <c r="Y239" s="11" t="n"/>
      <c r="Z239" s="22">
        <f>AE239-AB239-AA239-AC239</f>
        <v/>
      </c>
      <c r="AA239" s="22">
        <f>N239-T239-W239</f>
        <v/>
      </c>
      <c r="AB239" s="22">
        <f>O239-V239-U239</f>
        <v/>
      </c>
      <c r="AC239" s="22">
        <f>P239</f>
        <v/>
      </c>
      <c r="AD239" s="23">
        <f>Z239+AA239+AB239+AC239</f>
        <v/>
      </c>
      <c r="AE239" s="11" t="n">
        <v>4231130.14645</v>
      </c>
      <c r="AF239" s="24">
        <f>AD239-AE239</f>
        <v/>
      </c>
      <c r="AG239" s="13">
        <f>IF(OR(B239="",B239=0,M239=""),"",M239/B239*10000)</f>
        <v/>
      </c>
      <c r="AH239" s="13">
        <f>IF(OR(C239="",C239=0),"",N239/C239*10000)</f>
        <v/>
      </c>
      <c r="AI239" s="13">
        <f>IF(OR(D239="",D239=0),"",O239/D239*10000)</f>
        <v/>
      </c>
      <c r="AJ239" s="11" t="n">
        <v>22305.80969603184</v>
      </c>
      <c r="AK239" s="11" t="n">
        <v>38232.91</v>
      </c>
      <c r="AL239" s="22">
        <f>AE239+AJ239+AK239</f>
        <v/>
      </c>
      <c r="AM239" s="22">
        <f>AE239</f>
        <v/>
      </c>
      <c r="AN239" s="14" t="n">
        <v>96327.11</v>
      </c>
      <c r="AO239" s="15" t="n">
        <v>43.92460384672601</v>
      </c>
      <c r="AP239" s="14" t="n">
        <v>26980394.04</v>
      </c>
      <c r="AQ239" s="14" t="n">
        <v>26260.0077</v>
      </c>
      <c r="AR239" s="14" t="n">
        <v>1567.0252</v>
      </c>
      <c r="AS239" s="14" t="n"/>
      <c r="AT239" s="16" t="n">
        <v>425.6698110555336</v>
      </c>
      <c r="AU239" s="17" t="n">
        <v>0.0215663849</v>
      </c>
      <c r="AV239" s="14" t="n">
        <v>422644755.4951</v>
      </c>
      <c r="AW239" s="18" t="n">
        <v>60100000</v>
      </c>
      <c r="AX239" s="19" t="n">
        <v>26980394.04</v>
      </c>
      <c r="AY239" s="18" t="n">
        <v>3100000</v>
      </c>
      <c r="AZ239" s="18">
        <f>1000000000-999665901.2326</f>
        <v/>
      </c>
      <c r="BA239" s="20">
        <f>1000000000-AV239-AW239-AX239-AY239-AZ239</f>
        <v/>
      </c>
      <c r="BB239" s="21" t="n">
        <v>244.9</v>
      </c>
      <c r="BC239" s="21">
        <f>BA239/1000000-BB239</f>
        <v/>
      </c>
      <c r="BD239" s="22">
        <f>BA239*45.68</f>
        <v/>
      </c>
    </row>
    <row r="240">
      <c r="A240" s="10" t="n">
        <v>45862</v>
      </c>
      <c r="B240" s="11" t="n">
        <v>13225484310.07906</v>
      </c>
      <c r="C240" s="11" t="n"/>
      <c r="D240" s="11" t="n">
        <v>400136463</v>
      </c>
      <c r="E240" s="11" t="n"/>
      <c r="M240" s="22">
        <f>Z240/(1-R240)</f>
        <v/>
      </c>
      <c r="N240" s="11" t="n"/>
      <c r="O240" s="11" t="n">
        <v>91205</v>
      </c>
      <c r="P240" s="11" t="n"/>
      <c r="Q240" s="22">
        <f>M240+N240+O240+P240</f>
        <v/>
      </c>
      <c r="R240" s="12" t="n">
        <v>0.03</v>
      </c>
      <c r="S240" s="22">
        <f>M240*R240</f>
        <v/>
      </c>
      <c r="T240" s="22">
        <f>N240*R240</f>
        <v/>
      </c>
      <c r="U240" s="22">
        <f>(O240-V240)*R240</f>
        <v/>
      </c>
      <c r="V240" s="11" t="n">
        <v>24282</v>
      </c>
      <c r="W240" s="11" t="n"/>
      <c r="X240" s="22">
        <f>S240+T240+U240+V240+W240</f>
        <v/>
      </c>
      <c r="Y240" s="11" t="n"/>
      <c r="Z240" s="22">
        <f>AE240-AB240-AA240-AC240</f>
        <v/>
      </c>
      <c r="AA240" s="22">
        <f>N240-T240-W240</f>
        <v/>
      </c>
      <c r="AB240" s="22">
        <f>O240-V240-U240</f>
        <v/>
      </c>
      <c r="AC240" s="22">
        <f>P240</f>
        <v/>
      </c>
      <c r="AD240" s="23">
        <f>Z240+AA240+AB240+AC240</f>
        <v/>
      </c>
      <c r="AE240" s="11" t="n">
        <v>3649361.05445</v>
      </c>
      <c r="AF240" s="24">
        <f>AD240-AE240</f>
        <v/>
      </c>
      <c r="AG240" s="13">
        <f>IF(OR(B240="",B240=0,M240=""),"",M240/B240*10000)</f>
        <v/>
      </c>
      <c r="AH240" s="13">
        <f>IF(OR(C240="",C240=0),"",N240/C240*10000)</f>
        <v/>
      </c>
      <c r="AI240" s="13">
        <f>IF(OR(D240="",D240=0),"",O240/D240*10000)</f>
        <v/>
      </c>
      <c r="AJ240" s="11" t="n">
        <v>15704.90521626581</v>
      </c>
      <c r="AK240" s="11" t="n">
        <v>61157.71</v>
      </c>
      <c r="AL240" s="22">
        <f>AE240+AJ240+AK240</f>
        <v/>
      </c>
      <c r="AM240" s="22">
        <f>AE240</f>
        <v/>
      </c>
      <c r="AN240" s="14" t="n">
        <v>85212.58</v>
      </c>
      <c r="AO240" s="15" t="n">
        <v>42.82655277483677</v>
      </c>
      <c r="AP240" s="14" t="n">
        <v>27094232.14</v>
      </c>
      <c r="AQ240" s="14" t="n">
        <v>26273.1</v>
      </c>
      <c r="AR240" s="14" t="n">
        <v>1495.0699</v>
      </c>
      <c r="AS240" s="14" t="n"/>
      <c r="AT240" s="16" t="n">
        <v>426.2698780827109</v>
      </c>
      <c r="AU240" s="17" t="n">
        <v>0.0215513763</v>
      </c>
      <c r="AV240" s="14" t="n">
        <v>422618482.3951</v>
      </c>
      <c r="AW240" s="18" t="n">
        <v>60100000</v>
      </c>
      <c r="AX240" s="19" t="n">
        <v>27094232.14</v>
      </c>
      <c r="AY240" s="18" t="n">
        <v>3100000</v>
      </c>
      <c r="AZ240" s="18">
        <f>1000000000-999664406.1627</f>
        <v/>
      </c>
      <c r="BA240" s="20">
        <f>1000000000-AV240-AW240-AX240-AY240-AZ240</f>
        <v/>
      </c>
      <c r="BB240" s="21" t="n">
        <v>244.9</v>
      </c>
      <c r="BC240" s="21">
        <f>BA240/1000000-BB240</f>
        <v/>
      </c>
      <c r="BD240" s="22">
        <f>BA240*43.62</f>
        <v/>
      </c>
    </row>
    <row r="241">
      <c r="A241" s="10" t="n">
        <v>45863</v>
      </c>
      <c r="B241" s="11" t="n">
        <v>15953353062.81947</v>
      </c>
      <c r="C241" s="11" t="n"/>
      <c r="D241" s="11" t="n">
        <v>407697636</v>
      </c>
      <c r="E241" s="11" t="n"/>
      <c r="M241" s="22">
        <f>Z241/(1-R241)</f>
        <v/>
      </c>
      <c r="N241" s="11" t="n"/>
      <c r="O241" s="11" t="n">
        <v>90407</v>
      </c>
      <c r="P241" s="11" t="n"/>
      <c r="Q241" s="22">
        <f>M241+N241+O241+P241</f>
        <v/>
      </c>
      <c r="R241" s="12" t="n">
        <v>0.03</v>
      </c>
      <c r="S241" s="22">
        <f>M241*R241</f>
        <v/>
      </c>
      <c r="T241" s="22">
        <f>N241*R241</f>
        <v/>
      </c>
      <c r="U241" s="22">
        <f>(O241-V241)*R241</f>
        <v/>
      </c>
      <c r="V241" s="11" t="n">
        <v>42713</v>
      </c>
      <c r="W241" s="11" t="n"/>
      <c r="X241" s="22">
        <f>S241+T241+U241+V241+W241</f>
        <v/>
      </c>
      <c r="Y241" s="11" t="n"/>
      <c r="Z241" s="22">
        <f>AE241-AB241-AA241-AC241</f>
        <v/>
      </c>
      <c r="AA241" s="22">
        <f>N241-T241-W241</f>
        <v/>
      </c>
      <c r="AB241" s="22">
        <f>O241-V241-U241</f>
        <v/>
      </c>
      <c r="AC241" s="22">
        <f>P241</f>
        <v/>
      </c>
      <c r="AD241" s="23">
        <f>Z241+AA241+AB241+AC241</f>
        <v/>
      </c>
      <c r="AE241" s="11" t="n">
        <v>3875969.71215</v>
      </c>
      <c r="AF241" s="24">
        <f>AD241-AE241</f>
        <v/>
      </c>
      <c r="AG241" s="13">
        <f>IF(OR(B241="",B241=0,M241=""),"",M241/B241*10000)</f>
        <v/>
      </c>
      <c r="AH241" s="13">
        <f>IF(OR(C241="",C241=0),"",N241/C241*10000)</f>
        <v/>
      </c>
      <c r="AI241" s="13">
        <f>IF(OR(D241="",D241=0),"",O241/D241*10000)</f>
        <v/>
      </c>
      <c r="AJ241" s="11" t="n">
        <v>17068.72335907221</v>
      </c>
      <c r="AK241" s="11" t="n">
        <v>0</v>
      </c>
      <c r="AL241" s="22">
        <f>AE241+AJ241+AK241</f>
        <v/>
      </c>
      <c r="AM241" s="22">
        <f>AE241</f>
        <v/>
      </c>
      <c r="AN241" s="14" t="n">
        <v>91651.09</v>
      </c>
      <c r="AO241" s="15" t="n">
        <v>42.29049225873909</v>
      </c>
      <c r="AP241" s="14" t="n">
        <v>27194423.78</v>
      </c>
      <c r="AQ241" s="14" t="n">
        <v>26270.6827</v>
      </c>
      <c r="AR241" s="14" t="n">
        <v>2080.4413</v>
      </c>
      <c r="AS241" s="14" t="n"/>
      <c r="AT241" s="16" t="n">
        <v>425.3087440908123</v>
      </c>
      <c r="AU241" s="17" t="n">
        <v>0.0215754309</v>
      </c>
      <c r="AV241" s="14" t="n">
        <v>422592211.7124</v>
      </c>
      <c r="AW241" s="18" t="n">
        <v>60100000</v>
      </c>
      <c r="AX241" s="19" t="n">
        <v>27194423.78</v>
      </c>
      <c r="AY241" s="18" t="n">
        <v>3100000</v>
      </c>
      <c r="AZ241" s="18">
        <f>1000000000-999662325.7214</f>
        <v/>
      </c>
      <c r="BA241" s="20">
        <f>1000000000-AV241-AW241-AX241-AY241-AZ241</f>
        <v/>
      </c>
      <c r="BB241" s="21" t="n">
        <v>244.9</v>
      </c>
      <c r="BC241" s="21">
        <f>BA241/1000000-BB241</f>
        <v/>
      </c>
      <c r="BD241" s="22">
        <f>BA241*41.83</f>
        <v/>
      </c>
    </row>
    <row r="242">
      <c r="A242" s="10" t="n">
        <v>45864</v>
      </c>
      <c r="B242" s="11" t="n">
        <v>5698633537.275541</v>
      </c>
      <c r="C242" s="11" t="n"/>
      <c r="D242" s="11" t="n">
        <v>234677785</v>
      </c>
      <c r="E242" s="11" t="n"/>
      <c r="M242" s="22">
        <f>Z242/(1-R242)</f>
        <v/>
      </c>
      <c r="N242" s="11" t="n"/>
      <c r="O242" s="11" t="n">
        <v>51478</v>
      </c>
      <c r="P242" s="11" t="n"/>
      <c r="Q242" s="22">
        <f>M242+N242+O242+P242</f>
        <v/>
      </c>
      <c r="R242" s="12" t="n">
        <v>0.03</v>
      </c>
      <c r="S242" s="22">
        <f>M242*R242</f>
        <v/>
      </c>
      <c r="T242" s="22">
        <f>N242*R242</f>
        <v/>
      </c>
      <c r="U242" s="22">
        <f>(O242-V242)*R242</f>
        <v/>
      </c>
      <c r="V242" s="11" t="n">
        <v>32449</v>
      </c>
      <c r="W242" s="11" t="n"/>
      <c r="X242" s="22">
        <f>S242+T242+U242+V242+W242</f>
        <v/>
      </c>
      <c r="Y242" s="11" t="n"/>
      <c r="Z242" s="22">
        <f>AE242-AB242-AA242-AC242</f>
        <v/>
      </c>
      <c r="AA242" s="22">
        <f>N242-T242-W242</f>
        <v/>
      </c>
      <c r="AB242" s="22">
        <f>O242-V242-U242</f>
        <v/>
      </c>
      <c r="AC242" s="22">
        <f>P242</f>
        <v/>
      </c>
      <c r="AD242" s="23">
        <f>Z242+AA242+AB242+AC242</f>
        <v/>
      </c>
      <c r="AE242" s="11" t="n">
        <v>2008190.47534</v>
      </c>
      <c r="AF242" s="24">
        <f>AD242-AE242</f>
        <v/>
      </c>
      <c r="AG242" s="13">
        <f>IF(OR(B242="",B242=0,M242=""),"",M242/B242*10000)</f>
        <v/>
      </c>
      <c r="AH242" s="13">
        <f>IF(OR(C242="",C242=0),"",N242/C242*10000)</f>
        <v/>
      </c>
      <c r="AI242" s="13">
        <f>IF(OR(D242="",D242=0),"",O242/D242*10000)</f>
        <v/>
      </c>
      <c r="AJ242" s="11" t="n">
        <v>9624.489324601454</v>
      </c>
      <c r="AK242" s="11" t="n">
        <v>29566.6</v>
      </c>
      <c r="AL242" s="22">
        <f>AE242+AJ242+AK242</f>
        <v/>
      </c>
      <c r="AM242" s="22">
        <f>AE242</f>
        <v/>
      </c>
      <c r="AN242" s="14" t="n">
        <v>45480.69</v>
      </c>
      <c r="AO242" s="15" t="n">
        <v>44.15479350335274</v>
      </c>
      <c r="AP242" s="14" t="n">
        <v>27257117.78</v>
      </c>
      <c r="AQ242" s="14" t="n">
        <v>26267.594</v>
      </c>
      <c r="AR242" s="14" t="n">
        <v>620.5895</v>
      </c>
      <c r="AS242" s="14" t="n"/>
      <c r="AT242" s="16" t="n">
        <v>425.7660118094576</v>
      </c>
      <c r="AU242" s="17" t="n">
        <v>0.0215639766</v>
      </c>
      <c r="AV242" s="14" t="n">
        <v>422565944.1184</v>
      </c>
      <c r="AW242" s="18" t="n">
        <v>60100000</v>
      </c>
      <c r="AX242" s="19" t="n">
        <v>27257117.78</v>
      </c>
      <c r="AY242" s="18" t="n">
        <v>3100000</v>
      </c>
      <c r="AZ242" s="18">
        <f>1000000000-999661705.1319</f>
        <v/>
      </c>
      <c r="BA242" s="20">
        <f>1000000000-AV242-AW242-AX242-AY242-AZ242</f>
        <v/>
      </c>
      <c r="BB242" s="21" t="n">
        <v>244.9</v>
      </c>
      <c r="BC242" s="21">
        <f>BA242/1000000-BB242</f>
        <v/>
      </c>
      <c r="BD242" s="22">
        <f>BA242*43.94</f>
        <v/>
      </c>
    </row>
    <row r="243">
      <c r="A243" s="10" t="n">
        <v>45865</v>
      </c>
      <c r="B243" s="11" t="n">
        <v>7413250946.811219</v>
      </c>
      <c r="C243" s="11" t="n"/>
      <c r="D243" s="11" t="n">
        <v>282995902</v>
      </c>
      <c r="E243" s="11" t="n"/>
      <c r="M243" s="22">
        <f>Z243/(1-R243)</f>
        <v/>
      </c>
      <c r="N243" s="11" t="n"/>
      <c r="O243" s="11" t="n">
        <v>63428</v>
      </c>
      <c r="P243" s="11" t="n"/>
      <c r="Q243" s="22">
        <f>M243+N243+O243+P243</f>
        <v/>
      </c>
      <c r="R243" s="12" t="n">
        <v>0.03</v>
      </c>
      <c r="S243" s="22">
        <f>M243*R243</f>
        <v/>
      </c>
      <c r="T243" s="22">
        <f>N243*R243</f>
        <v/>
      </c>
      <c r="U243" s="22">
        <f>(O243-V243)*R243</f>
        <v/>
      </c>
      <c r="V243" s="11" t="n">
        <v>38777</v>
      </c>
      <c r="W243" s="11" t="n"/>
      <c r="X243" s="22">
        <f>S243+T243+U243+V243+W243</f>
        <v/>
      </c>
      <c r="Y243" s="11" t="n"/>
      <c r="Z243" s="22">
        <f>AE243-AB243-AA243-AC243</f>
        <v/>
      </c>
      <c r="AA243" s="22">
        <f>N243-T243-W243</f>
        <v/>
      </c>
      <c r="AB243" s="22">
        <f>O243-V243-U243</f>
        <v/>
      </c>
      <c r="AC243" s="22">
        <f>P243</f>
        <v/>
      </c>
      <c r="AD243" s="23">
        <f>Z243+AA243+AB243+AC243</f>
        <v/>
      </c>
      <c r="AE243" s="11" t="n">
        <v>2122051.78256</v>
      </c>
      <c r="AF243" s="24">
        <f>AD243-AE243</f>
        <v/>
      </c>
      <c r="AG243" s="13">
        <f>IF(OR(B243="",B243=0,M243=""),"",M243/B243*10000)</f>
        <v/>
      </c>
      <c r="AH243" s="13">
        <f>IF(OR(C243="",C243=0),"",N243/C243*10000)</f>
        <v/>
      </c>
      <c r="AI243" s="13">
        <f>IF(OR(D243="",D243=0),"",O243/D243*10000)</f>
        <v/>
      </c>
      <c r="AJ243" s="11" t="n">
        <v>9811.180749259762</v>
      </c>
      <c r="AK243" s="11" t="n">
        <v>0</v>
      </c>
      <c r="AL243" s="22">
        <f>AE243+AJ243+AK243</f>
        <v/>
      </c>
      <c r="AM243" s="22">
        <f>AE243</f>
        <v/>
      </c>
      <c r="AN243" s="14" t="n">
        <v>48885.03</v>
      </c>
      <c r="AO243" s="15" t="n">
        <v>43.40903099701484</v>
      </c>
      <c r="AP243" s="14" t="n">
        <v>27288584.56</v>
      </c>
      <c r="AQ243" s="14" t="n">
        <v>26273.9549</v>
      </c>
      <c r="AR243" s="14" t="n">
        <v>1027.789</v>
      </c>
      <c r="AS243" s="14" t="n"/>
      <c r="AT243" s="16" t="n">
        <v>426.4849336148513</v>
      </c>
      <c r="AU243" s="17" t="n">
        <v>0.0215460051</v>
      </c>
      <c r="AV243" s="14" t="n">
        <v>422539670.1636</v>
      </c>
      <c r="AW243" s="18" t="n">
        <v>60100000</v>
      </c>
      <c r="AX243" s="19" t="n">
        <v>27288584.56</v>
      </c>
      <c r="AY243" s="18" t="n">
        <v>3100000</v>
      </c>
      <c r="AZ243" s="18">
        <f>1000000000-999660677.3429</f>
        <v/>
      </c>
      <c r="BA243" s="20">
        <f>1000000000-AV243-AW243-AX243-AY243-AZ243</f>
        <v/>
      </c>
      <c r="BB243" s="21" t="n">
        <v>244.9</v>
      </c>
      <c r="BC243" s="21">
        <f>BA243/1000000-BB243</f>
        <v/>
      </c>
      <c r="BD243" s="22">
        <f>BA243*43.43</f>
        <v/>
      </c>
    </row>
    <row r="244">
      <c r="A244" s="10" t="n">
        <v>45866</v>
      </c>
      <c r="B244" s="11" t="n">
        <v>12436414976.15904</v>
      </c>
      <c r="C244" s="11" t="n"/>
      <c r="D244" s="11" t="n">
        <v>457193092</v>
      </c>
      <c r="E244" s="11" t="n"/>
      <c r="M244" s="22">
        <f>Z244/(1-R244)</f>
        <v/>
      </c>
      <c r="N244" s="11" t="n"/>
      <c r="O244" s="11" t="n">
        <v>95834</v>
      </c>
      <c r="P244" s="11" t="n"/>
      <c r="Q244" s="22">
        <f>M244+N244+O244+P244</f>
        <v/>
      </c>
      <c r="R244" s="12" t="n">
        <v>0.03</v>
      </c>
      <c r="S244" s="22">
        <f>M244*R244</f>
        <v/>
      </c>
      <c r="T244" s="22">
        <f>N244*R244</f>
        <v/>
      </c>
      <c r="U244" s="22">
        <f>(O244-V244)*R244</f>
        <v/>
      </c>
      <c r="V244" s="11" t="n">
        <v>52552</v>
      </c>
      <c r="W244" s="11" t="n"/>
      <c r="X244" s="22">
        <f>S244+T244+U244+V244+W244</f>
        <v/>
      </c>
      <c r="Y244" s="11" t="n"/>
      <c r="Z244" s="22">
        <f>AE244-AB244-AA244-AC244</f>
        <v/>
      </c>
      <c r="AA244" s="22">
        <f>N244-T244-W244</f>
        <v/>
      </c>
      <c r="AB244" s="22">
        <f>O244-V244-U244</f>
        <v/>
      </c>
      <c r="AC244" s="22">
        <f>P244</f>
        <v/>
      </c>
      <c r="AD244" s="23">
        <f>Z244+AA244+AB244+AC244</f>
        <v/>
      </c>
      <c r="AE244" s="11" t="n">
        <v>3328771.12294</v>
      </c>
      <c r="AF244" s="24">
        <f>AD244-AE244</f>
        <v/>
      </c>
      <c r="AG244" s="13">
        <f>IF(OR(B244="",B244=0,M244=""),"",M244/B244*10000)</f>
        <v/>
      </c>
      <c r="AH244" s="13">
        <f>IF(OR(C244="",C244=0),"",N244/C244*10000)</f>
        <v/>
      </c>
      <c r="AI244" s="13">
        <f>IF(OR(D244="",D244=0),"",O244/D244*10000)</f>
        <v/>
      </c>
      <c r="AJ244" s="11" t="n">
        <v>41455.00848448902</v>
      </c>
      <c r="AK244" s="11" t="n">
        <v>24999.41</v>
      </c>
      <c r="AL244" s="22">
        <f>AE244+AJ244+AK244</f>
        <v/>
      </c>
      <c r="AM244" s="22">
        <f>AE244</f>
        <v/>
      </c>
      <c r="AN244" s="14" t="n">
        <v>74785.14999999999</v>
      </c>
      <c r="AO244" s="15" t="n">
        <v>44.51112450720498</v>
      </c>
      <c r="AP244" s="14" t="n">
        <v>27345959.54</v>
      </c>
      <c r="AQ244" s="14" t="n">
        <v>25503.8166</v>
      </c>
      <c r="AR244" s="14" t="n">
        <v>415.4104</v>
      </c>
      <c r="AS244" s="14" t="n"/>
      <c r="AT244" s="16" t="n">
        <v>425.8488284404029</v>
      </c>
      <c r="AU244" s="17" t="n">
        <v>0.02150281</v>
      </c>
      <c r="AV244" s="14" t="n">
        <v>422514166.347</v>
      </c>
      <c r="AW244" s="18" t="n">
        <v>60100000</v>
      </c>
      <c r="AX244" s="19" t="n">
        <v>27345959.54</v>
      </c>
      <c r="AY244" s="18" t="n">
        <v>3100000</v>
      </c>
      <c r="AZ244" s="18">
        <f>1000000000-999660261.9325</f>
        <v/>
      </c>
      <c r="BA244" s="20">
        <f>1000000000-AV244-AW244-AX244-AY244-AZ244</f>
        <v/>
      </c>
      <c r="BB244" s="21" t="n">
        <v>244.9</v>
      </c>
      <c r="BC244" s="21">
        <f>BA244/1000000-BB244</f>
        <v/>
      </c>
      <c r="BD244" s="22">
        <f>BA244*43.77</f>
        <v/>
      </c>
    </row>
    <row r="245">
      <c r="A245" s="10" t="n">
        <v>45867</v>
      </c>
      <c r="B245" s="11" t="n">
        <v>11467327116.61715</v>
      </c>
      <c r="C245" s="11" t="n"/>
      <c r="D245" s="11" t="n">
        <v>430369408</v>
      </c>
      <c r="E245" s="11" t="n"/>
      <c r="M245" s="22">
        <f>Z245/(1-R245)</f>
        <v/>
      </c>
      <c r="N245" s="11" t="n"/>
      <c r="O245" s="11" t="n">
        <v>89465</v>
      </c>
      <c r="P245" s="11" t="n"/>
      <c r="Q245" s="22">
        <f>M245+N245+O245+P245</f>
        <v/>
      </c>
      <c r="R245" s="12" t="n">
        <v>0.03</v>
      </c>
      <c r="S245" s="22">
        <f>M245*R245</f>
        <v/>
      </c>
      <c r="T245" s="22">
        <f>N245*R245</f>
        <v/>
      </c>
      <c r="U245" s="22">
        <f>(O245-V245)*R245</f>
        <v/>
      </c>
      <c r="V245" s="11" t="n">
        <v>40390</v>
      </c>
      <c r="W245" s="11" t="n"/>
      <c r="X245" s="22">
        <f>S245+T245+U245+V245+W245</f>
        <v/>
      </c>
      <c r="Y245" s="11" t="n"/>
      <c r="Z245" s="22">
        <f>AE245-AB245-AA245-AC245</f>
        <v/>
      </c>
      <c r="AA245" s="22">
        <f>N245-T245-W245</f>
        <v/>
      </c>
      <c r="AB245" s="22">
        <f>O245-V245-U245</f>
        <v/>
      </c>
      <c r="AC245" s="22">
        <f>P245</f>
        <v/>
      </c>
      <c r="AD245" s="23">
        <f>Z245+AA245+AB245+AC245</f>
        <v/>
      </c>
      <c r="AE245" s="11" t="n">
        <v>3117194.3948</v>
      </c>
      <c r="AF245" s="24">
        <f>AD245-AE245</f>
        <v/>
      </c>
      <c r="AG245" s="13">
        <f>IF(OR(B245="",B245=0,M245=""),"",M245/B245*10000)</f>
        <v/>
      </c>
      <c r="AH245" s="13">
        <f>IF(OR(C245="",C245=0),"",N245/C245*10000)</f>
        <v/>
      </c>
      <c r="AI245" s="13">
        <f>IF(OR(D245="",D245=0),"",O245/D245*10000)</f>
        <v/>
      </c>
      <c r="AJ245" s="11" t="n">
        <v>33339.7111656936</v>
      </c>
      <c r="AK245" s="11" t="n">
        <v>30412.84</v>
      </c>
      <c r="AL245" s="22">
        <f>AE245+AJ245+AK245</f>
        <v/>
      </c>
      <c r="AM245" s="22">
        <f>AE245</f>
        <v/>
      </c>
      <c r="AN245" s="14" t="n">
        <v>71034.64999999999</v>
      </c>
      <c r="AO245" s="15" t="n">
        <v>43.88273039706679</v>
      </c>
      <c r="AP245" s="14" t="n">
        <v>27416511.56</v>
      </c>
      <c r="AQ245" s="14" t="n">
        <v>26215.6556</v>
      </c>
      <c r="AR245" s="14" t="n">
        <v>1482.5447</v>
      </c>
      <c r="AS245" s="14" t="n"/>
      <c r="AT245" s="16" t="n">
        <v>427.2165555223576</v>
      </c>
      <c r="AU245" s="17" t="n">
        <v>0.0214687814</v>
      </c>
      <c r="AV245" s="14" t="n">
        <v>422487950.6914</v>
      </c>
      <c r="AW245" s="18" t="n">
        <v>60100000</v>
      </c>
      <c r="AX245" s="19" t="n">
        <v>27416511.56</v>
      </c>
      <c r="AY245" s="18" t="n">
        <v>3100000</v>
      </c>
      <c r="AZ245" s="18">
        <f>1000000000-999658779.3877</f>
        <v/>
      </c>
      <c r="BA245" s="20">
        <f>1000000000-AV245-AW245-AX245-AY245-AZ245</f>
        <v/>
      </c>
      <c r="BB245" s="21" t="n">
        <v>244.9</v>
      </c>
      <c r="BC245" s="21">
        <f>BA245/1000000-BB245</f>
        <v/>
      </c>
      <c r="BD245" s="22">
        <f>BA245*44.04</f>
        <v/>
      </c>
    </row>
    <row r="246">
      <c r="A246" s="10" t="n">
        <v>45868</v>
      </c>
      <c r="B246" s="11" t="n">
        <v>10174615682.51146</v>
      </c>
      <c r="C246" s="11" t="n"/>
      <c r="D246" s="11" t="n">
        <v>417498308</v>
      </c>
      <c r="E246" s="11" t="n"/>
      <c r="M246" s="22">
        <f>Z246/(1-R246)</f>
        <v/>
      </c>
      <c r="N246" s="11" t="n"/>
      <c r="O246" s="11" t="n">
        <v>95401</v>
      </c>
      <c r="P246" s="11" t="n"/>
      <c r="Q246" s="22">
        <f>M246+N246+O246+P246</f>
        <v/>
      </c>
      <c r="R246" s="12" t="n">
        <v>0.03</v>
      </c>
      <c r="S246" s="22">
        <f>M246*R246</f>
        <v/>
      </c>
      <c r="T246" s="22">
        <f>N246*R246</f>
        <v/>
      </c>
      <c r="U246" s="22">
        <f>(O246-V246)*R246</f>
        <v/>
      </c>
      <c r="V246" s="11" t="n">
        <v>44440</v>
      </c>
      <c r="W246" s="11" t="n"/>
      <c r="X246" s="22">
        <f>S246+T246+U246+V246+W246</f>
        <v/>
      </c>
      <c r="Y246" s="11" t="n"/>
      <c r="Z246" s="22">
        <f>AE246-AB246-AA246-AC246</f>
        <v/>
      </c>
      <c r="AA246" s="22">
        <f>N246-T246-W246</f>
        <v/>
      </c>
      <c r="AB246" s="22">
        <f>O246-V246-U246</f>
        <v/>
      </c>
      <c r="AC246" s="22">
        <f>P246</f>
        <v/>
      </c>
      <c r="AD246" s="23">
        <f>Z246+AA246+AB246+AC246</f>
        <v/>
      </c>
      <c r="AE246" s="11" t="n">
        <v>2705475.10854</v>
      </c>
      <c r="AF246" s="24">
        <f>AD246-AE246</f>
        <v/>
      </c>
      <c r="AG246" s="13">
        <f>IF(OR(B246="",B246=0,M246=""),"",M246/B246*10000)</f>
        <v/>
      </c>
      <c r="AH246" s="13">
        <f>IF(OR(C246="",C246=0),"",N246/C246*10000)</f>
        <v/>
      </c>
      <c r="AI246" s="13">
        <f>IF(OR(D246="",D246=0),"",O246/D246*10000)</f>
        <v/>
      </c>
      <c r="AJ246" s="11" t="n">
        <v>21389.53545005571</v>
      </c>
      <c r="AK246" s="11" t="n">
        <v>33602.85</v>
      </c>
      <c r="AL246" s="22">
        <f>AE246+AJ246+AK246</f>
        <v/>
      </c>
      <c r="AM246" s="22">
        <f>AE246</f>
        <v/>
      </c>
      <c r="AN246" s="14" t="n">
        <v>63587.22</v>
      </c>
      <c r="AO246" s="15" t="n">
        <v>42.54746643334934</v>
      </c>
      <c r="AP246" s="14" t="n">
        <v>27487010.24</v>
      </c>
      <c r="AQ246" s="14" t="n">
        <v>26279.9993</v>
      </c>
      <c r="AR246" s="14" t="n">
        <v>1630.932</v>
      </c>
      <c r="AS246" s="14" t="n"/>
      <c r="AT246" s="16" t="n">
        <v>429.1525584617923</v>
      </c>
      <c r="AU246" s="17" t="n">
        <v>0.0214208629</v>
      </c>
      <c r="AV246" s="14" t="n">
        <v>422461670.6921</v>
      </c>
      <c r="AW246" s="18" t="n">
        <v>60100000</v>
      </c>
      <c r="AX246" s="19" t="n">
        <v>27487010.24</v>
      </c>
      <c r="AY246" s="18" t="n">
        <v>3100000</v>
      </c>
      <c r="AZ246" s="18">
        <f>1000000000-999657148.4558</f>
        <v/>
      </c>
      <c r="BA246" s="20">
        <f>1000000000-AV246-AW246-AX246-AY246-AZ246</f>
        <v/>
      </c>
      <c r="BB246" s="21" t="n">
        <v>244.9</v>
      </c>
      <c r="BC246" s="21">
        <f>BA246/1000000-BB246</f>
        <v/>
      </c>
      <c r="BD246" s="22">
        <f>BA246*43.41</f>
        <v/>
      </c>
    </row>
    <row r="247">
      <c r="A247" s="10" t="n">
        <v>45869</v>
      </c>
      <c r="B247" s="11" t="n">
        <v>11403174318.78286</v>
      </c>
      <c r="C247" s="11" t="n"/>
      <c r="D247" s="11" t="n">
        <v>530574810</v>
      </c>
      <c r="E247" s="11" t="n"/>
      <c r="M247" s="22">
        <f>Z247/(1-R247)</f>
        <v/>
      </c>
      <c r="N247" s="11" t="n"/>
      <c r="O247" s="11" t="n">
        <v>116038</v>
      </c>
      <c r="P247" s="11" t="n"/>
      <c r="Q247" s="22">
        <f>M247+N247+O247+P247</f>
        <v/>
      </c>
      <c r="R247" s="12" t="n">
        <v>0.03</v>
      </c>
      <c r="S247" s="22">
        <f>M247*R247</f>
        <v/>
      </c>
      <c r="T247" s="22">
        <f>N247*R247</f>
        <v/>
      </c>
      <c r="U247" s="22">
        <f>(O247-V247)*R247</f>
        <v/>
      </c>
      <c r="V247" s="11" t="n">
        <v>52146</v>
      </c>
      <c r="W247" s="11" t="n"/>
      <c r="X247" s="22">
        <f>S247+T247+U247+V247+W247</f>
        <v/>
      </c>
      <c r="Y247" s="11" t="n"/>
      <c r="Z247" s="22">
        <f>AE247-AB247-AA247-AC247</f>
        <v/>
      </c>
      <c r="AA247" s="22">
        <f>N247-T247-W247</f>
        <v/>
      </c>
      <c r="AB247" s="22">
        <f>O247-V247-U247</f>
        <v/>
      </c>
      <c r="AC247" s="22">
        <f>P247</f>
        <v/>
      </c>
      <c r="AD247" s="23">
        <f>Z247+AA247+AB247+AC247</f>
        <v/>
      </c>
      <c r="AE247" s="11" t="n">
        <v>3164904.28337</v>
      </c>
      <c r="AF247" s="24">
        <f>AD247-AE247</f>
        <v/>
      </c>
      <c r="AG247" s="13">
        <f>IF(OR(B247="",B247=0,M247=""),"",M247/B247*10000)</f>
        <v/>
      </c>
      <c r="AH247" s="13">
        <f>IF(OR(C247="",C247=0),"",N247/C247*10000)</f>
        <v/>
      </c>
      <c r="AI247" s="13">
        <f>IF(OR(D247="",D247=0),"",O247/D247*10000)</f>
        <v/>
      </c>
      <c r="AJ247" s="11" t="n">
        <v>24945.57760686526</v>
      </c>
      <c r="AK247" s="11" t="n">
        <v>0</v>
      </c>
      <c r="AL247" s="22">
        <f>AE247+AJ247+AK247</f>
        <v/>
      </c>
      <c r="AM247" s="22">
        <f>AE247</f>
        <v/>
      </c>
      <c r="AN247" s="14" t="n">
        <v>74193.64999999999</v>
      </c>
      <c r="AO247" s="15" t="n">
        <v>42.65734713644631</v>
      </c>
      <c r="AP247" s="14" t="n">
        <v>27552679.16</v>
      </c>
      <c r="AQ247" s="14" t="n">
        <v>26380.5006</v>
      </c>
      <c r="AR247" s="14" t="n">
        <v>1477.7298</v>
      </c>
      <c r="AS247" s="14" t="n"/>
      <c r="AT247" s="16" t="n">
        <v>429.4361125958053</v>
      </c>
      <c r="AU247" s="17" t="n">
        <v>0.0214138716</v>
      </c>
      <c r="AV247" s="14" t="n">
        <v>422435290.1915</v>
      </c>
      <c r="AW247" s="18" t="n">
        <v>60100000</v>
      </c>
      <c r="AX247" s="19" t="n">
        <v>27552679.16</v>
      </c>
      <c r="AY247" s="18" t="n">
        <v>3100000</v>
      </c>
      <c r="AZ247" s="18">
        <f>1000000000-999655670.7259</f>
        <v/>
      </c>
      <c r="BA247" s="20">
        <f>1000000000-AV247-AW247-AX247-AY247-AZ247</f>
        <v/>
      </c>
      <c r="BB247" s="21" t="n">
        <v>244.9</v>
      </c>
      <c r="BC247" s="21">
        <f>BA247/1000000-BB247</f>
        <v/>
      </c>
      <c r="BD247" s="22">
        <f>BA247*42.21</f>
        <v/>
      </c>
    </row>
    <row r="248">
      <c r="A248" s="10" t="n">
        <v>45870</v>
      </c>
      <c r="B248" s="11" t="n">
        <v>18380818442.57787</v>
      </c>
      <c r="C248" s="11" t="n"/>
      <c r="D248" s="11" t="n">
        <v>559799982</v>
      </c>
      <c r="E248" s="11" t="n"/>
      <c r="M248" s="22">
        <f>Z248/(1-R248)</f>
        <v/>
      </c>
      <c r="N248" s="11" t="n"/>
      <c r="O248" s="11" t="n">
        <v>230825</v>
      </c>
      <c r="P248" s="11" t="n"/>
      <c r="Q248" s="22">
        <f>M248+N248+O248+P248</f>
        <v/>
      </c>
      <c r="R248" s="12" t="n">
        <v>0.03</v>
      </c>
      <c r="S248" s="22">
        <f>M248*R248</f>
        <v/>
      </c>
      <c r="T248" s="22">
        <f>N248*R248</f>
        <v/>
      </c>
      <c r="U248" s="22">
        <f>(O248-V248)*R248</f>
        <v/>
      </c>
      <c r="V248" s="11" t="n">
        <v>44318</v>
      </c>
      <c r="W248" s="11" t="n"/>
      <c r="X248" s="22">
        <f>S248+T248+U248+V248+W248</f>
        <v/>
      </c>
      <c r="Y248" s="11" t="n"/>
      <c r="Z248" s="22">
        <f>AE248-AB248-AA248-AC248</f>
        <v/>
      </c>
      <c r="AA248" s="22">
        <f>N248-T248-W248</f>
        <v/>
      </c>
      <c r="AB248" s="22">
        <f>O248-V248-U248</f>
        <v/>
      </c>
      <c r="AC248" s="22">
        <f>P248</f>
        <v/>
      </c>
      <c r="AD248" s="23">
        <f>Z248+AA248+AB248+AC248</f>
        <v/>
      </c>
      <c r="AE248" s="11" t="n">
        <v>4693953.32472</v>
      </c>
      <c r="AF248" s="24">
        <f>AD248-AE248</f>
        <v/>
      </c>
      <c r="AG248" s="13">
        <f>IF(OR(B248="",B248=0,M248=""),"",M248/B248*10000)</f>
        <v/>
      </c>
      <c r="AH248" s="13">
        <f>IF(OR(C248="",C248=0),"",N248/C248*10000)</f>
        <v/>
      </c>
      <c r="AI248" s="13">
        <f>IF(OR(D248="",D248=0),"",O248/D248*10000)</f>
        <v/>
      </c>
      <c r="AJ248" s="11" t="n">
        <v>45397.82282918472</v>
      </c>
      <c r="AK248" s="11" t="n">
        <v>20451.21</v>
      </c>
      <c r="AL248" s="22">
        <f>AE248+AJ248+AK248</f>
        <v/>
      </c>
      <c r="AM248" s="22">
        <f>AE248</f>
        <v/>
      </c>
      <c r="AN248" s="14" t="n">
        <v>120637.42</v>
      </c>
      <c r="AO248" s="15" t="n">
        <v>38.90959641477744</v>
      </c>
      <c r="AP248" s="14" t="n">
        <v>27649852.82</v>
      </c>
      <c r="AQ248" s="14" t="n">
        <v>26361.4326</v>
      </c>
      <c r="AR248" s="14" t="n">
        <v>1012.4622</v>
      </c>
      <c r="AS248" s="14" t="n"/>
      <c r="AT248" s="16" t="n">
        <v>430.2111588580001</v>
      </c>
      <c r="AU248" s="17" t="n">
        <v>0.021394797</v>
      </c>
      <c r="AV248" s="14" t="n">
        <v>422408928.7589</v>
      </c>
      <c r="AW248" s="18" t="n">
        <v>60100000</v>
      </c>
      <c r="AX248" s="19" t="n">
        <v>27649852.82</v>
      </c>
      <c r="AY248" s="18" t="n">
        <v>3100000</v>
      </c>
      <c r="AZ248" s="18">
        <f>1000000000-999654658.2638</f>
        <v/>
      </c>
      <c r="BA248" s="20">
        <f>1000000000-AV248-AW248-AX248-AY248-AZ248</f>
        <v/>
      </c>
      <c r="BB248" s="21" t="n">
        <v>244.9</v>
      </c>
      <c r="BC248" s="21">
        <f>BA248/1000000-BB248</f>
        <v/>
      </c>
      <c r="BD248" s="22">
        <f>BA248*40.34</f>
        <v/>
      </c>
    </row>
    <row r="249">
      <c r="A249" s="10" t="n">
        <v>45871</v>
      </c>
      <c r="B249" s="11" t="n">
        <v>8441327240.046515</v>
      </c>
      <c r="C249" s="11" t="n"/>
      <c r="D249" s="11" t="n">
        <v>276276534</v>
      </c>
      <c r="E249" s="11" t="n"/>
      <c r="M249" s="22">
        <f>Z249/(1-R249)</f>
        <v/>
      </c>
      <c r="N249" s="11" t="n"/>
      <c r="O249" s="11" t="n">
        <v>114760</v>
      </c>
      <c r="P249" s="11" t="n"/>
      <c r="Q249" s="22">
        <f>M249+N249+O249+P249</f>
        <v/>
      </c>
      <c r="R249" s="12" t="n">
        <v>0.03</v>
      </c>
      <c r="S249" s="22">
        <f>M249*R249</f>
        <v/>
      </c>
      <c r="T249" s="22">
        <f>N249*R249</f>
        <v/>
      </c>
      <c r="U249" s="22">
        <f>(O249-V249)*R249</f>
        <v/>
      </c>
      <c r="V249" s="11" t="n">
        <v>24075</v>
      </c>
      <c r="W249" s="11" t="n"/>
      <c r="X249" s="22">
        <f>S249+T249+U249+V249+W249</f>
        <v/>
      </c>
      <c r="Y249" s="11" t="n"/>
      <c r="Z249" s="22">
        <f>AE249-AB249-AA249-AC249</f>
        <v/>
      </c>
      <c r="AA249" s="22">
        <f>N249-T249-W249</f>
        <v/>
      </c>
      <c r="AB249" s="22">
        <f>O249-V249-U249</f>
        <v/>
      </c>
      <c r="AC249" s="22">
        <f>P249</f>
        <v/>
      </c>
      <c r="AD249" s="23">
        <f>Z249+AA249+AB249+AC249</f>
        <v/>
      </c>
      <c r="AE249" s="11" t="n">
        <v>2317465.07313</v>
      </c>
      <c r="AF249" s="24">
        <f>AD249-AE249</f>
        <v/>
      </c>
      <c r="AG249" s="13">
        <f>IF(OR(B249="",B249=0,M249=""),"",M249/B249*10000)</f>
        <v/>
      </c>
      <c r="AH249" s="13">
        <f>IF(OR(C249="",C249=0),"",N249/C249*10000)</f>
        <v/>
      </c>
      <c r="AI249" s="13">
        <f>IF(OR(D249="",D249=0),"",O249/D249*10000)</f>
        <v/>
      </c>
      <c r="AJ249" s="11" t="n">
        <v>14020.20642849904</v>
      </c>
      <c r="AK249" s="11" t="n">
        <v>0</v>
      </c>
      <c r="AL249" s="22">
        <f>AE249+AJ249+AK249</f>
        <v/>
      </c>
      <c r="AM249" s="22">
        <f>AE249</f>
        <v/>
      </c>
      <c r="AN249" s="14" t="n">
        <v>62168.17</v>
      </c>
      <c r="AO249" s="15" t="n">
        <v>37.27735709656565</v>
      </c>
      <c r="AP249" s="14" t="n">
        <v>27747374.36</v>
      </c>
      <c r="AQ249" s="14" t="n">
        <v>26277.6015</v>
      </c>
      <c r="AR249" s="14" t="n">
        <v>1602.8112</v>
      </c>
      <c r="AS249" s="14" t="n"/>
      <c r="AT249" s="16" t="n">
        <v>430.987116318077</v>
      </c>
      <c r="AU249" s="17" t="n">
        <v>0.0213757512</v>
      </c>
      <c r="AV249" s="14" t="n">
        <v>422382651.1574</v>
      </c>
      <c r="AW249" s="18" t="n">
        <v>60100000</v>
      </c>
      <c r="AX249" s="19" t="n">
        <v>27747374.36</v>
      </c>
      <c r="AY249" s="18" t="n">
        <v>3100000</v>
      </c>
      <c r="AZ249" s="18">
        <f>1000000000-999653055.4526</f>
        <v/>
      </c>
      <c r="BA249" s="20">
        <f>1000000000-AV249-AW249-AX249-AY249-AZ249</f>
        <v/>
      </c>
      <c r="BB249" s="21" t="n">
        <v>244.9</v>
      </c>
      <c r="BC249" s="21">
        <f>BA249/1000000-BB249</f>
        <v/>
      </c>
      <c r="BD249" s="22">
        <f>BA249*37.6</f>
        <v/>
      </c>
    </row>
    <row r="250">
      <c r="A250" s="10" t="n">
        <v>45872</v>
      </c>
      <c r="B250" s="11" t="n">
        <v>5841208708.800244</v>
      </c>
      <c r="C250" s="11" t="n"/>
      <c r="D250" s="11" t="n">
        <v>200603374</v>
      </c>
      <c r="E250" s="11" t="n"/>
      <c r="M250" s="22">
        <f>Z250/(1-R250)</f>
        <v/>
      </c>
      <c r="N250" s="11" t="n"/>
      <c r="O250" s="11" t="n">
        <v>90506</v>
      </c>
      <c r="P250" s="11" t="n"/>
      <c r="Q250" s="22">
        <f>M250+N250+O250+P250</f>
        <v/>
      </c>
      <c r="R250" s="12" t="n">
        <v>0.03</v>
      </c>
      <c r="S250" s="22">
        <f>M250*R250</f>
        <v/>
      </c>
      <c r="T250" s="22">
        <f>N250*R250</f>
        <v/>
      </c>
      <c r="U250" s="22">
        <f>(O250-V250)*R250</f>
        <v/>
      </c>
      <c r="V250" s="11" t="n">
        <v>21534</v>
      </c>
      <c r="W250" s="11" t="n"/>
      <c r="X250" s="22">
        <f>S250+T250+U250+V250+W250</f>
        <v/>
      </c>
      <c r="Y250" s="11" t="n"/>
      <c r="Z250" s="22">
        <f>AE250-AB250-AA250-AC250</f>
        <v/>
      </c>
      <c r="AA250" s="22">
        <f>N250-T250-W250</f>
        <v/>
      </c>
      <c r="AB250" s="22">
        <f>O250-V250-U250</f>
        <v/>
      </c>
      <c r="AC250" s="22">
        <f>P250</f>
        <v/>
      </c>
      <c r="AD250" s="23">
        <f>Z250+AA250+AB250+AC250</f>
        <v/>
      </c>
      <c r="AE250" s="11" t="n">
        <v>1580317.95475</v>
      </c>
      <c r="AF250" s="24">
        <f>AD250-AE250</f>
        <v/>
      </c>
      <c r="AG250" s="13">
        <f>IF(OR(B250="",B250=0,M250=""),"",M250/B250*10000)</f>
        <v/>
      </c>
      <c r="AH250" s="13">
        <f>IF(OR(C250="",C250=0),"",N250/C250*10000)</f>
        <v/>
      </c>
      <c r="AI250" s="13">
        <f>IF(OR(D250="",D250=0),"",O250/D250*10000)</f>
        <v/>
      </c>
      <c r="AJ250" s="11" t="n">
        <v>10035.7450083736</v>
      </c>
      <c r="AK250" s="11" t="n">
        <v>0</v>
      </c>
      <c r="AL250" s="22">
        <f>AE250+AJ250+AK250</f>
        <v/>
      </c>
      <c r="AM250" s="22">
        <f>AE250</f>
        <v/>
      </c>
      <c r="AN250" s="14" t="n">
        <v>41619.99</v>
      </c>
      <c r="AO250" s="15" t="n">
        <v>37.97016661344705</v>
      </c>
      <c r="AP250" s="14" t="n">
        <v>27805030.63</v>
      </c>
      <c r="AQ250" s="14" t="n">
        <v>26043.8984</v>
      </c>
      <c r="AR250" s="14" t="n">
        <v>723.8625</v>
      </c>
      <c r="AS250" s="14" t="n"/>
      <c r="AT250" s="16" t="n">
        <v>430.614126653241</v>
      </c>
      <c r="AU250" s="17" t="n">
        <v>0.0213684646</v>
      </c>
      <c r="AV250" s="14" t="n">
        <v>422356607.259</v>
      </c>
      <c r="AW250" s="18" t="n">
        <v>60100000</v>
      </c>
      <c r="AX250" s="19" t="n">
        <v>27805030.63</v>
      </c>
      <c r="AY250" s="18" t="n">
        <v>3100000</v>
      </c>
      <c r="AZ250" s="18">
        <f>1000000000-999652331.5901</f>
        <v/>
      </c>
      <c r="BA250" s="20">
        <f>1000000000-AV250-AW250-AX250-AY250-AZ250</f>
        <v/>
      </c>
      <c r="BB250" s="21" t="n">
        <v>244.9</v>
      </c>
      <c r="BC250" s="21">
        <f>BA250/1000000-BB250</f>
        <v/>
      </c>
      <c r="BD250" s="22">
        <f>BA250*36.91</f>
        <v/>
      </c>
    </row>
    <row r="251">
      <c r="A251" s="10" t="n">
        <v>45873</v>
      </c>
      <c r="B251" s="11" t="n">
        <v>9314089950.947948</v>
      </c>
      <c r="C251" s="11" t="n"/>
      <c r="D251" s="11" t="n">
        <v>266825105</v>
      </c>
      <c r="E251" s="11" t="n"/>
      <c r="M251" s="22">
        <f>Z251/(1-R251)</f>
        <v/>
      </c>
      <c r="N251" s="11" t="n"/>
      <c r="O251" s="11" t="n">
        <v>106473</v>
      </c>
      <c r="P251" s="11" t="n"/>
      <c r="Q251" s="22">
        <f>M251+N251+O251+P251</f>
        <v/>
      </c>
      <c r="R251" s="12" t="n">
        <v>0.03</v>
      </c>
      <c r="S251" s="22">
        <f>M251*R251</f>
        <v/>
      </c>
      <c r="T251" s="22">
        <f>N251*R251</f>
        <v/>
      </c>
      <c r="U251" s="22">
        <f>(O251-V251)*R251</f>
        <v/>
      </c>
      <c r="V251" s="11" t="n">
        <v>32097</v>
      </c>
      <c r="W251" s="11" t="n"/>
      <c r="X251" s="22">
        <f>S251+T251+U251+V251+W251</f>
        <v/>
      </c>
      <c r="Y251" s="11" t="n"/>
      <c r="Z251" s="22">
        <f>AE251-AB251-AA251-AC251</f>
        <v/>
      </c>
      <c r="AA251" s="22">
        <f>N251-T251-W251</f>
        <v/>
      </c>
      <c r="AB251" s="22">
        <f>O251-V251-U251</f>
        <v/>
      </c>
      <c r="AC251" s="22">
        <f>P251</f>
        <v/>
      </c>
      <c r="AD251" s="23">
        <f>Z251+AA251+AB251+AC251</f>
        <v/>
      </c>
      <c r="AE251" s="11" t="n">
        <v>2447194.85482</v>
      </c>
      <c r="AF251" s="24">
        <f>AD251-AE251</f>
        <v/>
      </c>
      <c r="AG251" s="13">
        <f>IF(OR(B251="",B251=0,M251=""),"",M251/B251*10000)</f>
        <v/>
      </c>
      <c r="AH251" s="13">
        <f>IF(OR(C251="",C251=0),"",N251/C251*10000)</f>
        <v/>
      </c>
      <c r="AI251" s="13">
        <f>IF(OR(D251="",D251=0),"",O251/D251*10000)</f>
        <v/>
      </c>
      <c r="AJ251" s="11" t="n">
        <v>27129.21538327852</v>
      </c>
      <c r="AK251" s="11" t="n">
        <v>19109.93</v>
      </c>
      <c r="AL251" s="22">
        <f>AE251+AJ251+AK251</f>
        <v/>
      </c>
      <c r="AM251" s="22">
        <f>AE251</f>
        <v/>
      </c>
      <c r="AN251" s="14" t="n">
        <v>63755.37</v>
      </c>
      <c r="AO251" s="15" t="n">
        <v>38.38413697261893</v>
      </c>
      <c r="AP251" s="14" t="n">
        <v>27844267.3</v>
      </c>
      <c r="AQ251" s="14" t="n">
        <v>26395.5924</v>
      </c>
      <c r="AR251" s="14" t="n">
        <v>552.175</v>
      </c>
      <c r="AS251" s="14" t="n"/>
      <c r="AT251" s="16" t="n">
        <v>429.9019669071297</v>
      </c>
      <c r="AU251" s="17" t="n">
        <v>0.0213859517</v>
      </c>
      <c r="AV251" s="14" t="n">
        <v>422330211.6666</v>
      </c>
      <c r="AW251" s="18" t="n">
        <v>60100000</v>
      </c>
      <c r="AX251" s="19" t="n">
        <v>27844267.3</v>
      </c>
      <c r="AY251" s="18" t="n">
        <v>3100000</v>
      </c>
      <c r="AZ251" s="18">
        <f>1000000000-999651779.4151</f>
        <v/>
      </c>
      <c r="BA251" s="20">
        <f>1000000000-AV251-AW251-AX251-AY251-AZ251</f>
        <v/>
      </c>
      <c r="BB251" s="21" t="n">
        <v>244.9</v>
      </c>
      <c r="BC251" s="21">
        <f>BA251/1000000-BB251</f>
        <v/>
      </c>
      <c r="BD251" s="22">
        <f>BA251*38.11</f>
        <v/>
      </c>
    </row>
    <row r="252">
      <c r="A252" s="10" t="n">
        <v>45874</v>
      </c>
      <c r="B252" s="11" t="n">
        <v>9775208827.431736</v>
      </c>
      <c r="C252" s="11" t="n"/>
      <c r="D252" s="11" t="n">
        <v>287929944</v>
      </c>
      <c r="E252" s="11" t="n"/>
      <c r="M252" s="22">
        <f>Z252/(1-R252)</f>
        <v/>
      </c>
      <c r="N252" s="11" t="n"/>
      <c r="O252" s="11" t="n">
        <v>121622</v>
      </c>
      <c r="P252" s="11" t="n"/>
      <c r="Q252" s="22">
        <f>M252+N252+O252+P252</f>
        <v/>
      </c>
      <c r="R252" s="12" t="n">
        <v>0.03</v>
      </c>
      <c r="S252" s="22">
        <f>M252*R252</f>
        <v/>
      </c>
      <c r="T252" s="22">
        <f>N252*R252</f>
        <v/>
      </c>
      <c r="U252" s="22">
        <f>(O252-V252)*R252</f>
        <v/>
      </c>
      <c r="V252" s="11" t="n">
        <v>31749</v>
      </c>
      <c r="W252" s="11" t="n"/>
      <c r="X252" s="22">
        <f>S252+T252+U252+V252+W252</f>
        <v/>
      </c>
      <c r="Y252" s="11" t="n"/>
      <c r="Z252" s="22">
        <f>AE252-AB252-AA252-AC252</f>
        <v/>
      </c>
      <c r="AA252" s="22">
        <f>N252-T252-W252</f>
        <v/>
      </c>
      <c r="AB252" s="22">
        <f>O252-V252-U252</f>
        <v/>
      </c>
      <c r="AC252" s="22">
        <f>P252</f>
        <v/>
      </c>
      <c r="AD252" s="23">
        <f>Z252+AA252+AB252+AC252</f>
        <v/>
      </c>
      <c r="AE252" s="11" t="n">
        <v>2546392.65031</v>
      </c>
      <c r="AF252" s="24">
        <f>AD252-AE252</f>
        <v/>
      </c>
      <c r="AG252" s="13">
        <f>IF(OR(B252="",B252=0,M252=""),"",M252/B252*10000)</f>
        <v/>
      </c>
      <c r="AH252" s="13">
        <f>IF(OR(C252="",C252=0),"",N252/C252*10000)</f>
        <v/>
      </c>
      <c r="AI252" s="13">
        <f>IF(OR(D252="",D252=0),"",O252/D252*10000)</f>
        <v/>
      </c>
      <c r="AJ252" s="11" t="n">
        <v>17386.94442128533</v>
      </c>
      <c r="AK252" s="11" t="n">
        <v>0</v>
      </c>
      <c r="AL252" s="22">
        <f>AE252+AJ252+AK252</f>
        <v/>
      </c>
      <c r="AM252" s="22">
        <f>AE252</f>
        <v/>
      </c>
      <c r="AN252" s="14" t="n">
        <v>65794.39</v>
      </c>
      <c r="AO252" s="15" t="n">
        <v>38.70227614102053</v>
      </c>
      <c r="AP252" s="14" t="n">
        <v>27913180.98</v>
      </c>
      <c r="AQ252" s="14" t="n">
        <v>26389.5639</v>
      </c>
      <c r="AR252" s="14" t="n">
        <v>1060.8068</v>
      </c>
      <c r="AS252" s="14" t="n"/>
      <c r="AT252" s="16" t="n">
        <v>429.8298380414504</v>
      </c>
      <c r="AU252" s="17" t="n">
        <v>0.02138772800000001</v>
      </c>
      <c r="AV252" s="14" t="n">
        <v>422303822.1027</v>
      </c>
      <c r="AW252" s="18" t="n">
        <v>60100000</v>
      </c>
      <c r="AX252" s="19" t="n">
        <v>27913180.98</v>
      </c>
      <c r="AY252" s="18" t="n">
        <v>3100000</v>
      </c>
      <c r="AZ252" s="18">
        <f>1000000000-999650718.6083</f>
        <v/>
      </c>
      <c r="BA252" s="20">
        <f>1000000000-AV252-AW252-AX252-AY252-AZ252</f>
        <v/>
      </c>
      <c r="BB252" s="21" t="n">
        <v>244.9</v>
      </c>
      <c r="BC252" s="21">
        <f>BA252/1000000-BB252</f>
        <v/>
      </c>
      <c r="BD252" s="22">
        <f>BA252*38.66</f>
        <v/>
      </c>
    </row>
    <row r="253">
      <c r="A253" s="10" t="n">
        <v>45875</v>
      </c>
      <c r="B253" s="11" t="n">
        <v>7858359162.903938</v>
      </c>
      <c r="C253" s="11" t="n"/>
      <c r="D253" s="11" t="n">
        <v>215200534</v>
      </c>
      <c r="E253" s="11" t="n"/>
      <c r="M253" s="22">
        <f>Z253/(1-R253)</f>
        <v/>
      </c>
      <c r="N253" s="11" t="n"/>
      <c r="O253" s="11" t="n">
        <v>97146</v>
      </c>
      <c r="P253" s="11" t="n"/>
      <c r="Q253" s="22">
        <f>M253+N253+O253+P253</f>
        <v/>
      </c>
      <c r="R253" s="12" t="n">
        <v>0.03</v>
      </c>
      <c r="S253" s="22">
        <f>M253*R253</f>
        <v/>
      </c>
      <c r="T253" s="22">
        <f>N253*R253</f>
        <v/>
      </c>
      <c r="U253" s="22">
        <f>(O253-V253)*R253</f>
        <v/>
      </c>
      <c r="V253" s="11" t="n">
        <v>25830</v>
      </c>
      <c r="W253" s="11" t="n"/>
      <c r="X253" s="22">
        <f>S253+T253+U253+V253+W253</f>
        <v/>
      </c>
      <c r="Y253" s="11" t="n"/>
      <c r="Z253" s="22">
        <f>AE253-AB253-AA253-AC253</f>
        <v/>
      </c>
      <c r="AA253" s="22">
        <f>N253-T253-W253</f>
        <v/>
      </c>
      <c r="AB253" s="22">
        <f>O253-V253-U253</f>
        <v/>
      </c>
      <c r="AC253" s="22">
        <f>P253</f>
        <v/>
      </c>
      <c r="AD253" s="23">
        <f>Z253+AA253+AB253+AC253</f>
        <v/>
      </c>
      <c r="AE253" s="11" t="n">
        <v>2103705.59875</v>
      </c>
      <c r="AF253" s="24">
        <f>AD253-AE253</f>
        <v/>
      </c>
      <c r="AG253" s="13">
        <f>IF(OR(B253="",B253=0,M253=""),"",M253/B253*10000)</f>
        <v/>
      </c>
      <c r="AH253" s="13">
        <f>IF(OR(C253="",C253=0),"",N253/C253*10000)</f>
        <v/>
      </c>
      <c r="AI253" s="13">
        <f>IF(OR(D253="",D253=0),"",O253/D253*10000)</f>
        <v/>
      </c>
      <c r="AJ253" s="11" t="n">
        <v>12721.08790941294</v>
      </c>
      <c r="AK253" s="11" t="n">
        <v>19580.67</v>
      </c>
      <c r="AL253" s="22">
        <f>AE253+AJ253+AK253</f>
        <v/>
      </c>
      <c r="AM253" s="22">
        <f>AE253</f>
        <v/>
      </c>
      <c r="AN253" s="14" t="n">
        <v>55381.01</v>
      </c>
      <c r="AO253" s="15" t="n">
        <v>37.98604609684799</v>
      </c>
      <c r="AP253" s="14" t="n">
        <v>27977594.07</v>
      </c>
      <c r="AQ253" s="14" t="n">
        <v>26366.1775</v>
      </c>
      <c r="AR253" s="14" t="n">
        <v>684.0744999999999</v>
      </c>
      <c r="AS253" s="14" t="n"/>
      <c r="AT253" s="16" t="n">
        <v>429.6038252341934</v>
      </c>
      <c r="AU253" s="17" t="n">
        <v>0.0213932882</v>
      </c>
      <c r="AV253" s="14" t="n">
        <v>422277455.9252</v>
      </c>
      <c r="AW253" s="18" t="n">
        <v>60100000</v>
      </c>
      <c r="AX253" s="19" t="n">
        <v>27977594.07</v>
      </c>
      <c r="AY253" s="18" t="n">
        <v>3100000</v>
      </c>
      <c r="AZ253" s="18">
        <f>1000000000-999650034.5339</f>
        <v/>
      </c>
      <c r="BA253" s="20">
        <f>1000000000-AV253-AW253-AX253-AY253-AZ253</f>
        <v/>
      </c>
      <c r="BB253" s="21" t="n">
        <v>244.9</v>
      </c>
      <c r="BC253" s="21">
        <f>BA253/1000000-BB253</f>
        <v/>
      </c>
      <c r="BD253" s="22">
        <f>BA253*38.37</f>
        <v/>
      </c>
    </row>
    <row r="254">
      <c r="A254" s="10" t="n">
        <v>45876</v>
      </c>
      <c r="B254" s="11" t="n">
        <v>10373151278.31898</v>
      </c>
      <c r="C254" s="11" t="n"/>
      <c r="D254" s="11" t="n">
        <v>296746289</v>
      </c>
      <c r="E254" s="11" t="n"/>
      <c r="M254" s="22">
        <f>Z254/(1-R254)</f>
        <v/>
      </c>
      <c r="N254" s="11" t="n"/>
      <c r="O254" s="11" t="n">
        <v>115340</v>
      </c>
      <c r="P254" s="11" t="n"/>
      <c r="Q254" s="22">
        <f>M254+N254+O254+P254</f>
        <v/>
      </c>
      <c r="R254" s="12" t="n">
        <v>0.03</v>
      </c>
      <c r="S254" s="22">
        <f>M254*R254</f>
        <v/>
      </c>
      <c r="T254" s="22">
        <f>N254*R254</f>
        <v/>
      </c>
      <c r="U254" s="22">
        <f>(O254-V254)*R254</f>
        <v/>
      </c>
      <c r="V254" s="11" t="n">
        <v>33317</v>
      </c>
      <c r="W254" s="11" t="n"/>
      <c r="X254" s="22">
        <f>S254+T254+U254+V254+W254</f>
        <v/>
      </c>
      <c r="Y254" s="11" t="n"/>
      <c r="Z254" s="22">
        <f>AE254-AB254-AA254-AC254</f>
        <v/>
      </c>
      <c r="AA254" s="22">
        <f>N254-T254-W254</f>
        <v/>
      </c>
      <c r="AB254" s="22">
        <f>O254-V254-U254</f>
        <v/>
      </c>
      <c r="AC254" s="22">
        <f>P254</f>
        <v/>
      </c>
      <c r="AD254" s="23">
        <f>Z254+AA254+AB254+AC254</f>
        <v/>
      </c>
      <c r="AE254" s="11" t="n">
        <v>2329278.74838</v>
      </c>
      <c r="AF254" s="24">
        <f>AD254-AE254</f>
        <v/>
      </c>
      <c r="AG254" s="13">
        <f>IF(OR(B254="",B254=0,M254=""),"",M254/B254*10000)</f>
        <v/>
      </c>
      <c r="AH254" s="13">
        <f>IF(OR(C254="",C254=0),"",N254/C254*10000)</f>
        <v/>
      </c>
      <c r="AI254" s="13">
        <f>IF(OR(D254="",D254=0),"",O254/D254*10000)</f>
        <v/>
      </c>
      <c r="AJ254" s="11" t="n">
        <v>13071.87321151455</v>
      </c>
      <c r="AK254" s="11" t="n">
        <v>19034.52</v>
      </c>
      <c r="AL254" s="22">
        <f>AE254+AJ254+AK254</f>
        <v/>
      </c>
      <c r="AM254" s="22">
        <f>AE254</f>
        <v/>
      </c>
      <c r="AN254" s="14" t="n">
        <v>59747.11</v>
      </c>
      <c r="AO254" s="15" t="n">
        <v>38.98563040756282</v>
      </c>
      <c r="AP254" s="14" t="n">
        <v>28025314.57</v>
      </c>
      <c r="AQ254" s="14" t="n">
        <v>26362.4824</v>
      </c>
      <c r="AR254" s="14" t="n">
        <v>952.0636</v>
      </c>
      <c r="AS254" s="14" t="n"/>
      <c r="AT254" s="16" t="n">
        <v>429.7060412108635</v>
      </c>
      <c r="AU254" s="17" t="n">
        <v>0.021390773</v>
      </c>
      <c r="AV254" s="14" t="n">
        <v>422251093.4428</v>
      </c>
      <c r="AW254" s="18" t="n">
        <v>60100000</v>
      </c>
      <c r="AX254" s="19" t="n">
        <v>28025314.57</v>
      </c>
      <c r="AY254" s="18" t="n">
        <v>3100000</v>
      </c>
      <c r="AZ254" s="18">
        <f>1000000000-999649082.4703</f>
        <v/>
      </c>
      <c r="BA254" s="20">
        <f>1000000000-AV254-AW254-AX254-AY254-AZ254</f>
        <v/>
      </c>
      <c r="BB254" s="21" t="n">
        <v>244.9</v>
      </c>
      <c r="BC254" s="21">
        <f>BA254/1000000-BB254</f>
        <v/>
      </c>
      <c r="BD254" s="22">
        <f>BA254*38.03</f>
        <v/>
      </c>
    </row>
    <row r="255">
      <c r="A255" s="10" t="n">
        <v>45877</v>
      </c>
      <c r="B255" s="11" t="n">
        <v>11308035796.91068</v>
      </c>
      <c r="C255" s="11" t="n"/>
      <c r="D255" s="11" t="n">
        <v>263816934</v>
      </c>
      <c r="E255" s="11" t="n"/>
      <c r="M255" s="22">
        <f>Z255/(1-R255)</f>
        <v/>
      </c>
      <c r="N255" s="11" t="n"/>
      <c r="O255" s="11" t="n">
        <v>116628</v>
      </c>
      <c r="P255" s="11" t="n"/>
      <c r="Q255" s="22">
        <f>M255+N255+O255+P255</f>
        <v/>
      </c>
      <c r="R255" s="12" t="n">
        <v>0.03</v>
      </c>
      <c r="S255" s="22">
        <f>M255*R255</f>
        <v/>
      </c>
      <c r="T255" s="22">
        <f>N255*R255</f>
        <v/>
      </c>
      <c r="U255" s="22">
        <f>(O255-V255)*R255</f>
        <v/>
      </c>
      <c r="V255" s="11" t="n">
        <v>35798</v>
      </c>
      <c r="W255" s="11" t="n"/>
      <c r="X255" s="22">
        <f>S255+T255+U255+V255+W255</f>
        <v/>
      </c>
      <c r="Y255" s="11" t="n"/>
      <c r="Z255" s="22">
        <f>AE255-AB255-AA255-AC255</f>
        <v/>
      </c>
      <c r="AA255" s="22">
        <f>N255-T255-W255</f>
        <v/>
      </c>
      <c r="AB255" s="22">
        <f>O255-V255-U255</f>
        <v/>
      </c>
      <c r="AC255" s="22">
        <f>P255</f>
        <v/>
      </c>
      <c r="AD255" s="23">
        <f>Z255+AA255+AB255+AC255</f>
        <v/>
      </c>
      <c r="AE255" s="11" t="n">
        <v>3491806.81434</v>
      </c>
      <c r="AF255" s="24">
        <f>AD255-AE255</f>
        <v/>
      </c>
      <c r="AG255" s="13">
        <f>IF(OR(B255="",B255=0,M255=""),"",M255/B255*10000)</f>
        <v/>
      </c>
      <c r="AH255" s="13">
        <f>IF(OR(C255="",C255=0),"",N255/C255*10000)</f>
        <v/>
      </c>
      <c r="AI255" s="13">
        <f>IF(OR(D255="",D255=0),"",O255/D255*10000)</f>
        <v/>
      </c>
      <c r="AJ255" s="11" t="n">
        <v>11956.39401788876</v>
      </c>
      <c r="AK255" s="11" t="n">
        <v>0</v>
      </c>
      <c r="AL255" s="22">
        <f>AE255+AJ255+AK255</f>
        <v/>
      </c>
      <c r="AM255" s="22">
        <f>AE255</f>
        <v/>
      </c>
      <c r="AN255" s="14" t="n">
        <v>85296.85000000001</v>
      </c>
      <c r="AO255" s="15" t="n">
        <v>40.93711332059742</v>
      </c>
      <c r="AP255" s="14" t="n">
        <v>28111519.57</v>
      </c>
      <c r="AQ255" s="14" t="n">
        <v>26396.2943</v>
      </c>
      <c r="AR255" s="14" t="n">
        <v>1277.2851</v>
      </c>
      <c r="AS255" s="14" t="n"/>
      <c r="AT255" s="16" t="n">
        <v>429.8853867847909</v>
      </c>
      <c r="AU255" s="17" t="n">
        <v>0.0213863678</v>
      </c>
      <c r="AV255" s="14" t="n">
        <v>422224697.1485</v>
      </c>
      <c r="AW255" s="18" t="n">
        <v>60100000</v>
      </c>
      <c r="AX255" s="19" t="n">
        <v>28111519.57</v>
      </c>
      <c r="AY255" s="18" t="n">
        <v>3100000</v>
      </c>
      <c r="AZ255" s="18">
        <f>1000000000-999647805.1852</f>
        <v/>
      </c>
      <c r="BA255" s="20">
        <f>1000000000-AV255-AW255-AX255-AY255-AZ255</f>
        <v/>
      </c>
      <c r="BB255" s="21" t="n">
        <v>244.9</v>
      </c>
      <c r="BC255" s="21">
        <f>BA255/1000000-BB255</f>
        <v/>
      </c>
      <c r="BD255" s="22">
        <f>BA255*40.86</f>
        <v/>
      </c>
    </row>
    <row r="256">
      <c r="A256" s="10" t="n">
        <v>45878</v>
      </c>
      <c r="B256" s="11" t="n">
        <v>10137348599.56834</v>
      </c>
      <c r="C256" s="11" t="n"/>
      <c r="D256" s="11" t="n">
        <v>340639673</v>
      </c>
      <c r="E256" s="11" t="n"/>
      <c r="M256" s="22">
        <f>Z256/(1-R256)</f>
        <v/>
      </c>
      <c r="N256" s="11" t="n"/>
      <c r="O256" s="11" t="n">
        <v>148257</v>
      </c>
      <c r="P256" s="11" t="n"/>
      <c r="Q256" s="22">
        <f>M256+N256+O256+P256</f>
        <v/>
      </c>
      <c r="R256" s="12" t="n">
        <v>0.03</v>
      </c>
      <c r="S256" s="22">
        <f>M256*R256</f>
        <v/>
      </c>
      <c r="T256" s="22">
        <f>N256*R256</f>
        <v/>
      </c>
      <c r="U256" s="22">
        <f>(O256-V256)*R256</f>
        <v/>
      </c>
      <c r="V256" s="11" t="n">
        <v>44635</v>
      </c>
      <c r="W256" s="11" t="n"/>
      <c r="X256" s="22">
        <f>S256+T256+U256+V256+W256</f>
        <v/>
      </c>
      <c r="Y256" s="11" t="n"/>
      <c r="Z256" s="22">
        <f>AE256-AB256-AA256-AC256</f>
        <v/>
      </c>
      <c r="AA256" s="22">
        <f>N256-T256-W256</f>
        <v/>
      </c>
      <c r="AB256" s="22">
        <f>O256-V256-U256</f>
        <v/>
      </c>
      <c r="AC256" s="22">
        <f>P256</f>
        <v/>
      </c>
      <c r="AD256" s="23">
        <f>Z256+AA256+AB256+AC256</f>
        <v/>
      </c>
      <c r="AE256" s="11" t="n">
        <v>2854886.42061</v>
      </c>
      <c r="AF256" s="24">
        <f>AD256-AE256</f>
        <v/>
      </c>
      <c r="AG256" s="13">
        <f>IF(OR(B256="",B256=0,M256=""),"",M256/B256*10000)</f>
        <v/>
      </c>
      <c r="AH256" s="13">
        <f>IF(OR(C256="",C256=0),"",N256/C256*10000)</f>
        <v/>
      </c>
      <c r="AI256" s="13">
        <f>IF(OR(D256="",D256=0),"",O256/D256*10000)</f>
        <v/>
      </c>
      <c r="AJ256" s="11" t="n">
        <v>14264.23914080895</v>
      </c>
      <c r="AK256" s="11" t="n">
        <v>24963.92</v>
      </c>
      <c r="AL256" s="22">
        <f>AE256+AJ256+AK256</f>
        <v/>
      </c>
      <c r="AM256" s="22">
        <f>AE256</f>
        <v/>
      </c>
      <c r="AN256" s="14" t="n">
        <v>66407.03</v>
      </c>
      <c r="AO256" s="15" t="n">
        <v>42.99072584047201</v>
      </c>
      <c r="AP256" s="14" t="n">
        <v>28221636.38</v>
      </c>
      <c r="AQ256" s="14" t="n">
        <v>26363.757</v>
      </c>
      <c r="AR256" s="14" t="n">
        <v>584.8424</v>
      </c>
      <c r="AS256" s="14" t="n"/>
      <c r="AT256" s="16" t="n">
        <v>431.1324369625422</v>
      </c>
      <c r="AU256" s="17" t="n">
        <v>0.021355773</v>
      </c>
      <c r="AV256" s="14" t="n">
        <v>422198333.3915</v>
      </c>
      <c r="AW256" s="18" t="n">
        <v>60100000</v>
      </c>
      <c r="AX256" s="19" t="n">
        <v>28221636.38</v>
      </c>
      <c r="AY256" s="18" t="n">
        <v>3100000</v>
      </c>
      <c r="AZ256" s="18">
        <f>1000000000-999647220.3428</f>
        <v/>
      </c>
      <c r="BA256" s="20">
        <f>1000000000-AV256-AW256-AX256-AY256-AZ256</f>
        <v/>
      </c>
      <c r="BB256" s="21" t="n">
        <v>244.9</v>
      </c>
      <c r="BC256" s="21">
        <f>BA256/1000000-BB256</f>
        <v/>
      </c>
      <c r="BD256" s="22">
        <f>BA256*40.94</f>
        <v/>
      </c>
    </row>
    <row r="257">
      <c r="A257" s="10" t="n">
        <v>45879</v>
      </c>
      <c r="B257" s="11" t="n">
        <v>9805998920.343033</v>
      </c>
      <c r="C257" s="11" t="n"/>
      <c r="D257" s="11" t="n">
        <v>243820189</v>
      </c>
      <c r="E257" s="11" t="n"/>
      <c r="M257" s="22">
        <f>Z257/(1-R257)</f>
        <v/>
      </c>
      <c r="N257" s="11" t="n"/>
      <c r="O257" s="11" t="n">
        <v>121824</v>
      </c>
      <c r="P257" s="11" t="n"/>
      <c r="Q257" s="22">
        <f>M257+N257+O257+P257</f>
        <v/>
      </c>
      <c r="R257" s="12" t="n">
        <v>0.03</v>
      </c>
      <c r="S257" s="22">
        <f>M257*R257</f>
        <v/>
      </c>
      <c r="T257" s="22">
        <f>N257*R257</f>
        <v/>
      </c>
      <c r="U257" s="22">
        <f>(O257-V257)*R257</f>
        <v/>
      </c>
      <c r="V257" s="11" t="n">
        <v>34707</v>
      </c>
      <c r="W257" s="11" t="n"/>
      <c r="X257" s="22">
        <f>S257+T257+U257+V257+W257</f>
        <v/>
      </c>
      <c r="Y257" s="11" t="n"/>
      <c r="Z257" s="22">
        <f>AE257-AB257-AA257-AC257</f>
        <v/>
      </c>
      <c r="AA257" s="22">
        <f>N257-T257-W257</f>
        <v/>
      </c>
      <c r="AB257" s="22">
        <f>O257-V257-U257</f>
        <v/>
      </c>
      <c r="AC257" s="22">
        <f>P257</f>
        <v/>
      </c>
      <c r="AD257" s="23">
        <f>Z257+AA257+AB257+AC257</f>
        <v/>
      </c>
      <c r="AE257" s="11" t="n">
        <v>2616564.70131</v>
      </c>
      <c r="AF257" s="24">
        <f>AD257-AE257</f>
        <v/>
      </c>
      <c r="AG257" s="13">
        <f>IF(OR(B257="",B257=0,M257=""),"",M257/B257*10000)</f>
        <v/>
      </c>
      <c r="AH257" s="13">
        <f>IF(OR(C257="",C257=0),"",N257/C257*10000)</f>
        <v/>
      </c>
      <c r="AI257" s="13">
        <f>IF(OR(D257="",D257=0),"",O257/D257*10000)</f>
        <v/>
      </c>
      <c r="AJ257" s="11" t="n">
        <v>8521.677875704803</v>
      </c>
      <c r="AK257" s="11" t="n">
        <v>0</v>
      </c>
      <c r="AL257" s="22">
        <f>AE257+AJ257+AK257</f>
        <v/>
      </c>
      <c r="AM257" s="22">
        <f>AE257</f>
        <v/>
      </c>
      <c r="AN257" s="14" t="n">
        <v>59071.34</v>
      </c>
      <c r="AO257" s="15" t="n">
        <v>44.2949948538496</v>
      </c>
      <c r="AP257" s="14" t="n">
        <v>28288043.41</v>
      </c>
      <c r="AQ257" s="14" t="n">
        <v>26141.3602</v>
      </c>
      <c r="AR257" s="14" t="n">
        <v>1317.9291</v>
      </c>
      <c r="AS257" s="14" t="n"/>
      <c r="AT257" s="16" t="n">
        <v>431.5968139322616</v>
      </c>
      <c r="AU257" s="17" t="n">
        <v>0.0212723059</v>
      </c>
      <c r="AV257" s="14" t="n">
        <v>422172192.0313</v>
      </c>
      <c r="AW257" s="18" t="n">
        <v>60100000</v>
      </c>
      <c r="AX257" s="19" t="n">
        <v>28288043.41</v>
      </c>
      <c r="AY257" s="18" t="n">
        <v>3100000</v>
      </c>
      <c r="AZ257" s="18">
        <f>1000000000-999645902.4138</f>
        <v/>
      </c>
      <c r="BA257" s="20">
        <f>1000000000-AV257-AW257-AX257-AY257-AZ257</f>
        <v/>
      </c>
      <c r="BB257" s="21" t="n">
        <v>244.9</v>
      </c>
      <c r="BC257" s="21">
        <f>BA257/1000000-BB257</f>
        <v/>
      </c>
      <c r="BD257" s="22">
        <f>BA257*43.81</f>
        <v/>
      </c>
    </row>
    <row r="258">
      <c r="A258" s="10" t="n">
        <v>45880</v>
      </c>
      <c r="B258" s="11" t="n">
        <v>16607625784.39066</v>
      </c>
      <c r="C258" s="11" t="n"/>
      <c r="D258" s="11" t="n">
        <v>424455183</v>
      </c>
      <c r="E258" s="11" t="n"/>
      <c r="M258" s="22">
        <f>Z258/(1-R258)</f>
        <v/>
      </c>
      <c r="N258" s="11" t="n"/>
      <c r="O258" s="11" t="n">
        <v>199959</v>
      </c>
      <c r="P258" s="11" t="n"/>
      <c r="Q258" s="22">
        <f>M258+N258+O258+P258</f>
        <v/>
      </c>
      <c r="R258" s="12" t="n">
        <v>0.03</v>
      </c>
      <c r="S258" s="22">
        <f>M258*R258</f>
        <v/>
      </c>
      <c r="T258" s="22">
        <f>N258*R258</f>
        <v/>
      </c>
      <c r="U258" s="22">
        <f>(O258-V258)*R258</f>
        <v/>
      </c>
      <c r="V258" s="11" t="n">
        <v>51925</v>
      </c>
      <c r="W258" s="11" t="n"/>
      <c r="X258" s="22">
        <f>S258+T258+U258+V258+W258</f>
        <v/>
      </c>
      <c r="Y258" s="11" t="n"/>
      <c r="Z258" s="22">
        <f>AE258-AB258-AA258-AC258</f>
        <v/>
      </c>
      <c r="AA258" s="22">
        <f>N258-T258-W258</f>
        <v/>
      </c>
      <c r="AB258" s="22">
        <f>O258-V258-U258</f>
        <v/>
      </c>
      <c r="AC258" s="22">
        <f>P258</f>
        <v/>
      </c>
      <c r="AD258" s="23">
        <f>Z258+AA258+AB258+AC258</f>
        <v/>
      </c>
      <c r="AE258" s="11" t="n">
        <v>4537056.47795</v>
      </c>
      <c r="AF258" s="24">
        <f>AD258-AE258</f>
        <v/>
      </c>
      <c r="AG258" s="13">
        <f>IF(OR(B258="",B258=0,M258=""),"",M258/B258*10000)</f>
        <v/>
      </c>
      <c r="AH258" s="13">
        <f>IF(OR(C258="",C258=0),"",N258/C258*10000)</f>
        <v/>
      </c>
      <c r="AI258" s="13">
        <f>IF(OR(D258="",D258=0),"",O258/D258*10000)</f>
        <v/>
      </c>
      <c r="AJ258" s="11" t="n">
        <v>23994.24089334988</v>
      </c>
      <c r="AK258" s="11" t="n">
        <v>23212.42</v>
      </c>
      <c r="AL258" s="22">
        <f>AE258+AJ258+AK258</f>
        <v/>
      </c>
      <c r="AM258" s="22">
        <f>AE258</f>
        <v/>
      </c>
      <c r="AN258" s="14" t="n">
        <v>101216.76</v>
      </c>
      <c r="AO258" s="15" t="n">
        <v>44.82515028094162</v>
      </c>
      <c r="AP258" s="14" t="n">
        <v>28388988.26</v>
      </c>
      <c r="AQ258" s="14" t="n">
        <v>26376.4255</v>
      </c>
      <c r="AR258" s="14" t="n">
        <v>416.7786</v>
      </c>
      <c r="AS258" s="14" t="n"/>
      <c r="AT258" s="16" t="n">
        <v>431.4723717829889</v>
      </c>
      <c r="AU258" s="17" t="n">
        <v>0.0212753378</v>
      </c>
      <c r="AV258" s="14" t="n">
        <v>422145815.6058</v>
      </c>
      <c r="AW258" s="18" t="n">
        <v>60100000</v>
      </c>
      <c r="AX258" s="19" t="n">
        <v>28388988.26</v>
      </c>
      <c r="AY258" s="18" t="n">
        <v>3100000</v>
      </c>
      <c r="AZ258" s="18">
        <f>1000000000-999645485.6352</f>
        <v/>
      </c>
      <c r="BA258" s="20">
        <f>1000000000-AV258-AW258-AX258-AY258-AZ258</f>
        <v/>
      </c>
      <c r="BB258" s="21" t="n">
        <v>244.9</v>
      </c>
      <c r="BC258" s="21">
        <f>BA258/1000000-BB258</f>
        <v/>
      </c>
      <c r="BD258" s="22">
        <f>BA258*45.22</f>
        <v/>
      </c>
    </row>
    <row r="259">
      <c r="A259" s="10" t="n">
        <v>45881</v>
      </c>
      <c r="B259" s="11" t="n">
        <v>16065474194.3346</v>
      </c>
      <c r="C259" s="11" t="n"/>
      <c r="D259" s="11" t="n">
        <v>460996255</v>
      </c>
      <c r="E259" s="11" t="n"/>
      <c r="M259" s="22">
        <f>Z259/(1-R259)</f>
        <v/>
      </c>
      <c r="N259" s="11" t="n"/>
      <c r="O259" s="11" t="n">
        <v>233886</v>
      </c>
      <c r="P259" s="11" t="n"/>
      <c r="Q259" s="22">
        <f>M259+N259+O259+P259</f>
        <v/>
      </c>
      <c r="R259" s="12" t="n">
        <v>0.03</v>
      </c>
      <c r="S259" s="22">
        <f>M259*R259</f>
        <v/>
      </c>
      <c r="T259" s="22">
        <f>N259*R259</f>
        <v/>
      </c>
      <c r="U259" s="22">
        <f>(O259-V259)*R259</f>
        <v/>
      </c>
      <c r="V259" s="11" t="n">
        <v>63563</v>
      </c>
      <c r="W259" s="11" t="n"/>
      <c r="X259" s="22">
        <f>S259+T259+U259+V259+W259</f>
        <v/>
      </c>
      <c r="Y259" s="11" t="n"/>
      <c r="Z259" s="22">
        <f>AE259-AB259-AA259-AC259</f>
        <v/>
      </c>
      <c r="AA259" s="22">
        <f>N259-T259-W259</f>
        <v/>
      </c>
      <c r="AB259" s="22">
        <f>O259-V259-U259</f>
        <v/>
      </c>
      <c r="AC259" s="22">
        <f>P259</f>
        <v/>
      </c>
      <c r="AD259" s="23">
        <f>Z259+AA259+AB259+AC259</f>
        <v/>
      </c>
      <c r="AE259" s="11" t="n">
        <v>4441446.21351</v>
      </c>
      <c r="AF259" s="24">
        <f>AD259-AE259</f>
        <v/>
      </c>
      <c r="AG259" s="13">
        <f>IF(OR(B259="",B259=0,M259=""),"",M259/B259*10000)</f>
        <v/>
      </c>
      <c r="AH259" s="13">
        <f>IF(OR(C259="",C259=0),"",N259/C259*10000)</f>
        <v/>
      </c>
      <c r="AI259" s="13">
        <f>IF(OR(D259="",D259=0),"",O259/D259*10000)</f>
        <v/>
      </c>
      <c r="AJ259" s="11" t="n">
        <v>30295.03824612783</v>
      </c>
      <c r="AK259" s="11" t="n">
        <v>22178.89</v>
      </c>
      <c r="AL259" s="22">
        <f>AE259+AJ259+AK259</f>
        <v/>
      </c>
      <c r="AM259" s="22">
        <f>AE259</f>
        <v/>
      </c>
      <c r="AN259" s="14" t="n">
        <v>100791.05</v>
      </c>
      <c r="AO259" s="15" t="n">
        <v>44.06587899927622</v>
      </c>
      <c r="AP259" s="14" t="n">
        <v>28489779.31</v>
      </c>
      <c r="AQ259" s="14" t="n">
        <v>26426.8902</v>
      </c>
      <c r="AR259" s="14" t="n">
        <v>1293.1775</v>
      </c>
      <c r="AS259" s="14" t="n"/>
      <c r="AT259" s="16" t="n">
        <v>431.9406485526941</v>
      </c>
      <c r="AU259" s="17" t="n">
        <v>0.0212639488</v>
      </c>
      <c r="AV259" s="14" t="n">
        <v>422119388.7156</v>
      </c>
      <c r="AW259" s="18" t="n">
        <v>60100000</v>
      </c>
      <c r="AX259" s="19" t="n">
        <v>28489779.31</v>
      </c>
      <c r="AY259" s="18" t="n">
        <v>3100000</v>
      </c>
      <c r="AZ259" s="18">
        <f>1000000000-999644192.4577</f>
        <v/>
      </c>
      <c r="BA259" s="20">
        <f>1000000000-AV259-AW259-AX259-AY259-AZ259</f>
        <v/>
      </c>
      <c r="BB259" s="21" t="n">
        <v>244.9</v>
      </c>
      <c r="BC259" s="21">
        <f>BA259/1000000-BB259</f>
        <v/>
      </c>
      <c r="BD259" s="22">
        <f>BA259*43.15</f>
        <v/>
      </c>
    </row>
    <row r="260">
      <c r="A260" s="10" t="n">
        <v>45882</v>
      </c>
      <c r="B260" s="11" t="n">
        <v>19919714584.66799</v>
      </c>
      <c r="C260" s="11" t="n"/>
      <c r="D260" s="11" t="n">
        <v>682784480</v>
      </c>
      <c r="E260" s="11" t="n"/>
      <c r="M260" s="22">
        <f>Z260/(1-R260)</f>
        <v/>
      </c>
      <c r="N260" s="11" t="n"/>
      <c r="O260" s="11" t="n">
        <v>335687</v>
      </c>
      <c r="P260" s="11" t="n"/>
      <c r="Q260" s="22">
        <f>M260+N260+O260+P260</f>
        <v/>
      </c>
      <c r="R260" s="12" t="n">
        <v>0.03</v>
      </c>
      <c r="S260" s="22">
        <f>M260*R260</f>
        <v/>
      </c>
      <c r="T260" s="22">
        <f>N260*R260</f>
        <v/>
      </c>
      <c r="U260" s="22">
        <f>(O260-V260)*R260</f>
        <v/>
      </c>
      <c r="V260" s="11" t="n">
        <v>72046</v>
      </c>
      <c r="W260" s="11" t="n"/>
      <c r="X260" s="22">
        <f>S260+T260+U260+V260+W260</f>
        <v/>
      </c>
      <c r="Y260" s="11" t="n"/>
      <c r="Z260" s="22">
        <f>AE260-AB260-AA260-AC260</f>
        <v/>
      </c>
      <c r="AA260" s="22">
        <f>N260-T260-W260</f>
        <v/>
      </c>
      <c r="AB260" s="22">
        <f>O260-V260-U260</f>
        <v/>
      </c>
      <c r="AC260" s="22">
        <f>P260</f>
        <v/>
      </c>
      <c r="AD260" s="23">
        <f>Z260+AA260+AB260+AC260</f>
        <v/>
      </c>
      <c r="AE260" s="11" t="n">
        <v>4994057.16026</v>
      </c>
      <c r="AF260" s="24">
        <f>AD260-AE260</f>
        <v/>
      </c>
      <c r="AG260" s="13">
        <f>IF(OR(B260="",B260=0,M260=""),"",M260/B260*10000)</f>
        <v/>
      </c>
      <c r="AH260" s="13">
        <f>IF(OR(C260="",C260=0),"",N260/C260*10000)</f>
        <v/>
      </c>
      <c r="AI260" s="13">
        <f>IF(OR(D260="",D260=0),"",O260/D260*10000)</f>
        <v/>
      </c>
      <c r="AJ260" s="11" t="n">
        <v>38220.91580512521</v>
      </c>
      <c r="AK260" s="11" t="n">
        <v>24771.33</v>
      </c>
      <c r="AL260" s="22">
        <f>AE260+AJ260+AK260</f>
        <v/>
      </c>
      <c r="AM260" s="22">
        <f>AE260</f>
        <v/>
      </c>
      <c r="AN260" s="14" t="n">
        <v>109111.69</v>
      </c>
      <c r="AO260" s="15" t="n">
        <v>45.77013847242216</v>
      </c>
      <c r="AP260" s="14" t="n">
        <v>28599162.91</v>
      </c>
      <c r="AQ260" s="14" t="n">
        <v>26337.768</v>
      </c>
      <c r="AR260" s="14" t="n">
        <v>1319.473</v>
      </c>
      <c r="AS260" s="14" t="n"/>
      <c r="AT260" s="16" t="n">
        <v>430.8786039760201</v>
      </c>
      <c r="AU260" s="17" t="n">
        <v>0.021289836</v>
      </c>
      <c r="AV260" s="14" t="n">
        <v>422093050.9476</v>
      </c>
      <c r="AW260" s="18" t="n">
        <v>60100000</v>
      </c>
      <c r="AX260" s="19" t="n">
        <v>28599162.91</v>
      </c>
      <c r="AY260" s="18" t="n">
        <v>3100000</v>
      </c>
      <c r="AZ260" s="18">
        <f>1000000000-999642872.9847</f>
        <v/>
      </c>
      <c r="BA260" s="20">
        <f>1000000000-AV260-AW260-AX260-AY260-AZ260</f>
        <v/>
      </c>
      <c r="BB260" s="21" t="n">
        <v>244.9</v>
      </c>
      <c r="BC260" s="21">
        <f>BA260/1000000-BB260</f>
        <v/>
      </c>
      <c r="BD260" s="22">
        <f>BA260*44.87</f>
        <v/>
      </c>
    </row>
    <row r="261">
      <c r="A261" s="10" t="n">
        <v>45883</v>
      </c>
      <c r="B261" s="11" t="n">
        <v>27376439345.65004</v>
      </c>
      <c r="C261" s="11" t="n"/>
      <c r="D261" s="11" t="n">
        <v>709107017</v>
      </c>
      <c r="E261" s="11" t="n"/>
      <c r="M261" s="22">
        <f>Z261/(1-R261)</f>
        <v/>
      </c>
      <c r="N261" s="11" t="n"/>
      <c r="O261" s="11" t="n">
        <v>352410</v>
      </c>
      <c r="P261" s="11" t="n"/>
      <c r="Q261" s="22">
        <f>M261+N261+O261+P261</f>
        <v/>
      </c>
      <c r="R261" s="12" t="n">
        <v>0.03</v>
      </c>
      <c r="S261" s="22">
        <f>M261*R261</f>
        <v/>
      </c>
      <c r="T261" s="22">
        <f>N261*R261</f>
        <v/>
      </c>
      <c r="U261" s="22">
        <f>(O261-V261)*R261</f>
        <v/>
      </c>
      <c r="V261" s="11" t="n">
        <v>52589</v>
      </c>
      <c r="W261" s="11" t="n"/>
      <c r="X261" s="22">
        <f>S261+T261+U261+V261+W261</f>
        <v/>
      </c>
      <c r="Y261" s="11" t="n"/>
      <c r="Z261" s="22">
        <f>AE261-AB261-AA261-AC261</f>
        <v/>
      </c>
      <c r="AA261" s="22">
        <f>N261-T261-W261</f>
        <v/>
      </c>
      <c r="AB261" s="22">
        <f>O261-V261-U261</f>
        <v/>
      </c>
      <c r="AC261" s="22">
        <f>P261</f>
        <v/>
      </c>
      <c r="AD261" s="23">
        <f>Z261+AA261+AB261+AC261</f>
        <v/>
      </c>
      <c r="AE261" s="11" t="n">
        <v>7723090.9907</v>
      </c>
      <c r="AF261" s="24">
        <f>AD261-AE261</f>
        <v/>
      </c>
      <c r="AG261" s="13">
        <f>IF(OR(B261="",B261=0,M261=""),"",M261/B261*10000)</f>
        <v/>
      </c>
      <c r="AH261" s="13">
        <f>IF(OR(C261="",C261=0),"",N261/C261*10000)</f>
        <v/>
      </c>
      <c r="AI261" s="13">
        <f>IF(OR(D261="",D261=0),"",O261/D261*10000)</f>
        <v/>
      </c>
      <c r="AJ261" s="11" t="n">
        <v>65478.19858556801</v>
      </c>
      <c r="AK261" s="11" t="n">
        <v>0</v>
      </c>
      <c r="AL261" s="22">
        <f>AE261+AJ261+AK261</f>
        <v/>
      </c>
      <c r="AM261" s="22">
        <f>AE261</f>
        <v/>
      </c>
      <c r="AN261" s="14" t="n">
        <v>167809.16</v>
      </c>
      <c r="AO261" s="15" t="n">
        <v>46.02305971080482</v>
      </c>
      <c r="AP261" s="14" t="n">
        <v>28764050.72</v>
      </c>
      <c r="AQ261" s="14" t="n">
        <v>26365.7818</v>
      </c>
      <c r="AR261" s="14" t="n">
        <v>1863.2942</v>
      </c>
      <c r="AS261" s="14" t="n"/>
      <c r="AT261" s="16" t="n">
        <v>429.6383358733253</v>
      </c>
      <c r="AU261" s="17" t="n">
        <v>0.0212778256</v>
      </c>
      <c r="AV261" s="14" t="n">
        <v>422066685.1658</v>
      </c>
      <c r="AW261" s="18" t="n">
        <v>60100000</v>
      </c>
      <c r="AX261" s="19" t="n">
        <v>28764050.72</v>
      </c>
      <c r="AY261" s="18" t="n">
        <v>3100000</v>
      </c>
      <c r="AZ261" s="18">
        <f>1000000000-999641009.6905</f>
        <v/>
      </c>
      <c r="BA261" s="20">
        <f>1000000000-AV261-AW261-AX261-AY261-AZ261</f>
        <v/>
      </c>
      <c r="BB261" s="21" t="n">
        <v>244.9</v>
      </c>
      <c r="BC261" s="21">
        <f>BA261/1000000-BB261</f>
        <v/>
      </c>
      <c r="BD261" s="22">
        <f>BA261*47.77</f>
        <v/>
      </c>
    </row>
    <row r="262">
      <c r="A262" s="10" t="n">
        <v>45884</v>
      </c>
      <c r="B262" s="11" t="n">
        <v>13585090718.69072</v>
      </c>
      <c r="C262" s="11" t="n"/>
      <c r="D262" s="11" t="n">
        <v>544810036</v>
      </c>
      <c r="E262" s="11" t="n"/>
      <c r="M262" s="22">
        <f>Z262/(1-R262)</f>
        <v/>
      </c>
      <c r="N262" s="11" t="n"/>
      <c r="O262" s="11" t="n">
        <v>277797</v>
      </c>
      <c r="P262" s="11" t="n"/>
      <c r="Q262" s="22">
        <f>M262+N262+O262+P262</f>
        <v/>
      </c>
      <c r="R262" s="12" t="n">
        <v>0.03</v>
      </c>
      <c r="S262" s="22">
        <f>M262*R262</f>
        <v/>
      </c>
      <c r="T262" s="22">
        <f>N262*R262</f>
        <v/>
      </c>
      <c r="U262" s="22">
        <f>(O262-V262)*R262</f>
        <v/>
      </c>
      <c r="V262" s="11" t="n">
        <v>37720</v>
      </c>
      <c r="W262" s="11" t="n"/>
      <c r="X262" s="22">
        <f>S262+T262+U262+V262+W262</f>
        <v/>
      </c>
      <c r="Y262" s="11" t="n"/>
      <c r="Z262" s="22">
        <f>AE262-AB262-AA262-AC262</f>
        <v/>
      </c>
      <c r="AA262" s="22">
        <f>N262-T262-W262</f>
        <v/>
      </c>
      <c r="AB262" s="22">
        <f>O262-V262-U262</f>
        <v/>
      </c>
      <c r="AC262" s="22">
        <f>P262</f>
        <v/>
      </c>
      <c r="AD262" s="23">
        <f>Z262+AA262+AB262+AC262</f>
        <v/>
      </c>
      <c r="AE262" s="11" t="n">
        <v>3656083.60376</v>
      </c>
      <c r="AF262" s="24">
        <f>AD262-AE262</f>
        <v/>
      </c>
      <c r="AG262" s="13">
        <f>IF(OR(B262="",B262=0,M262=""),"",M262/B262*10000)</f>
        <v/>
      </c>
      <c r="AH262" s="13">
        <f>IF(OR(C262="",C262=0),"",N262/C262*10000)</f>
        <v/>
      </c>
      <c r="AI262" s="13">
        <f>IF(OR(D262="",D262=0),"",O262/D262*10000)</f>
        <v/>
      </c>
      <c r="AJ262" s="11" t="n">
        <v>38781.46603555472</v>
      </c>
      <c r="AK262" s="11" t="n">
        <v>28086.06</v>
      </c>
      <c r="AL262" s="22">
        <f>AE262+AJ262+AK262</f>
        <v/>
      </c>
      <c r="AM262" s="22">
        <f>AE262</f>
        <v/>
      </c>
      <c r="AN262" s="14" t="n">
        <v>77150.31</v>
      </c>
      <c r="AO262" s="15" t="n">
        <v>47.38909803162165</v>
      </c>
      <c r="AP262" s="14" t="n">
        <v>28843895.32</v>
      </c>
      <c r="AQ262" s="14" t="n">
        <v>26256.5939</v>
      </c>
      <c r="AR262" s="14" t="n">
        <v>1373.4081</v>
      </c>
      <c r="AS262" s="14" t="n"/>
      <c r="AT262" s="16" t="n">
        <v>429.6178480627805</v>
      </c>
      <c r="AU262" s="17" t="n">
        <v>0.0212813175</v>
      </c>
      <c r="AV262" s="14" t="n">
        <v>422040428.5719</v>
      </c>
      <c r="AW262" s="18" t="n">
        <v>60100000</v>
      </c>
      <c r="AX262" s="19" t="n">
        <v>28843895.32</v>
      </c>
      <c r="AY262" s="18" t="n">
        <v>3100000</v>
      </c>
      <c r="AZ262" s="18">
        <f>1000000000-999639636.2825</f>
        <v/>
      </c>
      <c r="BA262" s="20">
        <f>1000000000-AV262-AW262-AX262-AY262-AZ262</f>
        <v/>
      </c>
      <c r="BB262" s="21" t="n">
        <v>244.9</v>
      </c>
      <c r="BC262" s="21">
        <f>BA262/1000000-BB262</f>
        <v/>
      </c>
      <c r="BD262" s="22">
        <f>BA262*46</f>
        <v/>
      </c>
    </row>
    <row r="263">
      <c r="A263" s="10" t="n">
        <v>45885</v>
      </c>
      <c r="B263" s="11" t="n">
        <v>4928430305.297351</v>
      </c>
      <c r="C263" s="11" t="n"/>
      <c r="D263" s="11" t="n">
        <v>193367292</v>
      </c>
      <c r="E263" s="11" t="n"/>
      <c r="M263" s="22">
        <f>Z263/(1-R263)</f>
        <v/>
      </c>
      <c r="N263" s="11" t="n"/>
      <c r="O263" s="11" t="n">
        <v>119204</v>
      </c>
      <c r="P263" s="11" t="n"/>
      <c r="Q263" s="22">
        <f>M263+N263+O263+P263</f>
        <v/>
      </c>
      <c r="R263" s="12" t="n">
        <v>0.03</v>
      </c>
      <c r="S263" s="22">
        <f>M263*R263</f>
        <v/>
      </c>
      <c r="T263" s="22">
        <f>N263*R263</f>
        <v/>
      </c>
      <c r="U263" s="22">
        <f>(O263-V263)*R263</f>
        <v/>
      </c>
      <c r="V263" s="11" t="n">
        <v>30890</v>
      </c>
      <c r="W263" s="11" t="n"/>
      <c r="X263" s="22">
        <f>S263+T263+U263+V263+W263</f>
        <v/>
      </c>
      <c r="Y263" s="11" t="n"/>
      <c r="Z263" s="22">
        <f>AE263-AB263-AA263-AC263</f>
        <v/>
      </c>
      <c r="AA263" s="22">
        <f>N263-T263-W263</f>
        <v/>
      </c>
      <c r="AB263" s="22">
        <f>O263-V263-U263</f>
        <v/>
      </c>
      <c r="AC263" s="22">
        <f>P263</f>
        <v/>
      </c>
      <c r="AD263" s="23">
        <f>Z263+AA263+AB263+AC263</f>
        <v/>
      </c>
      <c r="AE263" s="11" t="n">
        <v>1365202.03208</v>
      </c>
      <c r="AF263" s="24">
        <f>AD263-AE263</f>
        <v/>
      </c>
      <c r="AG263" s="13">
        <f>IF(OR(B263="",B263=0,M263=""),"",M263/B263*10000)</f>
        <v/>
      </c>
      <c r="AH263" s="13">
        <f>IF(OR(C263="",C263=0),"",N263/C263*10000)</f>
        <v/>
      </c>
      <c r="AI263" s="13">
        <f>IF(OR(D263="",D263=0),"",O263/D263*10000)</f>
        <v/>
      </c>
      <c r="AJ263" s="11" t="n">
        <v>7912.454579992194</v>
      </c>
      <c r="AK263" s="11" t="n">
        <v>29711.18</v>
      </c>
      <c r="AL263" s="22">
        <f>AE263+AJ263+AK263</f>
        <v/>
      </c>
      <c r="AM263" s="22">
        <f>AE263</f>
        <v/>
      </c>
      <c r="AN263" s="14" t="n">
        <v>28971.85</v>
      </c>
      <c r="AO263" s="15" t="n">
        <v>47.121672660876</v>
      </c>
      <c r="AP263" s="14" t="n">
        <v>28873094.23</v>
      </c>
      <c r="AQ263" s="14" t="n">
        <v>26182.6599</v>
      </c>
      <c r="AR263" s="14" t="n">
        <v>1709.1627</v>
      </c>
      <c r="AS263" s="14" t="n"/>
      <c r="AT263" s="16" t="n">
        <v>429.8573092244902</v>
      </c>
      <c r="AU263" s="17" t="n">
        <v>0.0212754576</v>
      </c>
      <c r="AV263" s="14" t="n">
        <v>422014245.912</v>
      </c>
      <c r="AW263" s="18" t="n">
        <v>60100000</v>
      </c>
      <c r="AX263" s="19" t="n">
        <v>28873094.23</v>
      </c>
      <c r="AY263" s="18" t="n">
        <v>3100000</v>
      </c>
      <c r="AZ263" s="18">
        <f>1000000000-999637927.1197</f>
        <v/>
      </c>
      <c r="BA263" s="20">
        <f>1000000000-AV263-AW263-AX263-AY263-AZ263</f>
        <v/>
      </c>
      <c r="BB263" s="21" t="n">
        <v>244.9</v>
      </c>
      <c r="BC263" s="21">
        <f>BA263/1000000-BB263</f>
        <v/>
      </c>
      <c r="BD263" s="22">
        <f>BA263*48.24</f>
        <v/>
      </c>
    </row>
    <row r="264">
      <c r="A264" s="10" t="n">
        <v>45886</v>
      </c>
      <c r="B264" s="11" t="n">
        <v>6272412052.739481</v>
      </c>
      <c r="C264" s="11" t="n"/>
      <c r="D264" s="11" t="n">
        <v>254042366</v>
      </c>
      <c r="E264" s="11" t="n"/>
      <c r="M264" s="22">
        <f>Z264/(1-R264)</f>
        <v/>
      </c>
      <c r="N264" s="11" t="n"/>
      <c r="O264" s="11" t="n">
        <v>109997</v>
      </c>
      <c r="P264" s="11" t="n"/>
      <c r="Q264" s="22">
        <f>M264+N264+O264+P264</f>
        <v/>
      </c>
      <c r="R264" s="12" t="n">
        <v>0.03</v>
      </c>
      <c r="S264" s="22">
        <f>M264*R264</f>
        <v/>
      </c>
      <c r="T264" s="22">
        <f>N264*R264</f>
        <v/>
      </c>
      <c r="U264" s="22">
        <f>(O264-V264)*R264</f>
        <v/>
      </c>
      <c r="V264" s="11" t="n">
        <v>32515</v>
      </c>
      <c r="W264" s="11" t="n"/>
      <c r="X264" s="22">
        <f>S264+T264+U264+V264+W264</f>
        <v/>
      </c>
      <c r="Y264" s="11" t="n"/>
      <c r="Z264" s="22">
        <f>AE264-AB264-AA264-AC264</f>
        <v/>
      </c>
      <c r="AA264" s="22">
        <f>N264-T264-W264</f>
        <v/>
      </c>
      <c r="AB264" s="22">
        <f>O264-V264-U264</f>
        <v/>
      </c>
      <c r="AC264" s="22">
        <f>P264</f>
        <v/>
      </c>
      <c r="AD264" s="23">
        <f>Z264+AA264+AB264+AC264</f>
        <v/>
      </c>
      <c r="AE264" s="11" t="n">
        <v>1699981.19394</v>
      </c>
      <c r="AF264" s="24">
        <f>AD264-AE264</f>
        <v/>
      </c>
      <c r="AG264" s="13">
        <f>IF(OR(B264="",B264=0,M264=""),"",M264/B264*10000)</f>
        <v/>
      </c>
      <c r="AH264" s="13">
        <f>IF(OR(C264="",C264=0),"",N264/C264*10000)</f>
        <v/>
      </c>
      <c r="AI264" s="13">
        <f>IF(OR(D264="",D264=0),"",O264/D264*10000)</f>
        <v/>
      </c>
      <c r="AJ264" s="11" t="n">
        <v>7181.022759360755</v>
      </c>
      <c r="AK264" s="11" t="n">
        <v>0</v>
      </c>
      <c r="AL264" s="22">
        <f>AE264+AJ264+AK264</f>
        <v/>
      </c>
      <c r="AM264" s="22">
        <f>AE264</f>
        <v/>
      </c>
      <c r="AN264" s="14" t="n">
        <v>36315.48</v>
      </c>
      <c r="AO264" s="15" t="n">
        <v>46.81147527005013</v>
      </c>
      <c r="AP264" s="14" t="n">
        <v>28909605.98</v>
      </c>
      <c r="AQ264" s="14" t="n">
        <v>26168.0725</v>
      </c>
      <c r="AR264" s="14" t="n">
        <v>924.1917999999999</v>
      </c>
      <c r="AS264" s="14" t="n"/>
      <c r="AT264" s="16" t="n">
        <v>429.6694268615651</v>
      </c>
      <c r="AU264" s="17" t="n">
        <v>0.0212800495</v>
      </c>
      <c r="AV264" s="14" t="n">
        <v>421988077.8395</v>
      </c>
      <c r="AW264" s="18" t="n">
        <v>60100000</v>
      </c>
      <c r="AX264" s="19" t="n">
        <v>28909605.98</v>
      </c>
      <c r="AY264" s="18" t="n">
        <v>3100000</v>
      </c>
      <c r="AZ264" s="18">
        <f>1000000000-999637002.9279</f>
        <v/>
      </c>
      <c r="BA264" s="20">
        <f>1000000000-AV264-AW264-AX264-AY264-AZ264</f>
        <v/>
      </c>
      <c r="BB264" s="21" t="n">
        <v>244.9</v>
      </c>
      <c r="BC264" s="21">
        <f>BA264/1000000-BB264</f>
        <v/>
      </c>
      <c r="BD264" s="22">
        <f>BA264*46.32</f>
        <v/>
      </c>
    </row>
    <row r="265">
      <c r="A265" s="10" t="n">
        <v>45887</v>
      </c>
      <c r="B265" s="11" t="n">
        <v>15278357611.70071</v>
      </c>
      <c r="C265" s="11" t="n"/>
      <c r="D265" s="11" t="n">
        <v>372316467</v>
      </c>
      <c r="E265" s="11" t="n"/>
      <c r="M265" s="22">
        <f>Z265/(1-R265)</f>
        <v/>
      </c>
      <c r="N265" s="11" t="n"/>
      <c r="O265" s="11" t="n">
        <v>152925</v>
      </c>
      <c r="P265" s="11" t="n"/>
      <c r="Q265" s="22">
        <f>M265+N265+O265+P265</f>
        <v/>
      </c>
      <c r="R265" s="12" t="n">
        <v>0.03</v>
      </c>
      <c r="S265" s="22">
        <f>M265*R265</f>
        <v/>
      </c>
      <c r="T265" s="22">
        <f>N265*R265</f>
        <v/>
      </c>
      <c r="U265" s="22">
        <f>(O265-V265)*R265</f>
        <v/>
      </c>
      <c r="V265" s="11" t="n">
        <v>32715</v>
      </c>
      <c r="W265" s="11" t="n"/>
      <c r="X265" s="22">
        <f>S265+T265+U265+V265+W265</f>
        <v/>
      </c>
      <c r="Y265" s="11" t="n"/>
      <c r="Z265" s="22">
        <f>AE265-AB265-AA265-AC265</f>
        <v/>
      </c>
      <c r="AA265" s="22">
        <f>N265-T265-W265</f>
        <v/>
      </c>
      <c r="AB265" s="22">
        <f>O265-V265-U265</f>
        <v/>
      </c>
      <c r="AC265" s="22">
        <f>P265</f>
        <v/>
      </c>
      <c r="AD265" s="23">
        <f>Z265+AA265+AB265+AC265</f>
        <v/>
      </c>
      <c r="AE265" s="11" t="n">
        <v>4068407.79645</v>
      </c>
      <c r="AF265" s="24">
        <f>AD265-AE265</f>
        <v/>
      </c>
      <c r="AG265" s="13">
        <f>IF(OR(B265="",B265=0,M265=""),"",M265/B265*10000)</f>
        <v/>
      </c>
      <c r="AH265" s="13">
        <f>IF(OR(C265="",C265=0),"",N265/C265*10000)</f>
        <v/>
      </c>
      <c r="AI265" s="13">
        <f>IF(OR(D265="",D265=0),"",O265/D265*10000)</f>
        <v/>
      </c>
      <c r="AJ265" s="11" t="n">
        <v>14146.97794252994</v>
      </c>
      <c r="AK265" s="11" t="n">
        <v>0</v>
      </c>
      <c r="AL265" s="22">
        <f>AE265+AJ265+AK265</f>
        <v/>
      </c>
      <c r="AM265" s="22">
        <f>AE265</f>
        <v/>
      </c>
      <c r="AN265" s="14" t="n">
        <v>92598.72</v>
      </c>
      <c r="AO265" s="15" t="n">
        <v>43.93589669976</v>
      </c>
      <c r="AP265" s="14" t="n">
        <v>29002008.43</v>
      </c>
      <c r="AQ265" s="14" t="n">
        <v>26239.5597</v>
      </c>
      <c r="AR265" s="14" t="n">
        <v>413.5272</v>
      </c>
      <c r="AS265" s="14" t="n"/>
      <c r="AT265" s="16" t="n">
        <v>429.7747677294525</v>
      </c>
      <c r="AU265" s="17" t="n">
        <v>0.0212540508</v>
      </c>
      <c r="AV265" s="14" t="n">
        <v>421961838.2798</v>
      </c>
      <c r="AW265" s="18" t="n">
        <v>60100000</v>
      </c>
      <c r="AX265" s="19" t="n">
        <v>29002008.43</v>
      </c>
      <c r="AY265" s="18" t="n">
        <v>3100000</v>
      </c>
      <c r="AZ265" s="18">
        <f>1000000000-999636589.4007</f>
        <v/>
      </c>
      <c r="BA265" s="20">
        <f>1000000000-AV265-AW265-AX265-AY265-AZ265</f>
        <v/>
      </c>
      <c r="BB265" s="21" t="n">
        <v>244.9</v>
      </c>
      <c r="BC265" s="21">
        <f>BA265/1000000-BB265</f>
        <v/>
      </c>
      <c r="BD265" s="22">
        <f>BA265*46.04</f>
        <v/>
      </c>
    </row>
    <row r="266">
      <c r="A266" s="10" t="n">
        <v>45888</v>
      </c>
      <c r="B266" s="11" t="n">
        <v>16655285032.81031</v>
      </c>
      <c r="C266" s="11" t="n"/>
      <c r="D266" s="11" t="n">
        <v>414235096</v>
      </c>
      <c r="E266" s="11" t="n"/>
      <c r="M266" s="22">
        <f>Z266/(1-R266)</f>
        <v/>
      </c>
      <c r="N266" s="11" t="n"/>
      <c r="O266" s="11" t="n">
        <v>160422</v>
      </c>
      <c r="P266" s="11" t="n"/>
      <c r="Q266" s="22">
        <f>M266+N266+O266+P266</f>
        <v/>
      </c>
      <c r="R266" s="12" t="n">
        <v>0.03</v>
      </c>
      <c r="S266" s="22">
        <f>M266*R266</f>
        <v/>
      </c>
      <c r="T266" s="22">
        <f>N266*R266</f>
        <v/>
      </c>
      <c r="U266" s="22">
        <f>(O266-V266)*R266</f>
        <v/>
      </c>
      <c r="V266" s="11" t="n">
        <v>32035</v>
      </c>
      <c r="W266" s="11" t="n"/>
      <c r="X266" s="22">
        <f>S266+T266+U266+V266+W266</f>
        <v/>
      </c>
      <c r="Y266" s="11" t="n"/>
      <c r="Z266" s="22">
        <f>AE266-AB266-AA266-AC266</f>
        <v/>
      </c>
      <c r="AA266" s="22">
        <f>N266-T266-W266</f>
        <v/>
      </c>
      <c r="AB266" s="22">
        <f>O266-V266-U266</f>
        <v/>
      </c>
      <c r="AC266" s="22">
        <f>P266</f>
        <v/>
      </c>
      <c r="AD266" s="23">
        <f>Z266+AA266+AB266+AC266</f>
        <v/>
      </c>
      <c r="AE266" s="11" t="n">
        <v>4196894.61651</v>
      </c>
      <c r="AF266" s="24">
        <f>AD266-AE266</f>
        <v/>
      </c>
      <c r="AG266" s="13">
        <f>IF(OR(B266="",B266=0,M266=""),"",M266/B266*10000)</f>
        <v/>
      </c>
      <c r="AH266" s="13">
        <f>IF(OR(C266="",C266=0),"",N266/C266*10000)</f>
        <v/>
      </c>
      <c r="AI266" s="13">
        <f>IF(OR(D266="",D266=0),"",O266/D266*10000)</f>
        <v/>
      </c>
      <c r="AJ266" s="11" t="n">
        <v>21535.53296781836</v>
      </c>
      <c r="AK266" s="11" t="n">
        <v>21581.17</v>
      </c>
      <c r="AL266" s="22">
        <f>AE266+AJ266+AK266</f>
        <v/>
      </c>
      <c r="AM266" s="22">
        <f>AE266</f>
        <v/>
      </c>
      <c r="AN266" s="14" t="n">
        <v>98671.67</v>
      </c>
      <c r="AO266" s="15" t="n">
        <v>42.53393721328524</v>
      </c>
      <c r="AP266" s="14" t="n">
        <v>29100680.1</v>
      </c>
      <c r="AQ266" s="14" t="n">
        <v>26295.1059</v>
      </c>
      <c r="AR266" s="14" t="n">
        <v>731.1435</v>
      </c>
      <c r="AS266" s="14" t="n"/>
      <c r="AT266" s="16" t="n">
        <v>430.2410143941494</v>
      </c>
      <c r="AU266" s="17" t="n">
        <v>0.0212860933</v>
      </c>
      <c r="AV266" s="14" t="n">
        <v>421935543.1739</v>
      </c>
      <c r="AW266" s="18" t="n">
        <v>60100000</v>
      </c>
      <c r="AX266" s="19" t="n">
        <v>29100680.1</v>
      </c>
      <c r="AY266" s="18" t="n">
        <v>3100000</v>
      </c>
      <c r="AZ266" s="18">
        <f>1000000000-999635858.2573</f>
        <v/>
      </c>
      <c r="BA266" s="20">
        <f>1000000000-AV266-AW266-AX266-AY266-AZ266</f>
        <v/>
      </c>
      <c r="BB266" s="21" t="n">
        <v>244.9</v>
      </c>
      <c r="BC266" s="21">
        <f>BA266/1000000-BB266</f>
        <v/>
      </c>
      <c r="BD266" s="22">
        <f>BA266*43.21</f>
        <v/>
      </c>
    </row>
    <row r="267">
      <c r="A267" s="10" t="n">
        <v>45889</v>
      </c>
      <c r="B267" s="11" t="n">
        <v>15135209638.42719</v>
      </c>
      <c r="C267" s="11" t="n"/>
      <c r="D267" s="11" t="n">
        <v>539453994</v>
      </c>
      <c r="E267" s="11" t="n"/>
      <c r="M267" s="22">
        <f>Z267/(1-R267)</f>
        <v/>
      </c>
      <c r="N267" s="11" t="n"/>
      <c r="O267" s="11" t="n">
        <v>230987</v>
      </c>
      <c r="P267" s="11" t="n"/>
      <c r="Q267" s="22">
        <f>M267+N267+O267+P267</f>
        <v/>
      </c>
      <c r="R267" s="12" t="n">
        <v>0.03</v>
      </c>
      <c r="S267" s="22">
        <f>M267*R267</f>
        <v/>
      </c>
      <c r="T267" s="22">
        <f>N267*R267</f>
        <v/>
      </c>
      <c r="U267" s="22">
        <f>(O267-V267)*R267</f>
        <v/>
      </c>
      <c r="V267" s="11" t="n">
        <v>65498</v>
      </c>
      <c r="W267" s="11" t="n"/>
      <c r="X267" s="22">
        <f>S267+T267+U267+V267+W267</f>
        <v/>
      </c>
      <c r="Y267" s="11" t="n"/>
      <c r="Z267" s="22">
        <f>AE267-AB267-AA267-AC267</f>
        <v/>
      </c>
      <c r="AA267" s="22">
        <f>N267-T267-W267</f>
        <v/>
      </c>
      <c r="AB267" s="22">
        <f>O267-V267-U267</f>
        <v/>
      </c>
      <c r="AC267" s="22">
        <f>P267</f>
        <v/>
      </c>
      <c r="AD267" s="23">
        <f>Z267+AA267+AB267+AC267</f>
        <v/>
      </c>
      <c r="AE267" s="11" t="n">
        <v>3873066.94455</v>
      </c>
      <c r="AF267" s="24">
        <f>AD267-AE267</f>
        <v/>
      </c>
      <c r="AG267" s="13">
        <f>IF(OR(B267="",B267=0,M267=""),"",M267/B267*10000)</f>
        <v/>
      </c>
      <c r="AH267" s="13">
        <f>IF(OR(C267="",C267=0),"",N267/C267*10000)</f>
        <v/>
      </c>
      <c r="AI267" s="13">
        <f>IF(OR(D267="",D267=0),"",O267/D267*10000)</f>
        <v/>
      </c>
      <c r="AJ267" s="11" t="n">
        <v>19695.56386351545</v>
      </c>
      <c r="AK267" s="11" t="n">
        <v>35823.48</v>
      </c>
      <c r="AL267" s="22">
        <f>AE267+AJ267+AK267</f>
        <v/>
      </c>
      <c r="AM267" s="22">
        <f>AE267</f>
        <v/>
      </c>
      <c r="AN267" s="14" t="n">
        <v>92180.89</v>
      </c>
      <c r="AO267" s="15" t="n">
        <v>42.01594218226793</v>
      </c>
      <c r="AP267" s="14" t="n">
        <v>29193133.72</v>
      </c>
      <c r="AQ267" s="14" t="n">
        <v>26302.267</v>
      </c>
      <c r="AR267" s="14" t="n">
        <v>1238.6553</v>
      </c>
      <c r="AS267" s="14" t="n"/>
      <c r="AT267" s="16" t="n">
        <v>429.6872904106175</v>
      </c>
      <c r="AU267" s="17" t="n">
        <v>0.0212996455</v>
      </c>
      <c r="AV267" s="14" t="n">
        <v>421909240.9069</v>
      </c>
      <c r="AW267" s="18" t="n">
        <v>60100000</v>
      </c>
      <c r="AX267" s="19" t="n">
        <v>29193133.72</v>
      </c>
      <c r="AY267" s="18" t="n">
        <v>3100000</v>
      </c>
      <c r="AZ267" s="18">
        <f>1000000000-999634619.602</f>
        <v/>
      </c>
      <c r="BA267" s="20">
        <f>1000000000-AV267-AW267-AX267-AY267-AZ267</f>
        <v/>
      </c>
      <c r="BB267" s="21" t="n">
        <v>244.9</v>
      </c>
      <c r="BC267" s="21">
        <f>BA267/1000000-BB267</f>
        <v/>
      </c>
      <c r="BD267" s="22">
        <f>BA267*41.52</f>
        <v/>
      </c>
    </row>
    <row r="268">
      <c r="A268" s="10" t="n">
        <v>45890</v>
      </c>
      <c r="B268" s="11" t="n">
        <v>11826851575.68992</v>
      </c>
      <c r="C268" s="11" t="n"/>
      <c r="D268" s="11" t="n">
        <v>912310204</v>
      </c>
      <c r="E268" s="11" t="n"/>
      <c r="M268" s="22">
        <f>Z268/(1-R268)</f>
        <v/>
      </c>
      <c r="N268" s="11" t="n"/>
      <c r="O268" s="11" t="n">
        <v>351557</v>
      </c>
      <c r="P268" s="11" t="n"/>
      <c r="Q268" s="22">
        <f>M268+N268+O268+P268</f>
        <v/>
      </c>
      <c r="R268" s="12" t="n">
        <v>0.03</v>
      </c>
      <c r="S268" s="22">
        <f>M268*R268</f>
        <v/>
      </c>
      <c r="T268" s="22">
        <f>N268*R268</f>
        <v/>
      </c>
      <c r="U268" s="22">
        <f>(O268-V268)*R268</f>
        <v/>
      </c>
      <c r="V268" s="11" t="n">
        <v>132680</v>
      </c>
      <c r="W268" s="11" t="n"/>
      <c r="X268" s="22">
        <f>S268+T268+U268+V268+W268</f>
        <v/>
      </c>
      <c r="Y268" s="11" t="n"/>
      <c r="Z268" s="22">
        <f>AE268-AB268-AA268-AC268</f>
        <v/>
      </c>
      <c r="AA268" s="22">
        <f>N268-T268-W268</f>
        <v/>
      </c>
      <c r="AB268" s="22">
        <f>O268-V268-U268</f>
        <v/>
      </c>
      <c r="AC268" s="22">
        <f>P268</f>
        <v/>
      </c>
      <c r="AD268" s="23">
        <f>Z268+AA268+AB268+AC268</f>
        <v/>
      </c>
      <c r="AE268" s="11" t="n">
        <v>3184206.25233</v>
      </c>
      <c r="AF268" s="24">
        <f>AD268-AE268</f>
        <v/>
      </c>
      <c r="AG268" s="13">
        <f>IF(OR(B268="",B268=0,M268=""),"",M268/B268*10000)</f>
        <v/>
      </c>
      <c r="AH268" s="13">
        <f>IF(OR(C268="",C268=0),"",N268/C268*10000)</f>
        <v/>
      </c>
      <c r="AI268" s="13">
        <f>IF(OR(D268="",D268=0),"",O268/D268*10000)</f>
        <v/>
      </c>
      <c r="AJ268" s="11" t="n">
        <v>10986.34043925129</v>
      </c>
      <c r="AK268" s="11" t="n">
        <v>0</v>
      </c>
      <c r="AL268" s="22">
        <f>AE268+AJ268+AK268</f>
        <v/>
      </c>
      <c r="AM268" s="22">
        <f>AE268</f>
        <v/>
      </c>
      <c r="AN268" s="14" t="n">
        <v>76866.14999999999</v>
      </c>
      <c r="AO268" s="15" t="n">
        <v>41.4253381017522</v>
      </c>
      <c r="AP268" s="14" t="n">
        <v>29269478.54</v>
      </c>
      <c r="AQ268" s="14" t="n">
        <v>26232.6918</v>
      </c>
      <c r="AR268" s="14" t="n">
        <v>2110.2162</v>
      </c>
      <c r="AS268" s="14" t="n"/>
      <c r="AT268" s="16" t="n">
        <v>429.991929635283</v>
      </c>
      <c r="AU268" s="17" t="n">
        <v>0.0212921864</v>
      </c>
      <c r="AV268" s="14" t="n">
        <v>421883008.2151</v>
      </c>
      <c r="AW268" s="18" t="n">
        <v>60100000</v>
      </c>
      <c r="AX268" s="19" t="n">
        <v>29269478.54</v>
      </c>
      <c r="AY268" s="18" t="n">
        <v>3100000</v>
      </c>
      <c r="AZ268" s="18">
        <f>1000000000-999632509.3858</f>
        <v/>
      </c>
      <c r="BA268" s="20">
        <f>1000000000-AV268-AW268-AX268-AY268-AZ268</f>
        <v/>
      </c>
      <c r="BB268" s="21" t="n">
        <v>244.9</v>
      </c>
      <c r="BC268" s="21">
        <f>BA268/1000000-BB268</f>
        <v/>
      </c>
      <c r="BD268" s="22">
        <f>BA268*43.03</f>
        <v/>
      </c>
    </row>
    <row r="269">
      <c r="A269" s="10" t="n">
        <v>45891</v>
      </c>
      <c r="B269" s="11" t="n">
        <v>21155470262.7558</v>
      </c>
      <c r="C269" s="11" t="n"/>
      <c r="D269" s="11" t="n">
        <v>1419893745</v>
      </c>
      <c r="E269" s="11" t="n"/>
      <c r="M269" s="22">
        <f>Z269/(1-R269)</f>
        <v/>
      </c>
      <c r="N269" s="11" t="n"/>
      <c r="O269" s="11" t="n">
        <v>801006</v>
      </c>
      <c r="P269" s="11" t="n"/>
      <c r="Q269" s="22">
        <f>M269+N269+O269+P269</f>
        <v/>
      </c>
      <c r="R269" s="12" t="n">
        <v>0.03</v>
      </c>
      <c r="S269" s="22">
        <f>M269*R269</f>
        <v/>
      </c>
      <c r="T269" s="22">
        <f>N269*R269</f>
        <v/>
      </c>
      <c r="U269" s="22">
        <f>(O269-V269)*R269</f>
        <v/>
      </c>
      <c r="V269" s="11" t="n">
        <v>360620</v>
      </c>
      <c r="W269" s="11" t="n"/>
      <c r="X269" s="22">
        <f>S269+T269+U269+V269+W269</f>
        <v/>
      </c>
      <c r="Y269" s="11" t="n"/>
      <c r="Z269" s="22">
        <f>AE269-AB269-AA269-AC269</f>
        <v/>
      </c>
      <c r="AA269" s="22">
        <f>N269-T269-W269</f>
        <v/>
      </c>
      <c r="AB269" s="22">
        <f>O269-V269-U269</f>
        <v/>
      </c>
      <c r="AC269" s="22">
        <f>P269</f>
        <v/>
      </c>
      <c r="AD269" s="23">
        <f>Z269+AA269+AB269+AC269</f>
        <v/>
      </c>
      <c r="AE269" s="11" t="n">
        <v>5659586.13195</v>
      </c>
      <c r="AF269" s="24">
        <f>AD269-AE269</f>
        <v/>
      </c>
      <c r="AG269" s="13">
        <f>IF(OR(B269="",B269=0,M269=""),"",M269/B269*10000)</f>
        <v/>
      </c>
      <c r="AH269" s="13">
        <f>IF(OR(C269="",C269=0),"",N269/C269*10000)</f>
        <v/>
      </c>
      <c r="AI269" s="13">
        <f>IF(OR(D269="",D269=0),"",O269/D269*10000)</f>
        <v/>
      </c>
      <c r="AJ269" s="11" t="n">
        <v>41408.25254683448</v>
      </c>
      <c r="AK269" s="11" t="n">
        <v>43345.43</v>
      </c>
      <c r="AL269" s="22">
        <f>AE269+AJ269+AK269</f>
        <v/>
      </c>
      <c r="AM269" s="22">
        <f>AE269</f>
        <v/>
      </c>
      <c r="AN269" s="14" t="n">
        <v>130153.58</v>
      </c>
      <c r="AO269" s="15" t="n">
        <v>43.4839067196615</v>
      </c>
      <c r="AP269" s="14" t="n">
        <v>29399880.72</v>
      </c>
      <c r="AQ269" s="14" t="n">
        <v>26316.9537</v>
      </c>
      <c r="AR269" s="14" t="n">
        <v>476.4692</v>
      </c>
      <c r="AS269" s="14" t="n"/>
      <c r="AT269" s="16" t="n">
        <v>431.4311029826637</v>
      </c>
      <c r="AU269" s="17" t="n">
        <v>0.0212570539</v>
      </c>
      <c r="AV269" s="14" t="n">
        <v>421856691.2614</v>
      </c>
      <c r="AW269" s="18" t="n">
        <v>60100000</v>
      </c>
      <c r="AX269" s="19" t="n">
        <v>29399880.72</v>
      </c>
      <c r="AY269" s="18" t="n">
        <v>3100000</v>
      </c>
      <c r="AZ269" s="18">
        <f>1000000000-999632032.9166</f>
        <v/>
      </c>
      <c r="BA269" s="20">
        <f>1000000000-AV269-AW269-AX269-AY269-AZ269</f>
        <v/>
      </c>
      <c r="BB269" s="21" t="n">
        <v>244.9</v>
      </c>
      <c r="BC269" s="21">
        <f>BA269/1000000-BB269</f>
        <v/>
      </c>
      <c r="BD269" s="22">
        <f>BA269*40.63</f>
        <v/>
      </c>
    </row>
    <row r="270">
      <c r="A270" s="10" t="n">
        <v>45892</v>
      </c>
      <c r="B270" s="11" t="n">
        <v>8356300448.041975</v>
      </c>
      <c r="C270" s="11" t="n"/>
      <c r="D270" s="11" t="n">
        <v>1559153323</v>
      </c>
      <c r="E270" s="11" t="n"/>
      <c r="M270" s="22">
        <f>Z270/(1-R270)</f>
        <v/>
      </c>
      <c r="N270" s="11" t="n"/>
      <c r="O270" s="11" t="n">
        <v>585670</v>
      </c>
      <c r="P270" s="11" t="n"/>
      <c r="Q270" s="22">
        <f>M270+N270+O270+P270</f>
        <v/>
      </c>
      <c r="R270" s="12" t="n">
        <v>0.03</v>
      </c>
      <c r="S270" s="22">
        <f>M270*R270</f>
        <v/>
      </c>
      <c r="T270" s="22">
        <f>N270*R270</f>
        <v/>
      </c>
      <c r="U270" s="22">
        <f>(O270-V270)*R270</f>
        <v/>
      </c>
      <c r="V270" s="11" t="n">
        <v>273869</v>
      </c>
      <c r="W270" s="11" t="n"/>
      <c r="X270" s="22">
        <f>S270+T270+U270+V270+W270</f>
        <v/>
      </c>
      <c r="Y270" s="11" t="n"/>
      <c r="Z270" s="22">
        <f>AE270-AB270-AA270-AC270</f>
        <v/>
      </c>
      <c r="AA270" s="22">
        <f>N270-T270-W270</f>
        <v/>
      </c>
      <c r="AB270" s="22">
        <f>O270-V270-U270</f>
        <v/>
      </c>
      <c r="AC270" s="22">
        <f>P270</f>
        <v/>
      </c>
      <c r="AD270" s="23">
        <f>Z270+AA270+AB270+AC270</f>
        <v/>
      </c>
      <c r="AE270" s="11" t="n">
        <v>2555181.64434</v>
      </c>
      <c r="AF270" s="24">
        <f>AD270-AE270</f>
        <v/>
      </c>
      <c r="AG270" s="13">
        <f>IF(OR(B270="",B270=0,M270=""),"",M270/B270*10000)</f>
        <v/>
      </c>
      <c r="AH270" s="13">
        <f>IF(OR(C270="",C270=0),"",N270/C270*10000)</f>
        <v/>
      </c>
      <c r="AI270" s="13">
        <f>IF(OR(D270="",D270=0),"",O270/D270*10000)</f>
        <v/>
      </c>
      <c r="AJ270" s="11" t="n">
        <v>12653.39209463229</v>
      </c>
      <c r="AK270" s="11" t="n">
        <v>0</v>
      </c>
      <c r="AL270" s="22">
        <f>AE270+AJ270+AK270</f>
        <v/>
      </c>
      <c r="AM270" s="22">
        <f>AE270</f>
        <v/>
      </c>
      <c r="AN270" s="14" t="n">
        <v>57895.64</v>
      </c>
      <c r="AO270" s="15" t="n">
        <v>44.13426718039563</v>
      </c>
      <c r="AP270" s="14" t="n">
        <v>29457776.36</v>
      </c>
      <c r="AQ270" s="14" t="n">
        <v>26337.2215</v>
      </c>
      <c r="AR270" s="14" t="n">
        <v>2213.6907</v>
      </c>
      <c r="AS270" s="14" t="n"/>
      <c r="AT270" s="16" t="n">
        <v>431.609115769424</v>
      </c>
      <c r="AU270" s="17" t="n">
        <v>0.0212527204</v>
      </c>
      <c r="AV270" s="14" t="n">
        <v>421830354.0399</v>
      </c>
      <c r="AW270" s="18" t="n">
        <v>60100000</v>
      </c>
      <c r="AX270" s="19" t="n">
        <v>29457776.36</v>
      </c>
      <c r="AY270" s="18" t="n">
        <v>3100000</v>
      </c>
      <c r="AZ270" s="18">
        <f>1000000000-999629819.2258</f>
        <v/>
      </c>
      <c r="BA270" s="20">
        <f>1000000000-AV270-AW270-AX270-AY270-AZ270</f>
        <v/>
      </c>
      <c r="BB270" s="21" t="n">
        <v>244.9</v>
      </c>
      <c r="BC270" s="21">
        <f>BA270/1000000-BB270</f>
        <v/>
      </c>
      <c r="BD270" s="22">
        <f>BA270*44.98</f>
        <v/>
      </c>
    </row>
    <row r="271">
      <c r="A271" s="10" t="n">
        <v>45893</v>
      </c>
      <c r="B271" s="11" t="n">
        <v>17185841113.43915</v>
      </c>
      <c r="C271" s="11" t="n"/>
      <c r="D271" s="11" t="n">
        <v>3382127558</v>
      </c>
      <c r="E271" s="11" t="n"/>
      <c r="M271" s="22">
        <f>Z271/(1-R271)</f>
        <v/>
      </c>
      <c r="N271" s="11" t="n"/>
      <c r="O271" s="11" t="n">
        <v>1970942</v>
      </c>
      <c r="P271" s="11" t="n"/>
      <c r="Q271" s="22">
        <f>M271+N271+O271+P271</f>
        <v/>
      </c>
      <c r="R271" s="12" t="n">
        <v>0.03</v>
      </c>
      <c r="S271" s="22">
        <f>M271*R271</f>
        <v/>
      </c>
      <c r="T271" s="22">
        <f>N271*R271</f>
        <v/>
      </c>
      <c r="U271" s="22">
        <f>(O271-V271)*R271</f>
        <v/>
      </c>
      <c r="V271" s="11" t="n">
        <v>939665</v>
      </c>
      <c r="W271" s="11" t="n"/>
      <c r="X271" s="22">
        <f>S271+T271+U271+V271+W271</f>
        <v/>
      </c>
      <c r="Y271" s="11" t="n"/>
      <c r="Z271" s="22">
        <f>AE271-AB271-AA271-AC271</f>
        <v/>
      </c>
      <c r="AA271" s="22">
        <f>N271-T271-W271</f>
        <v/>
      </c>
      <c r="AB271" s="22">
        <f>O271-V271-U271</f>
        <v/>
      </c>
      <c r="AC271" s="22">
        <f>P271</f>
        <v/>
      </c>
      <c r="AD271" s="23">
        <f>Z271+AA271+AB271+AC271</f>
        <v/>
      </c>
      <c r="AE271" s="11" t="n">
        <v>5298039.79658</v>
      </c>
      <c r="AF271" s="24">
        <f>AD271-AE271</f>
        <v/>
      </c>
      <c r="AG271" s="13">
        <f>IF(OR(B271="",B271=0,M271=""),"",M271/B271*10000)</f>
        <v/>
      </c>
      <c r="AH271" s="13">
        <f>IF(OR(C271="",C271=0),"",N271/C271*10000)</f>
        <v/>
      </c>
      <c r="AI271" s="13">
        <f>IF(OR(D271="",D271=0),"",O271/D271*10000)</f>
        <v/>
      </c>
      <c r="AJ271" s="11" t="n">
        <v>52789.3033721489</v>
      </c>
      <c r="AK271" s="11" t="n">
        <v>95229.59</v>
      </c>
      <c r="AL271" s="22">
        <f>AE271+AJ271+AK271</f>
        <v/>
      </c>
      <c r="AM271" s="22">
        <f>AE271</f>
        <v/>
      </c>
      <c r="AN271" s="14" t="n">
        <v>117446.82</v>
      </c>
      <c r="AO271" s="15" t="n">
        <v>45.11011704344144</v>
      </c>
      <c r="AP271" s="14" t="n">
        <v>29575440.54</v>
      </c>
      <c r="AQ271" s="14" t="n">
        <v>25925.0993</v>
      </c>
      <c r="AR271" s="14" t="n">
        <v>374.1172</v>
      </c>
      <c r="AS271" s="14" t="n"/>
      <c r="AT271" s="16" t="n">
        <v>432.0085502504356</v>
      </c>
      <c r="AU271" s="17" t="n">
        <v>0.0212280548</v>
      </c>
      <c r="AV271" s="14" t="n">
        <v>421804428.9406</v>
      </c>
      <c r="AW271" s="18" t="n">
        <v>60100000</v>
      </c>
      <c r="AX271" s="19" t="n">
        <v>29575440.54</v>
      </c>
      <c r="AY271" s="18" t="n">
        <v>3100000</v>
      </c>
      <c r="AZ271" s="18">
        <f>1000000000-999629445.1086</f>
        <v/>
      </c>
      <c r="BA271" s="20">
        <f>1000000000-AV271-AW271-AX271-AY271-AZ271</f>
        <v/>
      </c>
      <c r="BB271" s="21" t="n">
        <v>244.9</v>
      </c>
      <c r="BC271" s="21">
        <f>BA271/1000000-BB271</f>
        <v/>
      </c>
      <c r="BD271" s="22">
        <f>BA271*44.83</f>
        <v/>
      </c>
    </row>
    <row r="272">
      <c r="A272" s="10" t="n">
        <v>45894</v>
      </c>
      <c r="B272" s="11" t="n">
        <v>20948854170.77424</v>
      </c>
      <c r="C272" s="11" t="n"/>
      <c r="D272" s="11" t="n">
        <v>1534795396</v>
      </c>
      <c r="E272" s="11" t="n"/>
      <c r="M272" s="22">
        <f>Z272/(1-R272)</f>
        <v/>
      </c>
      <c r="N272" s="11" t="n"/>
      <c r="O272" s="11" t="n">
        <v>543705</v>
      </c>
      <c r="P272" s="11" t="n"/>
      <c r="Q272" s="22">
        <f>M272+N272+O272+P272</f>
        <v/>
      </c>
      <c r="R272" s="12" t="n">
        <v>0.03</v>
      </c>
      <c r="S272" s="22">
        <f>M272*R272</f>
        <v/>
      </c>
      <c r="T272" s="22">
        <f>N272*R272</f>
        <v/>
      </c>
      <c r="U272" s="22">
        <f>(O272-V272)*R272</f>
        <v/>
      </c>
      <c r="V272" s="11" t="n">
        <v>219140</v>
      </c>
      <c r="W272" s="11" t="n"/>
      <c r="X272" s="22">
        <f>S272+T272+U272+V272+W272</f>
        <v/>
      </c>
      <c r="Y272" s="11" t="n"/>
      <c r="Z272" s="22">
        <f>AE272-AB272-AA272-AC272</f>
        <v/>
      </c>
      <c r="AA272" s="22">
        <f>N272-T272-W272</f>
        <v/>
      </c>
      <c r="AB272" s="22">
        <f>O272-V272-U272</f>
        <v/>
      </c>
      <c r="AC272" s="22">
        <f>P272</f>
        <v/>
      </c>
      <c r="AD272" s="23">
        <f>Z272+AA272+AB272+AC272</f>
        <v/>
      </c>
      <c r="AE272" s="11" t="n">
        <v>5591022.73503</v>
      </c>
      <c r="AF272" s="24">
        <f>AD272-AE272</f>
        <v/>
      </c>
      <c r="AG272" s="13">
        <f>IF(OR(B272="",B272=0,M272=""),"",M272/B272*10000)</f>
        <v/>
      </c>
      <c r="AH272" s="13">
        <f>IF(OR(C272="",C272=0),"",N272/C272*10000)</f>
        <v/>
      </c>
      <c r="AI272" s="13">
        <f>IF(OR(D272="",D272=0),"",O272/D272*10000)</f>
        <v/>
      </c>
      <c r="AJ272" s="11" t="n">
        <v>57416.9308421625</v>
      </c>
      <c r="AK272" s="11" t="n">
        <v>0</v>
      </c>
      <c r="AL272" s="22">
        <f>AE272+AJ272+AK272</f>
        <v/>
      </c>
      <c r="AM272" s="22">
        <f>AE272</f>
        <v/>
      </c>
      <c r="AN272" s="14" t="n">
        <v>124431.35</v>
      </c>
      <c r="AO272" s="15" t="n">
        <v>44.93258921509732</v>
      </c>
      <c r="AP272" s="14" t="n">
        <v>29699945.26</v>
      </c>
      <c r="AQ272" s="14" t="n">
        <v>26363.9334</v>
      </c>
      <c r="AR272" s="14" t="n">
        <v>2861.0986</v>
      </c>
      <c r="AS272" s="14" t="n"/>
      <c r="AT272" s="16" t="n">
        <v>432.7841906599742</v>
      </c>
      <c r="AU272" s="17" t="n">
        <v>0.0212092432</v>
      </c>
      <c r="AV272" s="14" t="n">
        <v>421778065.0072</v>
      </c>
      <c r="AW272" s="18" t="n">
        <v>60100000</v>
      </c>
      <c r="AX272" s="19" t="n">
        <v>29699945.26</v>
      </c>
      <c r="AY272" s="18" t="n">
        <v>3100000</v>
      </c>
      <c r="AZ272" s="18">
        <f>1000000000-999626584.0101</f>
        <v/>
      </c>
      <c r="BA272" s="20">
        <f>1000000000-AV272-AW272-AX272-AY272-AZ272</f>
        <v/>
      </c>
      <c r="BB272" s="21" t="n">
        <v>244.9</v>
      </c>
      <c r="BC272" s="21">
        <f>BA272/1000000-BB272</f>
        <v/>
      </c>
      <c r="BD272" s="22">
        <f>BA272*46.28</f>
        <v/>
      </c>
    </row>
    <row r="273">
      <c r="A273" s="10" t="n">
        <v>45895</v>
      </c>
      <c r="B273" s="11" t="n">
        <v>15388541325.81821</v>
      </c>
      <c r="C273" s="11" t="n"/>
      <c r="D273" s="11" t="n">
        <v>1653313077</v>
      </c>
      <c r="E273" s="11" t="n"/>
      <c r="M273" s="22">
        <f>Z273/(1-R273)</f>
        <v/>
      </c>
      <c r="N273" s="11" t="n"/>
      <c r="O273" s="11" t="n">
        <v>782342</v>
      </c>
      <c r="P273" s="11" t="n"/>
      <c r="Q273" s="22">
        <f>M273+N273+O273+P273</f>
        <v/>
      </c>
      <c r="R273" s="12" t="n">
        <v>0.03</v>
      </c>
      <c r="S273" s="22">
        <f>M273*R273</f>
        <v/>
      </c>
      <c r="T273" s="22">
        <f>N273*R273</f>
        <v/>
      </c>
      <c r="U273" s="22">
        <f>(O273-V273)*R273</f>
        <v/>
      </c>
      <c r="V273" s="11" t="n">
        <v>308539</v>
      </c>
      <c r="W273" s="11" t="n"/>
      <c r="X273" s="22">
        <f>S273+T273+U273+V273+W273</f>
        <v/>
      </c>
      <c r="Y273" s="11" t="n"/>
      <c r="Z273" s="22">
        <f>AE273-AB273-AA273-AC273</f>
        <v/>
      </c>
      <c r="AA273" s="22">
        <f>N273-T273-W273</f>
        <v/>
      </c>
      <c r="AB273" s="22">
        <f>O273-V273-U273</f>
        <v/>
      </c>
      <c r="AC273" s="22">
        <f>P273</f>
        <v/>
      </c>
      <c r="AD273" s="23">
        <f>Z273+AA273+AB273+AC273</f>
        <v/>
      </c>
      <c r="AE273" s="11" t="n">
        <v>5812626.00916</v>
      </c>
      <c r="AF273" s="24">
        <f>AD273-AE273</f>
        <v/>
      </c>
      <c r="AG273" s="13">
        <f>IF(OR(B273="",B273=0,M273=""),"",M273/B273*10000)</f>
        <v/>
      </c>
      <c r="AH273" s="13">
        <f>IF(OR(C273="",C273=0),"",N273/C273*10000)</f>
        <v/>
      </c>
      <c r="AI273" s="13">
        <f>IF(OR(D273="",D273=0),"",O273/D273*10000)</f>
        <v/>
      </c>
      <c r="AJ273" s="11" t="n">
        <v>43508.11539426938</v>
      </c>
      <c r="AK273" s="11" t="n">
        <v>49798.91</v>
      </c>
      <c r="AL273" s="22">
        <f>AE273+AJ273+AK273</f>
        <v/>
      </c>
      <c r="AM273" s="22">
        <f>AE273</f>
        <v/>
      </c>
      <c r="AN273" s="14" t="n">
        <v>124468.22</v>
      </c>
      <c r="AO273" s="15" t="n">
        <v>46.69967971872659</v>
      </c>
      <c r="AP273" s="14" t="n">
        <v>29824454.1</v>
      </c>
      <c r="AQ273" s="14" t="n">
        <v>26366.0098</v>
      </c>
      <c r="AR273" s="14" t="n">
        <v>1538.1765</v>
      </c>
      <c r="AS273" s="14" t="n"/>
      <c r="AT273" s="16" t="n">
        <v>432.4009595294015</v>
      </c>
      <c r="AU273" s="17" t="n">
        <v>0.0212185314</v>
      </c>
      <c r="AV273" s="14" t="n">
        <v>421751698.9974</v>
      </c>
      <c r="AW273" s="18" t="n">
        <v>60100000</v>
      </c>
      <c r="AX273" s="19" t="n">
        <v>29824454.1</v>
      </c>
      <c r="AY273" s="18" t="n">
        <v>3100000</v>
      </c>
      <c r="AZ273" s="18">
        <f>1000000000-999625045.8336</f>
        <v/>
      </c>
      <c r="BA273" s="20">
        <f>1000000000-AV273-AW273-AX273-AY273-AZ273</f>
        <v/>
      </c>
      <c r="BB273" s="21" t="n">
        <v>244.9</v>
      </c>
      <c r="BC273" s="21">
        <f>BA273/1000000-BB273</f>
        <v/>
      </c>
      <c r="BD273" s="22">
        <f>BA273*42.81</f>
        <v/>
      </c>
    </row>
    <row r="274">
      <c r="A274" s="10" t="n">
        <v>45896</v>
      </c>
      <c r="B274" s="11" t="n">
        <v>13058401010.23568</v>
      </c>
      <c r="C274" s="11" t="n"/>
      <c r="D274" s="11" t="n">
        <v>567526114</v>
      </c>
      <c r="E274" s="11" t="n"/>
      <c r="M274" s="22">
        <f>Z274/(1-R274)</f>
        <v/>
      </c>
      <c r="N274" s="11" t="n"/>
      <c r="O274" s="11" t="n">
        <v>217368</v>
      </c>
      <c r="P274" s="11" t="n"/>
      <c r="Q274" s="22">
        <f>M274+N274+O274+P274</f>
        <v/>
      </c>
      <c r="R274" s="12" t="n">
        <v>0.03</v>
      </c>
      <c r="S274" s="22">
        <f>M274*R274</f>
        <v/>
      </c>
      <c r="T274" s="22">
        <f>N274*R274</f>
        <v/>
      </c>
      <c r="U274" s="22">
        <f>(O274-V274)*R274</f>
        <v/>
      </c>
      <c r="V274" s="11" t="n">
        <v>34264</v>
      </c>
      <c r="W274" s="11" t="n"/>
      <c r="X274" s="22">
        <f>S274+T274+U274+V274+W274</f>
        <v/>
      </c>
      <c r="Y274" s="11" t="n"/>
      <c r="Z274" s="22">
        <f>AE274-AB274-AA274-AC274</f>
        <v/>
      </c>
      <c r="AA274" s="22">
        <f>N274-T274-W274</f>
        <v/>
      </c>
      <c r="AB274" s="22">
        <f>O274-V274-U274</f>
        <v/>
      </c>
      <c r="AC274" s="22">
        <f>P274</f>
        <v/>
      </c>
      <c r="AD274" s="23">
        <f>Z274+AA274+AB274+AC274</f>
        <v/>
      </c>
      <c r="AE274" s="11" t="n">
        <v>3645666.39599</v>
      </c>
      <c r="AF274" s="24">
        <f>AD274-AE274</f>
        <v/>
      </c>
      <c r="AG274" s="13">
        <f>IF(OR(B274="",B274=0,M274=""),"",M274/B274*10000)</f>
        <v/>
      </c>
      <c r="AH274" s="13">
        <f>IF(OR(C274="",C274=0),"",N274/C274*10000)</f>
        <v/>
      </c>
      <c r="AI274" s="13">
        <f>IF(OR(D274="",D274=0),"",O274/D274*10000)</f>
        <v/>
      </c>
      <c r="AJ274" s="11" t="n">
        <v>52325.08759990281</v>
      </c>
      <c r="AK274" s="11" t="n">
        <v>68838.23</v>
      </c>
      <c r="AL274" s="22">
        <f>AE274+AJ274+AK274</f>
        <v/>
      </c>
      <c r="AM274" s="22">
        <f>AE274</f>
        <v/>
      </c>
      <c r="AN274" s="14" t="n">
        <v>73824.09</v>
      </c>
      <c r="AO274" s="15" t="n">
        <v>49.38315387280765</v>
      </c>
      <c r="AP274" s="14" t="n">
        <v>29897946.84</v>
      </c>
      <c r="AQ274" s="14" t="n">
        <v>26403.5722</v>
      </c>
      <c r="AR274" s="14" t="n">
        <v>2522.4986</v>
      </c>
      <c r="AS274" s="14" t="n"/>
      <c r="AT274" s="16" t="n">
        <v>433.2140545284113</v>
      </c>
      <c r="AU274" s="17" t="n">
        <v>0.0212574332</v>
      </c>
      <c r="AV274" s="14" t="n">
        <v>421725295.4252</v>
      </c>
      <c r="AW274" s="18" t="n">
        <v>60100000</v>
      </c>
      <c r="AX274" s="19" t="n">
        <v>29897946.84</v>
      </c>
      <c r="AY274" s="18" t="n">
        <v>3100000</v>
      </c>
      <c r="AZ274" s="18">
        <f>1000000000-999622523.335</f>
        <v/>
      </c>
      <c r="BA274" s="20">
        <f>1000000000-AV274-AW274-AX274-AY274-AZ274</f>
        <v/>
      </c>
      <c r="BB274" s="21" t="n">
        <v>244.9</v>
      </c>
      <c r="BC274" s="21">
        <f>BA274/1000000-BB274</f>
        <v/>
      </c>
      <c r="BD274" s="22">
        <f>BA274*48.58</f>
        <v/>
      </c>
    </row>
    <row r="275">
      <c r="A275" s="10" t="n">
        <v>45897</v>
      </c>
      <c r="B275" s="11" t="n">
        <v>10282718688.72443</v>
      </c>
      <c r="C275" s="11" t="n"/>
      <c r="D275" s="11" t="n">
        <v>420001260</v>
      </c>
      <c r="E275" s="11" t="n"/>
      <c r="M275" s="22">
        <f>Z275/(1-R275)</f>
        <v/>
      </c>
      <c r="N275" s="11" t="n"/>
      <c r="O275" s="11" t="n">
        <v>176810</v>
      </c>
      <c r="P275" s="11" t="n"/>
      <c r="Q275" s="22">
        <f>M275+N275+O275+P275</f>
        <v/>
      </c>
      <c r="R275" s="12" t="n">
        <v>0.03</v>
      </c>
      <c r="S275" s="22">
        <f>M275*R275</f>
        <v/>
      </c>
      <c r="T275" s="22">
        <f>N275*R275</f>
        <v/>
      </c>
      <c r="U275" s="22">
        <f>(O275-V275)*R275</f>
        <v/>
      </c>
      <c r="V275" s="11" t="n">
        <v>39632</v>
      </c>
      <c r="W275" s="11" t="n"/>
      <c r="X275" s="22">
        <f>S275+T275+U275+V275+W275</f>
        <v/>
      </c>
      <c r="Y275" s="11" t="n"/>
      <c r="Z275" s="22">
        <f>AE275-AB275-AA275-AC275</f>
        <v/>
      </c>
      <c r="AA275" s="22">
        <f>N275-T275-W275</f>
        <v/>
      </c>
      <c r="AB275" s="22">
        <f>O275-V275-U275</f>
        <v/>
      </c>
      <c r="AC275" s="22">
        <f>P275</f>
        <v/>
      </c>
      <c r="AD275" s="23">
        <f>Z275+AA275+AB275+AC275</f>
        <v/>
      </c>
      <c r="AE275" s="11" t="n">
        <v>2852918.43232</v>
      </c>
      <c r="AF275" s="24">
        <f>AD275-AE275</f>
        <v/>
      </c>
      <c r="AG275" s="13">
        <f>IF(OR(B275="",B275=0,M275=""),"",M275/B275*10000)</f>
        <v/>
      </c>
      <c r="AH275" s="13">
        <f>IF(OR(C275="",C275=0),"",N275/C275*10000)</f>
        <v/>
      </c>
      <c r="AI275" s="13">
        <f>IF(OR(D275="",D275=0),"",O275/D275*10000)</f>
        <v/>
      </c>
      <c r="AJ275" s="11" t="n">
        <v>26936.35459954765</v>
      </c>
      <c r="AK275" s="11" t="n">
        <v>0</v>
      </c>
      <c r="AL275" s="22">
        <f>AE275+AJ275+AK275</f>
        <v/>
      </c>
      <c r="AM275" s="22">
        <f>AE275</f>
        <v/>
      </c>
      <c r="AN275" s="14" t="n">
        <v>59964.64</v>
      </c>
      <c r="AO275" s="15" t="n">
        <v>47.57667906152693</v>
      </c>
      <c r="AP275" s="14" t="n">
        <v>29957492.26</v>
      </c>
      <c r="AQ275" s="14" t="n">
        <v>26384</v>
      </c>
      <c r="AR275" s="14" t="n">
        <v>2596.5887</v>
      </c>
      <c r="AS275" s="14" t="n"/>
      <c r="AT275" s="16" t="n">
        <v>433.7442915932997</v>
      </c>
      <c r="AU275" s="17" t="n">
        <v>0.0212445857</v>
      </c>
      <c r="AV275" s="14" t="n">
        <v>421698911.4252</v>
      </c>
      <c r="AW275" s="18" t="n">
        <v>60100000</v>
      </c>
      <c r="AX275" s="19" t="n">
        <v>29957492.26</v>
      </c>
      <c r="AY275" s="18" t="n">
        <v>3100000</v>
      </c>
      <c r="AZ275" s="18">
        <f>1000000000-999619926.7463</f>
        <v/>
      </c>
      <c r="BA275" s="20">
        <f>1000000000-AV275-AW275-AX275-AY275-AZ275</f>
        <v/>
      </c>
      <c r="BB275" s="21" t="n">
        <v>244.9</v>
      </c>
      <c r="BC275" s="21">
        <f>BA275/1000000-BB275</f>
        <v/>
      </c>
      <c r="BD275" s="22">
        <f>BA275*47.12</f>
        <v/>
      </c>
    </row>
    <row r="276">
      <c r="A276" s="10" t="n">
        <v>45898</v>
      </c>
      <c r="B276" s="11" t="n">
        <v>16727206705.29462</v>
      </c>
      <c r="C276" s="11" t="n"/>
      <c r="D276" s="11" t="n">
        <v>1187391721</v>
      </c>
      <c r="E276" s="11" t="n"/>
      <c r="M276" s="22">
        <f>Z276/(1-R276)</f>
        <v/>
      </c>
      <c r="N276" s="11" t="n"/>
      <c r="O276" s="11" t="n">
        <v>598611</v>
      </c>
      <c r="P276" s="11" t="n"/>
      <c r="Q276" s="22">
        <f>M276+N276+O276+P276</f>
        <v/>
      </c>
      <c r="R276" s="12" t="n">
        <v>0.03</v>
      </c>
      <c r="S276" s="22">
        <f>M276*R276</f>
        <v/>
      </c>
      <c r="T276" s="22">
        <f>N276*R276</f>
        <v/>
      </c>
      <c r="U276" s="22">
        <f>(O276-V276)*R276</f>
        <v/>
      </c>
      <c r="V276" s="11" t="n">
        <v>234006</v>
      </c>
      <c r="W276" s="11" t="n"/>
      <c r="X276" s="22">
        <f>S276+T276+U276+V276+W276</f>
        <v/>
      </c>
      <c r="Y276" s="11" t="n"/>
      <c r="Z276" s="22">
        <f>AE276-AB276-AA276-AC276</f>
        <v/>
      </c>
      <c r="AA276" s="22">
        <f>N276-T276-W276</f>
        <v/>
      </c>
      <c r="AB276" s="22">
        <f>O276-V276-U276</f>
        <v/>
      </c>
      <c r="AC276" s="22">
        <f>P276</f>
        <v/>
      </c>
      <c r="AD276" s="23">
        <f>Z276+AA276+AB276+AC276</f>
        <v/>
      </c>
      <c r="AE276" s="11" t="n">
        <v>4517739.09553</v>
      </c>
      <c r="AF276" s="24">
        <f>AD276-AE276</f>
        <v/>
      </c>
      <c r="AG276" s="13">
        <f>IF(OR(B276="",B276=0,M276=""),"",M276/B276*10000)</f>
        <v/>
      </c>
      <c r="AH276" s="13">
        <f>IF(OR(C276="",C276=0),"",N276/C276*10000)</f>
        <v/>
      </c>
      <c r="AI276" s="13">
        <f>IF(OR(D276="",D276=0),"",O276/D276*10000)</f>
        <v/>
      </c>
      <c r="AJ276" s="11" t="n">
        <v>28057.99142478528</v>
      </c>
      <c r="AK276" s="11" t="n">
        <v>34731.2</v>
      </c>
      <c r="AL276" s="22">
        <f>AE276+AJ276+AK276</f>
        <v/>
      </c>
      <c r="AM276" s="22">
        <f>AE276</f>
        <v/>
      </c>
      <c r="AN276" s="14" t="n">
        <v>101222.13</v>
      </c>
      <c r="AO276" s="15" t="n">
        <v>44.63193074014546</v>
      </c>
      <c r="AP276" s="14" t="n">
        <v>30059183.69</v>
      </c>
      <c r="AQ276" s="14" t="n">
        <v>26324.2015</v>
      </c>
      <c r="AR276" s="14" t="n">
        <v>775.6297</v>
      </c>
      <c r="AS276" s="14" t="n"/>
      <c r="AT276" s="16" t="n">
        <v>434.2715365864815</v>
      </c>
      <c r="AU276" s="17" t="n">
        <v>0.0212318338</v>
      </c>
      <c r="AV276" s="14" t="n">
        <v>421672587.2237</v>
      </c>
      <c r="AW276" s="18" t="n">
        <v>60100000</v>
      </c>
      <c r="AX276" s="19" t="n">
        <v>30059183.69</v>
      </c>
      <c r="AY276" s="18" t="n">
        <v>3100000</v>
      </c>
      <c r="AZ276" s="18">
        <f>1000000000-999619151.1166</f>
        <v/>
      </c>
      <c r="BA276" s="20">
        <f>1000000000-AV276-AW276-AX276-AY276-AZ276</f>
        <v/>
      </c>
      <c r="BB276" s="21" t="n">
        <v>244.9</v>
      </c>
      <c r="BC276" s="21">
        <f>BA276/1000000-BB276</f>
        <v/>
      </c>
      <c r="BD276" s="22">
        <f>BA276*45.57</f>
        <v/>
      </c>
    </row>
    <row r="277">
      <c r="A277" s="10" t="n">
        <v>45899</v>
      </c>
      <c r="B277" s="11" t="n">
        <v>6799419657.98675</v>
      </c>
      <c r="C277" s="11" t="n"/>
      <c r="D277" s="11" t="n">
        <v>815965664</v>
      </c>
      <c r="E277" s="11" t="n"/>
      <c r="M277" s="22">
        <f>Z277/(1-R277)</f>
        <v/>
      </c>
      <c r="N277" s="11" t="n"/>
      <c r="O277" s="11" t="n">
        <v>323882</v>
      </c>
      <c r="P277" s="11" t="n"/>
      <c r="Q277" s="22">
        <f>M277+N277+O277+P277</f>
        <v/>
      </c>
      <c r="R277" s="12" t="n">
        <v>0.01</v>
      </c>
      <c r="S277" s="22">
        <f>M277*R277</f>
        <v/>
      </c>
      <c r="T277" s="22">
        <f>N277*R277</f>
        <v/>
      </c>
      <c r="U277" s="22">
        <f>(O277-V277)*R277</f>
        <v/>
      </c>
      <c r="V277" s="11" t="n">
        <v>130454</v>
      </c>
      <c r="W277" s="11" t="n"/>
      <c r="X277" s="22">
        <f>S277+T277+U277+V277+W277</f>
        <v/>
      </c>
      <c r="Y277" s="11" t="n"/>
      <c r="Z277" s="22">
        <f>AE277-AB277-AA277-AC277</f>
        <v/>
      </c>
      <c r="AA277" s="22">
        <f>N277-T277-W277</f>
        <v/>
      </c>
      <c r="AB277" s="22">
        <f>O277-V277-U277</f>
        <v/>
      </c>
      <c r="AC277" s="22">
        <f>P277</f>
        <v/>
      </c>
      <c r="AD277" s="23">
        <f>Z277+AA277+AB277+AC277</f>
        <v/>
      </c>
      <c r="AE277" s="11" t="n">
        <v>1903289.33744</v>
      </c>
      <c r="AF277" s="24">
        <f>AD277-AE277</f>
        <v/>
      </c>
      <c r="AG277" s="13">
        <f>IF(OR(B277="",B277=0,M277=""),"",M277/B277*10000)</f>
        <v/>
      </c>
      <c r="AH277" s="13">
        <f>IF(OR(C277="",C277=0),"",N277/C277*10000)</f>
        <v/>
      </c>
      <c r="AI277" s="13">
        <f>IF(OR(D277="",D277=0),"",O277/D277*10000)</f>
        <v/>
      </c>
      <c r="AJ277" s="11" t="n">
        <v>7760.110163731018</v>
      </c>
      <c r="AK277" s="11" t="n">
        <v>34702.17</v>
      </c>
      <c r="AL277" s="22">
        <f>AE277+AJ277+AK277</f>
        <v/>
      </c>
      <c r="AM277" s="22">
        <f>AE277</f>
        <v/>
      </c>
      <c r="AN277" s="14" t="n">
        <v>43251.17</v>
      </c>
      <c r="AO277" s="15" t="n">
        <v>44.00549944521732</v>
      </c>
      <c r="AP277" s="14" t="n">
        <v>30102384.78</v>
      </c>
      <c r="AQ277" s="14" t="n">
        <v>26261.8781</v>
      </c>
      <c r="AR277" s="14" t="n">
        <v>1515.4212</v>
      </c>
      <c r="AS277" s="14" t="n"/>
      <c r="AT277" s="16" t="n">
        <v>435.0266212593537</v>
      </c>
      <c r="AU277" s="17" t="n">
        <v>0.0212136116</v>
      </c>
      <c r="AV277" s="14" t="n">
        <v>421646325.3456</v>
      </c>
      <c r="AW277" s="18" t="n">
        <v>60100000</v>
      </c>
      <c r="AX277" s="19" t="n">
        <v>30102384.78</v>
      </c>
      <c r="AY277" s="18" t="n">
        <v>3100000</v>
      </c>
      <c r="AZ277" s="18">
        <f>1000000000-999617635.6954</f>
        <v/>
      </c>
      <c r="BA277" s="20">
        <f>1000000000-AV277-AW277-AX277-AY277-AZ277</f>
        <v/>
      </c>
      <c r="BB277" s="21" t="n">
        <v>244.9</v>
      </c>
      <c r="BC277" s="21">
        <f>BA277/1000000-BB277</f>
        <v/>
      </c>
      <c r="BD277" s="22">
        <f>BA277*44.41</f>
        <v/>
      </c>
    </row>
    <row r="278">
      <c r="A278" s="10" t="n">
        <v>45900</v>
      </c>
      <c r="B278" s="11" t="n">
        <v>5766508404.612074</v>
      </c>
      <c r="C278" s="11" t="n"/>
      <c r="D278" s="11" t="n">
        <v>1224472730</v>
      </c>
      <c r="E278" s="11" t="n"/>
      <c r="M278" s="22">
        <f>Z278/(1-R278)</f>
        <v/>
      </c>
      <c r="N278" s="11" t="n"/>
      <c r="O278" s="11" t="n">
        <v>473026</v>
      </c>
      <c r="P278" s="11" t="n"/>
      <c r="Q278" s="22">
        <f>M278+N278+O278+P278</f>
        <v/>
      </c>
      <c r="R278" s="12" t="n">
        <v>0.01</v>
      </c>
      <c r="S278" s="22">
        <f>M278*R278</f>
        <v/>
      </c>
      <c r="T278" s="22">
        <f>N278*R278</f>
        <v/>
      </c>
      <c r="U278" s="22">
        <f>(O278-V278)*R278</f>
        <v/>
      </c>
      <c r="V278" s="11" t="n">
        <v>212196</v>
      </c>
      <c r="W278" s="11" t="n"/>
      <c r="X278" s="22">
        <f>S278+T278+U278+V278+W278</f>
        <v/>
      </c>
      <c r="Y278" s="11" t="n"/>
      <c r="Z278" s="22">
        <f>AE278-AB278-AA278-AC278</f>
        <v/>
      </c>
      <c r="AA278" s="22">
        <f>N278-T278-W278</f>
        <v/>
      </c>
      <c r="AB278" s="22">
        <f>O278-V278-U278</f>
        <v/>
      </c>
      <c r="AC278" s="22">
        <f>P278</f>
        <v/>
      </c>
      <c r="AD278" s="23">
        <f>Z278+AA278+AB278+AC278</f>
        <v/>
      </c>
      <c r="AE278" s="11" t="n">
        <v>1781642.51828</v>
      </c>
      <c r="AF278" s="24">
        <f>AD278-AE278</f>
        <v/>
      </c>
      <c r="AG278" s="13">
        <f>IF(OR(B278="",B278=0,M278=""),"",M278/B278*10000)</f>
        <v/>
      </c>
      <c r="AH278" s="13">
        <f>IF(OR(C278="",C278=0),"",N278/C278*10000)</f>
        <v/>
      </c>
      <c r="AI278" s="13">
        <f>IF(OR(D278="",D278=0),"",O278/D278*10000)</f>
        <v/>
      </c>
      <c r="AJ278" s="11" t="n">
        <v>6506.938058085142</v>
      </c>
      <c r="AK278" s="11" t="n">
        <v>28404.45</v>
      </c>
      <c r="AL278" s="22">
        <f>AE278+AJ278+AK278</f>
        <v/>
      </c>
      <c r="AM278" s="22">
        <f>AE278</f>
        <v/>
      </c>
      <c r="AN278" s="14" t="n">
        <v>39932.11</v>
      </c>
      <c r="AO278" s="15" t="n">
        <v>44.61678880179385</v>
      </c>
      <c r="AP278" s="14" t="n">
        <v>30142542.9</v>
      </c>
      <c r="AQ278" s="14" t="n">
        <v>26548.2562</v>
      </c>
      <c r="AR278" s="14" t="n">
        <v>1051.6584</v>
      </c>
      <c r="AS278" s="14" t="n"/>
      <c r="AT278" s="16" t="n">
        <v>434.9258531938793</v>
      </c>
      <c r="AU278" s="17" t="n">
        <v>0.0212160407</v>
      </c>
      <c r="AV278" s="14" t="n">
        <v>421619777.0895</v>
      </c>
      <c r="AW278" s="18" t="n">
        <v>60100000</v>
      </c>
      <c r="AX278" s="19" t="n">
        <v>30142542.9</v>
      </c>
      <c r="AY278" s="18" t="n">
        <v>3100000</v>
      </c>
      <c r="AZ278" s="18">
        <f>1000000000-999616584.037</f>
        <v/>
      </c>
      <c r="BA278" s="20">
        <f>1000000000-AV278-AW278-AX278-AY278-AZ278</f>
        <v/>
      </c>
      <c r="BB278" s="21" t="n">
        <v>244.9</v>
      </c>
      <c r="BC278" s="21">
        <f>BA278/1000000-BB278</f>
        <v/>
      </c>
      <c r="BD278" s="22">
        <f>BA278*44.1</f>
        <v/>
      </c>
    </row>
    <row r="279">
      <c r="A279" s="10" t="n">
        <v>45901</v>
      </c>
      <c r="B279" s="11" t="n">
        <v>11587932833.88221</v>
      </c>
      <c r="C279" s="11" t="n"/>
      <c r="D279" s="11" t="n">
        <v>830260769</v>
      </c>
      <c r="E279" s="11" t="n"/>
      <c r="M279" s="22">
        <f>Z279/(1-R279)</f>
        <v/>
      </c>
      <c r="N279" s="11" t="n"/>
      <c r="O279" s="11" t="n">
        <v>297309</v>
      </c>
      <c r="P279" s="11" t="n"/>
      <c r="Q279" s="22">
        <f>M279+N279+O279+P279</f>
        <v/>
      </c>
      <c r="R279" s="12" t="n">
        <v>0.01</v>
      </c>
      <c r="S279" s="22">
        <f>M279*R279</f>
        <v/>
      </c>
      <c r="T279" s="22">
        <f>N279*R279</f>
        <v/>
      </c>
      <c r="U279" s="22">
        <f>(O279-V279)*R279</f>
        <v/>
      </c>
      <c r="V279" s="11" t="n">
        <v>108478</v>
      </c>
      <c r="W279" s="11" t="n"/>
      <c r="X279" s="22">
        <f>S279+T279+U279+V279+W279</f>
        <v/>
      </c>
      <c r="Y279" s="11" t="n"/>
      <c r="Z279" s="22">
        <f>AE279-AB279-AA279-AC279</f>
        <v/>
      </c>
      <c r="AA279" s="22">
        <f>N279-T279-W279</f>
        <v/>
      </c>
      <c r="AB279" s="22">
        <f>O279-V279-U279</f>
        <v/>
      </c>
      <c r="AC279" s="22">
        <f>P279</f>
        <v/>
      </c>
      <c r="AD279" s="23">
        <f>Z279+AA279+AB279+AC279</f>
        <v/>
      </c>
      <c r="AE279" s="11" t="n">
        <v>3002689.84027</v>
      </c>
      <c r="AF279" s="24">
        <f>AD279-AE279</f>
        <v/>
      </c>
      <c r="AG279" s="13">
        <f>IF(OR(B279="",B279=0,M279=""),"",M279/B279*10000)</f>
        <v/>
      </c>
      <c r="AH279" s="13">
        <f>IF(OR(C279="",C279=0),"",N279/C279*10000)</f>
        <v/>
      </c>
      <c r="AI279" s="13">
        <f>IF(OR(D279="",D279=0),"",O279/D279*10000)</f>
        <v/>
      </c>
      <c r="AJ279" s="11" t="n">
        <v>18424.96866774532</v>
      </c>
      <c r="AK279" s="11" t="n">
        <v>0</v>
      </c>
      <c r="AL279" s="22">
        <f>AE279+AJ279+AK279</f>
        <v/>
      </c>
      <c r="AM279" s="22">
        <f>AE279</f>
        <v/>
      </c>
      <c r="AN279" s="14" t="n">
        <v>68021.86</v>
      </c>
      <c r="AO279" s="15" t="n">
        <v>44.143012853074</v>
      </c>
      <c r="AP279" s="14" t="n">
        <v>30210338.75</v>
      </c>
      <c r="AQ279" s="14" t="n">
        <v>26680.4789</v>
      </c>
      <c r="AR279" s="14" t="n">
        <v>996.2214</v>
      </c>
      <c r="AS279" s="14" t="n"/>
      <c r="AT279" s="16" t="n">
        <v>433.9471313458666</v>
      </c>
      <c r="AU279" s="17" t="n">
        <v>0.0212396771</v>
      </c>
      <c r="AV279" s="14" t="n">
        <v>421593096.6106</v>
      </c>
      <c r="AW279" s="18" t="n">
        <v>60100000</v>
      </c>
      <c r="AX279" s="19" t="n">
        <v>30210338.75</v>
      </c>
      <c r="AY279" s="18" t="n">
        <v>3100000</v>
      </c>
      <c r="AZ279" s="18">
        <f>1000000000-999615587.8156</f>
        <v/>
      </c>
      <c r="BA279" s="20">
        <f>1000000000-AV279-AW279-AX279-AY279-AZ279</f>
        <v/>
      </c>
      <c r="BB279" s="21" t="n">
        <v>244.9</v>
      </c>
      <c r="BC279" s="21">
        <f>BA279/1000000-BB279</f>
        <v/>
      </c>
      <c r="BD279" s="22">
        <f>BA279*44.2</f>
        <v/>
      </c>
    </row>
    <row r="280">
      <c r="A280" s="10" t="n">
        <v>45902</v>
      </c>
      <c r="B280" s="11" t="n">
        <v>11422881300.32564</v>
      </c>
      <c r="C280" s="11" t="n"/>
      <c r="D280" s="11" t="n">
        <v>374820537</v>
      </c>
      <c r="E280" s="11" t="n"/>
      <c r="M280" s="22">
        <f>Z280/(1-R280)</f>
        <v/>
      </c>
      <c r="N280" s="11" t="n"/>
      <c r="O280" s="11" t="n">
        <v>138213</v>
      </c>
      <c r="P280" s="11" t="n"/>
      <c r="Q280" s="22">
        <f>M280+N280+O280+P280</f>
        <v/>
      </c>
      <c r="R280" s="12" t="n">
        <v>0.01</v>
      </c>
      <c r="S280" s="22">
        <f>M280*R280</f>
        <v/>
      </c>
      <c r="T280" s="22">
        <f>N280*R280</f>
        <v/>
      </c>
      <c r="U280" s="22">
        <f>(O280-V280)*R280</f>
        <v/>
      </c>
      <c r="V280" s="11" t="n">
        <v>39874</v>
      </c>
      <c r="W280" s="11" t="n"/>
      <c r="X280" s="22">
        <f>S280+T280+U280+V280+W280</f>
        <v/>
      </c>
      <c r="Y280" s="11" t="n"/>
      <c r="Z280" s="22">
        <f>AE280-AB280-AA280-AC280</f>
        <v/>
      </c>
      <c r="AA280" s="22">
        <f>N280-T280-W280</f>
        <v/>
      </c>
      <c r="AB280" s="22">
        <f>O280-V280-U280</f>
        <v/>
      </c>
      <c r="AC280" s="22">
        <f>P280</f>
        <v/>
      </c>
      <c r="AD280" s="23">
        <f>Z280+AA280+AB280+AC280</f>
        <v/>
      </c>
      <c r="AE280" s="11" t="n">
        <v>3058785.56673</v>
      </c>
      <c r="AF280" s="24">
        <f>AD280-AE280</f>
        <v/>
      </c>
      <c r="AG280" s="13">
        <f>IF(OR(B280="",B280=0,M280=""),"",M280/B280*10000)</f>
        <v/>
      </c>
      <c r="AH280" s="13">
        <f>IF(OR(C280="",C280=0),"",N280/C280*10000)</f>
        <v/>
      </c>
      <c r="AI280" s="13">
        <f>IF(OR(D280="",D280=0),"",O280/D280*10000)</f>
        <v/>
      </c>
      <c r="AJ280" s="11" t="n">
        <v>17147.42827030919</v>
      </c>
      <c r="AK280" s="11" t="n">
        <v>58325.55</v>
      </c>
      <c r="AL280" s="22">
        <f>AE280+AJ280+AK280</f>
        <v/>
      </c>
      <c r="AM280" s="22">
        <f>AE280</f>
        <v/>
      </c>
      <c r="AN280" s="14" t="n">
        <v>69292.78</v>
      </c>
      <c r="AO280" s="15" t="n">
        <v>44.14291888317946</v>
      </c>
      <c r="AP280" s="14" t="n">
        <v>30279631.53</v>
      </c>
      <c r="AQ280" s="14" t="n">
        <v>26649.846</v>
      </c>
      <c r="AR280" s="14" t="n">
        <v>470.2765</v>
      </c>
      <c r="AS280" s="14" t="n"/>
      <c r="AT280" s="16" t="n">
        <v>431.2876551678836</v>
      </c>
      <c r="AU280" s="17" t="n">
        <v>0.0213207218</v>
      </c>
      <c r="AV280" s="14" t="n">
        <v>421566446.7646</v>
      </c>
      <c r="AW280" s="18" t="n">
        <v>60100000</v>
      </c>
      <c r="AX280" s="19" t="n">
        <v>30279631.53</v>
      </c>
      <c r="AY280" s="18" t="n">
        <v>3100000</v>
      </c>
      <c r="AZ280" s="18">
        <f>1000000000-999615117.5391</f>
        <v/>
      </c>
      <c r="BA280" s="20">
        <f>1000000000-AV280-AW280-AX280-AY280-AZ280</f>
        <v/>
      </c>
      <c r="BB280" s="21" t="n">
        <v>244.9</v>
      </c>
      <c r="BC280" s="21">
        <f>BA280/1000000-BB280</f>
        <v/>
      </c>
      <c r="BD280" s="22">
        <f>BA280*42.98</f>
        <v/>
      </c>
    </row>
    <row r="281">
      <c r="A281" s="10" t="n">
        <v>45903</v>
      </c>
      <c r="B281" s="11" t="n">
        <v>8200160965.199457</v>
      </c>
      <c r="C281" s="11" t="n"/>
      <c r="D281" s="11" t="n">
        <v>304761980</v>
      </c>
      <c r="E281" s="11" t="n"/>
      <c r="M281" s="22">
        <f>Z281/(1-R281)</f>
        <v/>
      </c>
      <c r="N281" s="11" t="n"/>
      <c r="O281" s="11" t="n">
        <v>121295</v>
      </c>
      <c r="P281" s="11" t="n"/>
      <c r="Q281" s="22">
        <f>M281+N281+O281+P281</f>
        <v/>
      </c>
      <c r="R281" s="12" t="n">
        <v>0.01</v>
      </c>
      <c r="S281" s="22">
        <f>M281*R281</f>
        <v/>
      </c>
      <c r="T281" s="22">
        <f>N281*R281</f>
        <v/>
      </c>
      <c r="U281" s="22">
        <f>(O281-V281)*R281</f>
        <v/>
      </c>
      <c r="V281" s="11" t="n">
        <v>29784</v>
      </c>
      <c r="W281" s="11" t="n"/>
      <c r="X281" s="22">
        <f>S281+T281+U281+V281+W281</f>
        <v/>
      </c>
      <c r="Y281" s="11" t="n"/>
      <c r="Z281" s="22">
        <f>AE281-AB281-AA281-AC281</f>
        <v/>
      </c>
      <c r="AA281" s="22">
        <f>N281-T281-W281</f>
        <v/>
      </c>
      <c r="AB281" s="22">
        <f>O281-V281-U281</f>
        <v/>
      </c>
      <c r="AC281" s="22">
        <f>P281</f>
        <v/>
      </c>
      <c r="AD281" s="23">
        <f>Z281+AA281+AB281+AC281</f>
        <v/>
      </c>
      <c r="AE281" s="11" t="n">
        <v>2259297.54066</v>
      </c>
      <c r="AF281" s="24">
        <f>AD281-AE281</f>
        <v/>
      </c>
      <c r="AG281" s="13">
        <f>IF(OR(B281="",B281=0,M281=""),"",M281/B281*10000)</f>
        <v/>
      </c>
      <c r="AH281" s="13">
        <f>IF(OR(C281="",C281=0),"",N281/C281*10000)</f>
        <v/>
      </c>
      <c r="AI281" s="13">
        <f>IF(OR(D281="",D281=0),"",O281/D281*10000)</f>
        <v/>
      </c>
      <c r="AJ281" s="11" t="n">
        <v>22000.40336266439</v>
      </c>
      <c r="AK281" s="11" t="n">
        <v>0</v>
      </c>
      <c r="AL281" s="22">
        <f>AE281+AJ281+AK281</f>
        <v/>
      </c>
      <c r="AM281" s="22">
        <f>AE281</f>
        <v/>
      </c>
      <c r="AN281" s="14" t="n">
        <v>49663.71</v>
      </c>
      <c r="AO281" s="15" t="n">
        <v>45.49192037123284</v>
      </c>
      <c r="AP281" s="14" t="n">
        <v>30329295.24</v>
      </c>
      <c r="AQ281" s="14" t="n">
        <v>26600.4145</v>
      </c>
      <c r="AR281" s="14" t="n">
        <v>1849.0277</v>
      </c>
      <c r="AS281" s="14" t="n"/>
      <c r="AT281" s="16" t="n">
        <v>431.6109943398349</v>
      </c>
      <c r="AU281" s="17" t="n">
        <v>0.0213128264</v>
      </c>
      <c r="AV281" s="14" t="n">
        <v>421539846.3501</v>
      </c>
      <c r="AW281" s="18" t="n">
        <v>60100000</v>
      </c>
      <c r="AX281" s="19" t="n">
        <v>30329295.24</v>
      </c>
      <c r="AY281" s="18" t="n">
        <v>3100000</v>
      </c>
      <c r="AZ281" s="18">
        <f>1000000000-999613268.5114</f>
        <v/>
      </c>
      <c r="BA281" s="20">
        <f>1000000000-AV281-AW281-AX281-AY281-AZ281</f>
        <v/>
      </c>
      <c r="BB281" s="21" t="n">
        <v>244.9</v>
      </c>
      <c r="BC281" s="21">
        <f>BA281/1000000-BB281</f>
        <v/>
      </c>
      <c r="BD281" s="22">
        <f>BA281*44.99</f>
        <v/>
      </c>
    </row>
    <row r="282">
      <c r="A282" s="10" t="n">
        <v>45904</v>
      </c>
      <c r="B282" s="11" t="n">
        <v>9353334458.860628</v>
      </c>
      <c r="C282" s="11" t="n"/>
      <c r="D282" s="11" t="n">
        <v>304771297</v>
      </c>
      <c r="E282" s="11" t="n"/>
      <c r="M282" s="22">
        <f>Z282/(1-R282)</f>
        <v/>
      </c>
      <c r="N282" s="11" t="n"/>
      <c r="O282" s="11" t="n">
        <v>141848</v>
      </c>
      <c r="P282" s="11" t="n"/>
      <c r="Q282" s="22">
        <f>M282+N282+O282+P282</f>
        <v/>
      </c>
      <c r="R282" s="12" t="n">
        <v>0.01</v>
      </c>
      <c r="S282" s="22">
        <f>M282*R282</f>
        <v/>
      </c>
      <c r="T282" s="22">
        <f>N282*R282</f>
        <v/>
      </c>
      <c r="U282" s="22">
        <f>(O282-V282)*R282</f>
        <v/>
      </c>
      <c r="V282" s="11" t="n">
        <v>32650</v>
      </c>
      <c r="W282" s="11" t="n"/>
      <c r="X282" s="22">
        <f>S282+T282+U282+V282+W282</f>
        <v/>
      </c>
      <c r="Y282" s="11" t="n"/>
      <c r="Z282" s="22">
        <f>AE282-AB282-AA282-AC282</f>
        <v/>
      </c>
      <c r="AA282" s="22">
        <f>N282-T282-W282</f>
        <v/>
      </c>
      <c r="AB282" s="22">
        <f>O282-V282-U282</f>
        <v/>
      </c>
      <c r="AC282" s="22">
        <f>P282</f>
        <v/>
      </c>
      <c r="AD282" s="23">
        <f>Z282+AA282+AB282+AC282</f>
        <v/>
      </c>
      <c r="AE282" s="11" t="n">
        <v>2588476.63511</v>
      </c>
      <c r="AF282" s="24">
        <f>AD282-AE282</f>
        <v/>
      </c>
      <c r="AG282" s="13">
        <f>IF(OR(B282="",B282=0,M282=""),"",M282/B282*10000)</f>
        <v/>
      </c>
      <c r="AH282" s="13">
        <f>IF(OR(C282="",C282=0),"",N282/C282*10000)</f>
        <v/>
      </c>
      <c r="AI282" s="13">
        <f>IF(OR(D282="",D282=0),"",O282/D282*10000)</f>
        <v/>
      </c>
      <c r="AJ282" s="11" t="n">
        <v>20973.83293150496</v>
      </c>
      <c r="AK282" s="11" t="n">
        <v>23483.66</v>
      </c>
      <c r="AL282" s="22">
        <f>AE282+AJ282+AK282</f>
        <v/>
      </c>
      <c r="AM282" s="22">
        <f>AE282</f>
        <v/>
      </c>
      <c r="AN282" s="14" t="n">
        <v>56982.19</v>
      </c>
      <c r="AO282" s="15" t="n">
        <v>45.42606444417107</v>
      </c>
      <c r="AP282" s="14" t="n">
        <v>30386453.73</v>
      </c>
      <c r="AQ282" s="14" t="n">
        <v>26579.8812</v>
      </c>
      <c r="AR282" s="14" t="n">
        <v>500.6941</v>
      </c>
      <c r="AS282" s="14" t="n"/>
      <c r="AT282" s="16" t="n">
        <v>430.5215475963968</v>
      </c>
      <c r="AU282" s="17" t="n">
        <v>0.0213394641</v>
      </c>
      <c r="AV282" s="14" t="n">
        <v>421513266.469</v>
      </c>
      <c r="AW282" s="18" t="n">
        <v>60100000</v>
      </c>
      <c r="AX282" s="19" t="n">
        <v>30386453.73</v>
      </c>
      <c r="AY282" s="18" t="n">
        <v>3100000</v>
      </c>
      <c r="AZ282" s="18">
        <f>1000000000-999612767.8173</f>
        <v/>
      </c>
      <c r="BA282" s="20">
        <f>1000000000-AV282-AW282-AX282-AY282-AZ282</f>
        <v/>
      </c>
      <c r="BB282" s="21" t="n">
        <v>244.9</v>
      </c>
      <c r="BC282" s="21">
        <f>BA282/1000000-BB282</f>
        <v/>
      </c>
      <c r="BD282" s="22">
        <f>BA282*45.78</f>
        <v/>
      </c>
    </row>
    <row r="283">
      <c r="A283" s="10" t="n">
        <v>45905</v>
      </c>
      <c r="B283" s="11" t="n">
        <v>13297495996.65089</v>
      </c>
      <c r="C283" s="11" t="n"/>
      <c r="D283" s="11" t="n">
        <v>461258458</v>
      </c>
      <c r="E283" s="11" t="n"/>
      <c r="M283" s="22">
        <f>Z283/(1-R283)</f>
        <v/>
      </c>
      <c r="N283" s="11" t="n"/>
      <c r="O283" s="11" t="n">
        <v>202138</v>
      </c>
      <c r="P283" s="11" t="n"/>
      <c r="Q283" s="22">
        <f>M283+N283+O283+P283</f>
        <v/>
      </c>
      <c r="R283" s="12" t="n">
        <v>0.01</v>
      </c>
      <c r="S283" s="22">
        <f>M283*R283</f>
        <v/>
      </c>
      <c r="T283" s="22">
        <f>N283*R283</f>
        <v/>
      </c>
      <c r="U283" s="22">
        <f>(O283-V283)*R283</f>
        <v/>
      </c>
      <c r="V283" s="11" t="n">
        <v>48403</v>
      </c>
      <c r="W283" s="11" t="n"/>
      <c r="X283" s="22">
        <f>S283+T283+U283+V283+W283</f>
        <v/>
      </c>
      <c r="Y283" s="11" t="n"/>
      <c r="Z283" s="22">
        <f>AE283-AB283-AA283-AC283</f>
        <v/>
      </c>
      <c r="AA283" s="22">
        <f>N283-T283-W283</f>
        <v/>
      </c>
      <c r="AB283" s="22">
        <f>O283-V283-U283</f>
        <v/>
      </c>
      <c r="AC283" s="22">
        <f>P283</f>
        <v/>
      </c>
      <c r="AD283" s="23">
        <f>Z283+AA283+AB283+AC283</f>
        <v/>
      </c>
      <c r="AE283" s="11" t="n">
        <v>3390576.2696</v>
      </c>
      <c r="AF283" s="24">
        <f>AD283-AE283</f>
        <v/>
      </c>
      <c r="AG283" s="13">
        <f>IF(OR(B283="",B283=0,M283=""),"",M283/B283*10000)</f>
        <v/>
      </c>
      <c r="AH283" s="13">
        <f>IF(OR(C283="",C283=0),"",N283/C283*10000)</f>
        <v/>
      </c>
      <c r="AI283" s="13">
        <f>IF(OR(D283="",D283=0),"",O283/D283*10000)</f>
        <v/>
      </c>
      <c r="AJ283" s="11" t="n">
        <v>33820.50239822755</v>
      </c>
      <c r="AK283" s="11" t="n">
        <v>0</v>
      </c>
      <c r="AL283" s="22">
        <f>AE283+AJ283+AK283</f>
        <v/>
      </c>
      <c r="AM283" s="22">
        <f>AE283</f>
        <v/>
      </c>
      <c r="AN283" s="14" t="n">
        <v>72961.84</v>
      </c>
      <c r="AO283" s="15" t="n">
        <v>46.47054226702616</v>
      </c>
      <c r="AP283" s="14" t="n">
        <v>30459239.27</v>
      </c>
      <c r="AQ283" s="14" t="n">
        <v>26477.5564</v>
      </c>
      <c r="AR283" s="14" t="n">
        <v>922.0321</v>
      </c>
      <c r="AS283" s="14" t="n"/>
      <c r="AT283" s="16" t="n">
        <v>430.2896574823366</v>
      </c>
      <c r="AU283" s="17" t="n">
        <v>0.0213451469</v>
      </c>
      <c r="AV283" s="14" t="n">
        <v>421486788.9126</v>
      </c>
      <c r="AW283" s="18" t="n">
        <v>60100000</v>
      </c>
      <c r="AX283" s="19" t="n">
        <v>30459239.27</v>
      </c>
      <c r="AY283" s="18" t="n">
        <v>3100000</v>
      </c>
      <c r="AZ283" s="18">
        <f>1000000000-999611845.7852</f>
        <v/>
      </c>
      <c r="BA283" s="20">
        <f>1000000000-AV283-AW283-AX283-AY283-AZ283</f>
        <v/>
      </c>
      <c r="BB283" s="21" t="n">
        <v>244.9</v>
      </c>
      <c r="BC283" s="21">
        <f>BA283/1000000-BB283</f>
        <v/>
      </c>
      <c r="BD283" s="22">
        <f>BA283*45.37</f>
        <v/>
      </c>
    </row>
    <row r="284">
      <c r="A284" s="10" t="n">
        <v>45906</v>
      </c>
      <c r="B284" s="11" t="n">
        <v>3331797735.063243</v>
      </c>
      <c r="C284" s="11" t="n"/>
      <c r="D284" s="11" t="n">
        <v>213962466</v>
      </c>
      <c r="E284" s="11" t="n"/>
      <c r="M284" s="22">
        <f>Z284/(1-R284)</f>
        <v/>
      </c>
      <c r="N284" s="11" t="n"/>
      <c r="O284" s="11" t="n">
        <v>113097</v>
      </c>
      <c r="P284" s="11" t="n"/>
      <c r="Q284" s="22">
        <f>M284+N284+O284+P284</f>
        <v/>
      </c>
      <c r="R284" s="12" t="n">
        <v>0.01</v>
      </c>
      <c r="S284" s="22">
        <f>M284*R284</f>
        <v/>
      </c>
      <c r="T284" s="22">
        <f>N284*R284</f>
        <v/>
      </c>
      <c r="U284" s="22">
        <f>(O284-V284)*R284</f>
        <v/>
      </c>
      <c r="V284" s="11" t="n">
        <v>25656</v>
      </c>
      <c r="W284" s="11" t="n"/>
      <c r="X284" s="22">
        <f>S284+T284+U284+V284+W284</f>
        <v/>
      </c>
      <c r="Y284" s="11" t="n"/>
      <c r="Z284" s="22">
        <f>AE284-AB284-AA284-AC284</f>
        <v/>
      </c>
      <c r="AA284" s="22">
        <f>N284-T284-W284</f>
        <v/>
      </c>
      <c r="AB284" s="22">
        <f>O284-V284-U284</f>
        <v/>
      </c>
      <c r="AC284" s="22">
        <f>P284</f>
        <v/>
      </c>
      <c r="AD284" s="23">
        <f>Z284+AA284+AB284+AC284</f>
        <v/>
      </c>
      <c r="AE284" s="11" t="n">
        <v>996785.99767</v>
      </c>
      <c r="AF284" s="24">
        <f>AD284-AE284</f>
        <v/>
      </c>
      <c r="AG284" s="13">
        <f>IF(OR(B284="",B284=0,M284=""),"",M284/B284*10000)</f>
        <v/>
      </c>
      <c r="AH284" s="13">
        <f>IF(OR(C284="",C284=0),"",N284/C284*10000)</f>
        <v/>
      </c>
      <c r="AI284" s="13">
        <f>IF(OR(D284="",D284=0),"",O284/D284*10000)</f>
        <v/>
      </c>
      <c r="AJ284" s="11" t="n">
        <v>9924.966067739862</v>
      </c>
      <c r="AK284" s="11" t="n">
        <v>26595.36</v>
      </c>
      <c r="AL284" s="22">
        <f>AE284+AJ284+AK284</f>
        <v/>
      </c>
      <c r="AM284" s="22">
        <f>AE284</f>
        <v/>
      </c>
      <c r="AN284" s="14" t="n">
        <v>21417.47</v>
      </c>
      <c r="AO284" s="15" t="n">
        <v>46.54079112378819</v>
      </c>
      <c r="AP284" s="14" t="n">
        <v>30480656.74</v>
      </c>
      <c r="AQ284" s="14" t="n">
        <v>26466.1282</v>
      </c>
      <c r="AR284" s="14" t="n">
        <v>660.0802</v>
      </c>
      <c r="AS284" s="14" t="n"/>
      <c r="AT284" s="16" t="n">
        <v>432.4253322695328</v>
      </c>
      <c r="AU284" s="17" t="n">
        <v>0.0212929806</v>
      </c>
      <c r="AV284" s="14" t="n">
        <v>421460322.7843</v>
      </c>
      <c r="AW284" s="18" t="n">
        <v>60100000</v>
      </c>
      <c r="AX284" s="19" t="n">
        <v>30480656.74</v>
      </c>
      <c r="AY284" s="18" t="n">
        <v>3100000</v>
      </c>
      <c r="AZ284" s="18">
        <f>1000000000-999611185.705</f>
        <v/>
      </c>
      <c r="BA284" s="20">
        <f>1000000000-AV284-AW284-AX284-AY284-AZ284</f>
        <v/>
      </c>
      <c r="BB284" s="21" t="n">
        <v>244.9</v>
      </c>
      <c r="BC284" s="21">
        <f>BA284/1000000-BB284</f>
        <v/>
      </c>
      <c r="BD284" s="22">
        <f>BA284*47.44</f>
        <v/>
      </c>
    </row>
    <row r="285">
      <c r="A285" s="10" t="n">
        <v>45907</v>
      </c>
      <c r="B285" s="11" t="n">
        <v>3844405859.281347</v>
      </c>
      <c r="C285" s="11" t="n"/>
      <c r="D285" s="11" t="n">
        <v>238668985</v>
      </c>
      <c r="E285" s="11" t="n"/>
      <c r="M285" s="22">
        <f>Z285/(1-R285)</f>
        <v/>
      </c>
      <c r="N285" s="11" t="n"/>
      <c r="O285" s="11" t="n">
        <v>140516</v>
      </c>
      <c r="P285" s="11" t="n"/>
      <c r="Q285" s="22">
        <f>M285+N285+O285+P285</f>
        <v/>
      </c>
      <c r="R285" s="12" t="n">
        <v>0.01</v>
      </c>
      <c r="S285" s="22">
        <f>M285*R285</f>
        <v/>
      </c>
      <c r="T285" s="22">
        <f>N285*R285</f>
        <v/>
      </c>
      <c r="U285" s="22">
        <f>(O285-V285)*R285</f>
        <v/>
      </c>
      <c r="V285" s="11" t="n">
        <v>32316</v>
      </c>
      <c r="W285" s="11" t="n"/>
      <c r="X285" s="22">
        <f>S285+T285+U285+V285+W285</f>
        <v/>
      </c>
      <c r="Y285" s="11" t="n"/>
      <c r="Z285" s="22">
        <f>AE285-AB285-AA285-AC285</f>
        <v/>
      </c>
      <c r="AA285" s="22">
        <f>N285-T285-W285</f>
        <v/>
      </c>
      <c r="AB285" s="22">
        <f>O285-V285-U285</f>
        <v/>
      </c>
      <c r="AC285" s="22">
        <f>P285</f>
        <v/>
      </c>
      <c r="AD285" s="23">
        <f>Z285+AA285+AB285+AC285</f>
        <v/>
      </c>
      <c r="AE285" s="11" t="n">
        <v>1076047.8964</v>
      </c>
      <c r="AF285" s="24">
        <f>AD285-AE285</f>
        <v/>
      </c>
      <c r="AG285" s="13">
        <f>IF(OR(B285="",B285=0,M285=""),"",M285/B285*10000)</f>
        <v/>
      </c>
      <c r="AH285" s="13">
        <f>IF(OR(C285="",C285=0),"",N285/C285*10000)</f>
        <v/>
      </c>
      <c r="AI285" s="13">
        <f>IF(OR(D285="",D285=0),"",O285/D285*10000)</f>
        <v/>
      </c>
      <c r="AJ285" s="11" t="n">
        <v>10078.66332137399</v>
      </c>
      <c r="AK285" s="11" t="n">
        <v>0</v>
      </c>
      <c r="AL285" s="22">
        <f>AE285+AJ285+AK285</f>
        <v/>
      </c>
      <c r="AM285" s="22">
        <f>AE285</f>
        <v/>
      </c>
      <c r="AN285" s="14" t="n">
        <v>22861.04</v>
      </c>
      <c r="AO285" s="15" t="n">
        <v>47.06907019103242</v>
      </c>
      <c r="AP285" s="14" t="n">
        <v>30503517.78</v>
      </c>
      <c r="AQ285" s="14" t="n">
        <v>26495.0245</v>
      </c>
      <c r="AR285" s="14" t="n">
        <v>869.383</v>
      </c>
      <c r="AS285" s="14" t="n"/>
      <c r="AT285" s="16" t="n">
        <v>432.5190954382447</v>
      </c>
      <c r="AU285" s="17" t="n">
        <v>0.0212906991</v>
      </c>
      <c r="AV285" s="14" t="n">
        <v>421433827.7598</v>
      </c>
      <c r="AW285" s="18" t="n">
        <v>60100000</v>
      </c>
      <c r="AX285" s="19" t="n">
        <v>30503517.78</v>
      </c>
      <c r="AY285" s="18" t="n">
        <v>3100000</v>
      </c>
      <c r="AZ285" s="18">
        <f>1000000000-999610316.322</f>
        <v/>
      </c>
      <c r="BA285" s="20">
        <f>1000000000-AV285-AW285-AX285-AY285-AZ285</f>
        <v/>
      </c>
      <c r="BB285" s="21" t="n">
        <v>244.9</v>
      </c>
      <c r="BC285" s="21">
        <f>BA285/1000000-BB285</f>
        <v/>
      </c>
      <c r="BD285" s="22">
        <f>BA285*46.2</f>
        <v/>
      </c>
    </row>
    <row r="286">
      <c r="A286" s="10" t="n">
        <v>45908</v>
      </c>
      <c r="B286" s="11" t="n">
        <v>9243638471.371004</v>
      </c>
      <c r="C286" s="11" t="n"/>
      <c r="D286" s="11" t="n">
        <v>557899557</v>
      </c>
      <c r="E286" s="11" t="n"/>
      <c r="M286" s="22">
        <f>Z286/(1-R286)</f>
        <v/>
      </c>
      <c r="N286" s="11" t="n"/>
      <c r="O286" s="11" t="n">
        <v>273056</v>
      </c>
      <c r="P286" s="11" t="n"/>
      <c r="Q286" s="22">
        <f>M286+N286+O286+P286</f>
        <v/>
      </c>
      <c r="R286" s="12" t="n">
        <v>0.01</v>
      </c>
      <c r="S286" s="22">
        <f>M286*R286</f>
        <v/>
      </c>
      <c r="T286" s="22">
        <f>N286*R286</f>
        <v/>
      </c>
      <c r="U286" s="22">
        <f>(O286-V286)*R286</f>
        <v/>
      </c>
      <c r="V286" s="11" t="n">
        <v>53332</v>
      </c>
      <c r="W286" s="11" t="n"/>
      <c r="X286" s="22">
        <f>S286+T286+U286+V286+W286</f>
        <v/>
      </c>
      <c r="Y286" s="11" t="n"/>
      <c r="Z286" s="22">
        <f>AE286-AB286-AA286-AC286</f>
        <v/>
      </c>
      <c r="AA286" s="22">
        <f>N286-T286-W286</f>
        <v/>
      </c>
      <c r="AB286" s="22">
        <f>O286-V286-U286</f>
        <v/>
      </c>
      <c r="AC286" s="22">
        <f>P286</f>
        <v/>
      </c>
      <c r="AD286" s="23">
        <f>Z286+AA286+AB286+AC286</f>
        <v/>
      </c>
      <c r="AE286" s="11" t="n">
        <v>2646828.64244</v>
      </c>
      <c r="AF286" s="24">
        <f>AD286-AE286</f>
        <v/>
      </c>
      <c r="AG286" s="13">
        <f>IF(OR(B286="",B286=0,M286=""),"",M286/B286*10000)</f>
        <v/>
      </c>
      <c r="AH286" s="13">
        <f>IF(OR(C286="",C286=0),"",N286/C286*10000)</f>
        <v/>
      </c>
      <c r="AI286" s="13">
        <f>IF(OR(D286="",D286=0),"",O286/D286*10000)</f>
        <v/>
      </c>
      <c r="AJ286" s="11" t="n">
        <v>30522.43348773766</v>
      </c>
      <c r="AK286" s="11" t="n">
        <v>23586.38</v>
      </c>
      <c r="AL286" s="22">
        <f>AE286+AJ286+AK286</f>
        <v/>
      </c>
      <c r="AM286" s="22">
        <f>AE286</f>
        <v/>
      </c>
      <c r="AN286" s="14" t="n">
        <v>52527.18</v>
      </c>
      <c r="AO286" s="15" t="n">
        <v>50.3896961999483</v>
      </c>
      <c r="AP286" s="14" t="n">
        <v>30556044.96</v>
      </c>
      <c r="AQ286" s="14" t="n">
        <v>26585.8381</v>
      </c>
      <c r="AR286" s="14" t="n">
        <v>393.8362</v>
      </c>
      <c r="AS286" s="14" t="n"/>
      <c r="AT286" s="16" t="n">
        <v>432.9869773736834</v>
      </c>
      <c r="AU286" s="17" t="n">
        <v>0.0212793254</v>
      </c>
      <c r="AV286" s="14" t="n">
        <v>421407241.9218</v>
      </c>
      <c r="AW286" s="18" t="n">
        <v>60100000</v>
      </c>
      <c r="AX286" s="19" t="n">
        <v>30556044.96</v>
      </c>
      <c r="AY286" s="18" t="n">
        <v>3100000</v>
      </c>
      <c r="AZ286" s="18">
        <f>1000000000-999609922.4858</f>
        <v/>
      </c>
      <c r="BA286" s="20">
        <f>1000000000-AV286-AW286-AX286-AY286-AZ286</f>
        <v/>
      </c>
      <c r="BB286" s="21" t="n">
        <v>244.9</v>
      </c>
      <c r="BC286" s="21">
        <f>BA286/1000000-BB286</f>
        <v/>
      </c>
      <c r="BD286" s="22">
        <f>BA286*47.08</f>
        <v/>
      </c>
    </row>
    <row r="287">
      <c r="A287" s="10" t="n">
        <v>45909</v>
      </c>
      <c r="B287" s="11" t="n">
        <v>10021381731.79487</v>
      </c>
      <c r="C287" s="11" t="n"/>
      <c r="D287" s="11" t="n">
        <v>709494359</v>
      </c>
      <c r="E287" s="11" t="n"/>
      <c r="M287" s="22">
        <f>Z287/(1-R287)</f>
        <v/>
      </c>
      <c r="N287" s="11" t="n"/>
      <c r="O287" s="11" t="n">
        <v>413034</v>
      </c>
      <c r="P287" s="11" t="n"/>
      <c r="Q287" s="22">
        <f>M287+N287+O287+P287</f>
        <v/>
      </c>
      <c r="R287" s="12" t="n">
        <v>0.01</v>
      </c>
      <c r="S287" s="22">
        <f>M287*R287</f>
        <v/>
      </c>
      <c r="T287" s="22">
        <f>N287*R287</f>
        <v/>
      </c>
      <c r="U287" s="22">
        <f>(O287-V287)*R287</f>
        <v/>
      </c>
      <c r="V287" s="11" t="n">
        <v>66919</v>
      </c>
      <c r="W287" s="11" t="n"/>
      <c r="X287" s="22">
        <f>S287+T287+U287+V287+W287</f>
        <v/>
      </c>
      <c r="Y287" s="11" t="n"/>
      <c r="Z287" s="22">
        <f>AE287-AB287-AA287-AC287</f>
        <v/>
      </c>
      <c r="AA287" s="22">
        <f>N287-T287-W287</f>
        <v/>
      </c>
      <c r="AB287" s="22">
        <f>O287-V287-U287</f>
        <v/>
      </c>
      <c r="AC287" s="22">
        <f>P287</f>
        <v/>
      </c>
      <c r="AD287" s="23">
        <f>Z287+AA287+AB287+AC287</f>
        <v/>
      </c>
      <c r="AE287" s="11" t="n">
        <v>2868805.13371</v>
      </c>
      <c r="AF287" s="24">
        <f>AD287-AE287</f>
        <v/>
      </c>
      <c r="AG287" s="13">
        <f>IF(OR(B287="",B287=0,M287=""),"",M287/B287*10000)</f>
        <v/>
      </c>
      <c r="AH287" s="13">
        <f>IF(OR(C287="",C287=0),"",N287/C287*10000)</f>
        <v/>
      </c>
      <c r="AI287" s="13">
        <f>IF(OR(D287="",D287=0),"",O287/D287*10000)</f>
        <v/>
      </c>
      <c r="AJ287" s="11" t="n">
        <v>44114.14466879103</v>
      </c>
      <c r="AK287" s="11" t="n">
        <v>32581.41</v>
      </c>
      <c r="AL287" s="22">
        <f>AE287+AJ287+AK287</f>
        <v/>
      </c>
      <c r="AM287" s="22">
        <f>AE287</f>
        <v/>
      </c>
      <c r="AN287" s="14" t="n">
        <v>53818.18</v>
      </c>
      <c r="AO287" s="15" t="n">
        <v>53.30550259614874</v>
      </c>
      <c r="AP287" s="14" t="n">
        <v>30609863.14</v>
      </c>
      <c r="AQ287" s="14" t="n">
        <v>26573.7835</v>
      </c>
      <c r="AR287" s="14" t="n">
        <v>1758.4763</v>
      </c>
      <c r="AS287" s="14" t="n"/>
      <c r="AT287" s="16" t="n">
        <v>431.8131011103935</v>
      </c>
      <c r="AU287" s="17" t="n">
        <v>0.021379944</v>
      </c>
      <c r="AV287" s="14" t="n">
        <v>421380668.1382</v>
      </c>
      <c r="AW287" s="18" t="n">
        <v>60100000</v>
      </c>
      <c r="AX287" s="19" t="n">
        <v>30609863.14</v>
      </c>
      <c r="AY287" s="18" t="n">
        <v>3100000</v>
      </c>
      <c r="AZ287" s="18">
        <f>1000000000-999608164.0095</f>
        <v/>
      </c>
      <c r="BA287" s="20">
        <f>1000000000-AV287-AW287-AX287-AY287-AZ287</f>
        <v/>
      </c>
      <c r="BB287" s="21" t="n">
        <v>244.9</v>
      </c>
      <c r="BC287" s="21">
        <f>BA287/1000000-BB287</f>
        <v/>
      </c>
      <c r="BD287" s="22">
        <f>BA287*50.83</f>
        <v/>
      </c>
    </row>
    <row r="288">
      <c r="A288" s="10" t="n">
        <v>45910</v>
      </c>
      <c r="B288" s="11" t="n">
        <v>10548513640.86533</v>
      </c>
      <c r="C288" s="11" t="n"/>
      <c r="D288" s="11" t="n">
        <v>713998161</v>
      </c>
      <c r="E288" s="11" t="n"/>
      <c r="M288" s="22">
        <f>Z288/(1-R288)</f>
        <v/>
      </c>
      <c r="N288" s="11" t="n"/>
      <c r="O288" s="11" t="n">
        <v>460271</v>
      </c>
      <c r="P288" s="11" t="n"/>
      <c r="Q288" s="22">
        <f>M288+N288+O288+P288</f>
        <v/>
      </c>
      <c r="R288" s="12" t="n">
        <v>0.01</v>
      </c>
      <c r="S288" s="22">
        <f>M288*R288</f>
        <v/>
      </c>
      <c r="T288" s="22">
        <f>N288*R288</f>
        <v/>
      </c>
      <c r="U288" s="22">
        <f>(O288-V288)*R288</f>
        <v/>
      </c>
      <c r="V288" s="11" t="n">
        <v>104545</v>
      </c>
      <c r="W288" s="11" t="n"/>
      <c r="X288" s="22">
        <f>S288+T288+U288+V288+W288</f>
        <v/>
      </c>
      <c r="Y288" s="11" t="n"/>
      <c r="Z288" s="22">
        <f>AE288-AB288-AA288-AC288</f>
        <v/>
      </c>
      <c r="AA288" s="22">
        <f>N288-T288-W288</f>
        <v/>
      </c>
      <c r="AB288" s="22">
        <f>O288-V288-U288</f>
        <v/>
      </c>
      <c r="AC288" s="22">
        <f>P288</f>
        <v/>
      </c>
      <c r="AD288" s="23">
        <f>Z288+AA288+AB288+AC288</f>
        <v/>
      </c>
      <c r="AE288" s="11" t="n">
        <v>3110976.397</v>
      </c>
      <c r="AF288" s="24">
        <f>AD288-AE288</f>
        <v/>
      </c>
      <c r="AG288" s="13">
        <f>IF(OR(B288="",B288=0,M288=""),"",M288/B288*10000)</f>
        <v/>
      </c>
      <c r="AH288" s="13">
        <f>IF(OR(C288="",C288=0),"",N288/C288*10000)</f>
        <v/>
      </c>
      <c r="AI288" s="13">
        <f>IF(OR(D288="",D288=0),"",O288/D288*10000)</f>
        <v/>
      </c>
      <c r="AJ288" s="11" t="n">
        <v>64920.65873867486</v>
      </c>
      <c r="AK288" s="11" t="n">
        <v>0</v>
      </c>
      <c r="AL288" s="22">
        <f>AE288+AJ288+AK288</f>
        <v/>
      </c>
      <c r="AM288" s="22">
        <f>AE288</f>
        <v/>
      </c>
      <c r="AN288" s="14" t="n">
        <v>56960.36</v>
      </c>
      <c r="AO288" s="15" t="n">
        <v>54.61651571373496</v>
      </c>
      <c r="AP288" s="14" t="n">
        <v>30667003.89</v>
      </c>
      <c r="AQ288" s="14" t="n">
        <v>26497.9912</v>
      </c>
      <c r="AR288" s="14" t="n">
        <v>1883.9013</v>
      </c>
      <c r="AS288" s="14" t="n"/>
      <c r="AT288" s="16" t="n">
        <v>433.9676124076906</v>
      </c>
      <c r="AU288" s="17" t="n">
        <v>0.0213274176</v>
      </c>
      <c r="AV288" s="14" t="n">
        <v>421354170.147</v>
      </c>
      <c r="AW288" s="18" t="n">
        <v>60100000</v>
      </c>
      <c r="AX288" s="19" t="n">
        <v>30667003.89</v>
      </c>
      <c r="AY288" s="18" t="n">
        <v>3100000</v>
      </c>
      <c r="AZ288" s="18">
        <f>1000000000-999606280.1082</f>
        <v/>
      </c>
      <c r="BA288" s="20">
        <f>1000000000-AV288-AW288-AX288-AY288-AZ288</f>
        <v/>
      </c>
      <c r="BB288" s="21" t="n">
        <v>244.9</v>
      </c>
      <c r="BC288" s="21">
        <f>BA288/1000000-BB288</f>
        <v/>
      </c>
      <c r="BD288" s="22">
        <f>BA288*53</f>
        <v/>
      </c>
    </row>
    <row r="289">
      <c r="A289" s="10" t="n">
        <v>45911</v>
      </c>
      <c r="B289" s="11" t="n">
        <v>10439854514.59675</v>
      </c>
      <c r="C289" s="11" t="n"/>
      <c r="D289" s="11" t="n">
        <v>1143011983</v>
      </c>
      <c r="E289" s="11" t="n"/>
      <c r="M289" s="22">
        <f>Z289/(1-R289)</f>
        <v/>
      </c>
      <c r="N289" s="11" t="n"/>
      <c r="O289" s="11" t="n">
        <v>877218</v>
      </c>
      <c r="P289" s="11" t="n"/>
      <c r="Q289" s="22">
        <f>M289+N289+O289+P289</f>
        <v/>
      </c>
      <c r="R289" s="12" t="n">
        <v>0.01</v>
      </c>
      <c r="S289" s="22">
        <f>M289*R289</f>
        <v/>
      </c>
      <c r="T289" s="22">
        <f>N289*R289</f>
        <v/>
      </c>
      <c r="U289" s="22">
        <f>(O289-V289)*R289</f>
        <v/>
      </c>
      <c r="V289" s="11" t="n">
        <v>195389</v>
      </c>
      <c r="W289" s="11" t="n"/>
      <c r="X289" s="22">
        <f>S289+T289+U289+V289+W289</f>
        <v/>
      </c>
      <c r="Y289" s="11" t="n"/>
      <c r="Z289" s="22">
        <f>AE289-AB289-AA289-AC289</f>
        <v/>
      </c>
      <c r="AA289" s="22">
        <f>N289-T289-W289</f>
        <v/>
      </c>
      <c r="AB289" s="22">
        <f>O289-V289-U289</f>
        <v/>
      </c>
      <c r="AC289" s="22">
        <f>P289</f>
        <v/>
      </c>
      <c r="AD289" s="23">
        <f>Z289+AA289+AB289+AC289</f>
        <v/>
      </c>
      <c r="AE289" s="11" t="n">
        <v>2776718.36674</v>
      </c>
      <c r="AF289" s="24">
        <f>AD289-AE289</f>
        <v/>
      </c>
      <c r="AG289" s="13">
        <f>IF(OR(B289="",B289=0,M289=""),"",M289/B289*10000)</f>
        <v/>
      </c>
      <c r="AH289" s="13">
        <f>IF(OR(C289="",C289=0),"",N289/C289*10000)</f>
        <v/>
      </c>
      <c r="AI289" s="13">
        <f>IF(OR(D289="",D289=0),"",O289/D289*10000)</f>
        <v/>
      </c>
      <c r="AJ289" s="11" t="n">
        <v>49875.71239998077</v>
      </c>
      <c r="AK289" s="11" t="n">
        <v>38608.58</v>
      </c>
      <c r="AL289" s="22">
        <f>AE289+AJ289+AK289</f>
        <v/>
      </c>
      <c r="AM289" s="22">
        <f>AE289</f>
        <v/>
      </c>
      <c r="AN289" s="14" t="n">
        <v>50755.36</v>
      </c>
      <c r="AO289" s="15" t="n">
        <v>54.70788438383651</v>
      </c>
      <c r="AP289" s="14" t="n">
        <v>30717578.86</v>
      </c>
      <c r="AQ289" s="14" t="n">
        <v>26585.6629</v>
      </c>
      <c r="AR289" s="14" t="n">
        <v>962.3786</v>
      </c>
      <c r="AS289" s="14" t="n"/>
      <c r="AT289" s="16" t="n">
        <v>432.8191832770952</v>
      </c>
      <c r="AU289" s="17" t="n">
        <v>0.0213553676</v>
      </c>
      <c r="AV289" s="14" t="n">
        <v>421327584.4842</v>
      </c>
      <c r="AW289" s="18" t="n">
        <v>60100000</v>
      </c>
      <c r="AX289" s="19" t="n">
        <v>30717578.86</v>
      </c>
      <c r="AY289" s="18" t="n">
        <v>3100000</v>
      </c>
      <c r="AZ289" s="18">
        <f>1000000000-999605317.7296</f>
        <v/>
      </c>
      <c r="BA289" s="20">
        <f>1000000000-AV289-AW289-AX289-AY289-AZ289</f>
        <v/>
      </c>
      <c r="BB289" s="21" t="n">
        <v>244.9</v>
      </c>
      <c r="BC289" s="21">
        <f>BA289/1000000-BB289</f>
        <v/>
      </c>
      <c r="BD289" s="22">
        <f>BA289*55.69</f>
        <v/>
      </c>
    </row>
    <row r="290">
      <c r="A290" s="10" t="n">
        <v>45912</v>
      </c>
      <c r="B290" s="11" t="n">
        <v>11233080580.32552</v>
      </c>
      <c r="C290" s="11" t="n"/>
      <c r="D290" s="11" t="n">
        <v>1074889163</v>
      </c>
      <c r="E290" s="11" t="n"/>
      <c r="M290" s="22">
        <f>Z290/(1-R290)</f>
        <v/>
      </c>
      <c r="N290" s="11" t="n"/>
      <c r="O290" s="11" t="n">
        <v>932625</v>
      </c>
      <c r="P290" s="11" t="n"/>
      <c r="Q290" s="22">
        <f>M290+N290+O290+P290</f>
        <v/>
      </c>
      <c r="R290" s="12" t="n">
        <v>0.01</v>
      </c>
      <c r="S290" s="22">
        <f>M290*R290</f>
        <v/>
      </c>
      <c r="T290" s="22">
        <f>N290*R290</f>
        <v/>
      </c>
      <c r="U290" s="22">
        <f>(O290-V290)*R290</f>
        <v/>
      </c>
      <c r="V290" s="11" t="n">
        <v>205612</v>
      </c>
      <c r="W290" s="11" t="n"/>
      <c r="X290" s="22">
        <f>S290+T290+U290+V290+W290</f>
        <v/>
      </c>
      <c r="Y290" s="11" t="n"/>
      <c r="Z290" s="22">
        <f>AE290-AB290-AA290-AC290</f>
        <v/>
      </c>
      <c r="AA290" s="22">
        <f>N290-T290-W290</f>
        <v/>
      </c>
      <c r="AB290" s="22">
        <f>O290-V290-U290</f>
        <v/>
      </c>
      <c r="AC290" s="22">
        <f>P290</f>
        <v/>
      </c>
      <c r="AD290" s="23">
        <f>Z290+AA290+AB290+AC290</f>
        <v/>
      </c>
      <c r="AE290" s="11" t="n">
        <v>3886527.32367</v>
      </c>
      <c r="AF290" s="24">
        <f>AD290-AE290</f>
        <v/>
      </c>
      <c r="AG290" s="13">
        <f>IF(OR(B290="",B290=0,M290=""),"",M290/B290*10000)</f>
        <v/>
      </c>
      <c r="AH290" s="13">
        <f>IF(OR(C290="",C290=0),"",N290/C290*10000)</f>
        <v/>
      </c>
      <c r="AI290" s="13">
        <f>IF(OR(D290="",D290=0),"",O290/D290*10000)</f>
        <v/>
      </c>
      <c r="AJ290" s="11" t="n">
        <v>27942.40777418236</v>
      </c>
      <c r="AK290" s="11" t="n">
        <v>40234.03</v>
      </c>
      <c r="AL290" s="22">
        <f>AE290+AJ290+AK290</f>
        <v/>
      </c>
      <c r="AM290" s="22">
        <f>AE290</f>
        <v/>
      </c>
      <c r="AN290" s="14" t="n">
        <v>69085.89999999999</v>
      </c>
      <c r="AO290" s="15" t="n">
        <v>56.25644775084352</v>
      </c>
      <c r="AP290" s="14" t="n">
        <v>30786664.76</v>
      </c>
      <c r="AQ290" s="14" t="n">
        <v>26596.9858</v>
      </c>
      <c r="AR290" s="14" t="n">
        <v>1764.2211</v>
      </c>
      <c r="AS290" s="14" t="n"/>
      <c r="AT290" s="16" t="n">
        <v>433.8444504818268</v>
      </c>
      <c r="AU290" s="17" t="n">
        <v>0.02133040979999999</v>
      </c>
      <c r="AV290" s="14" t="n">
        <v>421300987.4983</v>
      </c>
      <c r="AW290" s="18" t="n">
        <v>60100000</v>
      </c>
      <c r="AX290" s="19" t="n">
        <v>30786664.76</v>
      </c>
      <c r="AY290" s="18" t="n">
        <v>3100000</v>
      </c>
      <c r="AZ290" s="18">
        <f>1000000000-999603553.5085</f>
        <v/>
      </c>
      <c r="BA290" s="20">
        <f>1000000000-AV290-AW290-AX290-AY290-AZ290</f>
        <v/>
      </c>
      <c r="BB290" s="21" t="n">
        <v>244.9</v>
      </c>
      <c r="BC290" s="21">
        <f>BA290/1000000-BB290</f>
        <v/>
      </c>
      <c r="BD290" s="22">
        <f>BA290*56.93</f>
        <v/>
      </c>
    </row>
    <row r="291">
      <c r="A291" s="10" t="n">
        <v>45913</v>
      </c>
      <c r="B291" s="11" t="n">
        <v>7135097960.119803</v>
      </c>
      <c r="C291" s="11" t="n"/>
      <c r="D291" s="11" t="n">
        <v>933188889</v>
      </c>
      <c r="E291" s="11" t="n"/>
      <c r="M291" s="22">
        <f>Z291/(1-R291)</f>
        <v/>
      </c>
      <c r="N291" s="11" t="n"/>
      <c r="O291" s="11" t="n">
        <v>872004</v>
      </c>
      <c r="P291" s="11" t="n"/>
      <c r="Q291" s="22">
        <f>M291+N291+O291+P291</f>
        <v/>
      </c>
      <c r="R291" s="12" t="n">
        <v>0.01</v>
      </c>
      <c r="S291" s="22">
        <f>M291*R291</f>
        <v/>
      </c>
      <c r="T291" s="22">
        <f>N291*R291</f>
        <v/>
      </c>
      <c r="U291" s="22">
        <f>(O291-V291)*R291</f>
        <v/>
      </c>
      <c r="V291" s="11" t="n">
        <v>197528</v>
      </c>
      <c r="W291" s="11" t="n"/>
      <c r="X291" s="22">
        <f>S291+T291+U291+V291+W291</f>
        <v/>
      </c>
      <c r="Y291" s="11" t="n">
        <v>316437.5275</v>
      </c>
      <c r="Z291" s="22">
        <f>AE291-AB291-AA291-AC291</f>
        <v/>
      </c>
      <c r="AA291" s="22">
        <f>N291-T291-W291</f>
        <v/>
      </c>
      <c r="AB291" s="22">
        <f>O291-V291-U291</f>
        <v/>
      </c>
      <c r="AC291" s="22">
        <f>P291</f>
        <v/>
      </c>
      <c r="AD291" s="23">
        <f>Z291+AA291+AB291+AC291</f>
        <v/>
      </c>
      <c r="AE291" s="11" t="n">
        <v>2341465.7437</v>
      </c>
      <c r="AF291" s="24">
        <f>AD291-AE291</f>
        <v/>
      </c>
      <c r="AG291" s="13">
        <f>IF(OR(B291="",B291=0,M291=""),"",M291/B291*10000)</f>
        <v/>
      </c>
      <c r="AH291" s="13">
        <f>IF(OR(C291="",C291=0),"",N291/C291*10000)</f>
        <v/>
      </c>
      <c r="AI291" s="13">
        <f>IF(OR(D291="",D291=0),"",O291/D291*10000)</f>
        <v/>
      </c>
      <c r="AJ291" s="11" t="n">
        <v>27236.93572255552</v>
      </c>
      <c r="AK291" s="11" t="n">
        <v>35238.96</v>
      </c>
      <c r="AL291" s="22">
        <f>AE291+AJ291+AK291</f>
        <v/>
      </c>
      <c r="AM291" s="22">
        <f>AE291</f>
        <v/>
      </c>
      <c r="AN291" s="14" t="n">
        <v>42254.53</v>
      </c>
      <c r="AO291" s="15" t="n">
        <v>55.41336618109349</v>
      </c>
      <c r="AP291" s="14" t="n">
        <v>30828919.29</v>
      </c>
      <c r="AQ291" s="14" t="n">
        <v>26610.6412</v>
      </c>
      <c r="AR291" s="14" t="n">
        <v>1590.6385</v>
      </c>
      <c r="AS291" s="14" t="n"/>
      <c r="AT291" s="16" t="n">
        <v>433.62049140261</v>
      </c>
      <c r="AU291" s="17" t="n">
        <v>0.0213780022</v>
      </c>
      <c r="AV291" s="14" t="n">
        <v>421274376.8571</v>
      </c>
      <c r="AW291" s="18" t="n">
        <v>60100000</v>
      </c>
      <c r="AX291" s="19" t="n">
        <v>30828919.29</v>
      </c>
      <c r="AY291" s="18" t="n">
        <v>3100000</v>
      </c>
      <c r="AZ291" s="18">
        <f>1000000000-999601962.8699</f>
        <v/>
      </c>
      <c r="BA291" s="20">
        <f>1000000000-AV291-AW291-AX291-AY291-AZ291</f>
        <v/>
      </c>
      <c r="BB291" s="21" t="n">
        <v>244.9</v>
      </c>
      <c r="BC291" s="21">
        <f>BA291/1000000-BB291</f>
        <v/>
      </c>
      <c r="BD291" s="22">
        <f>BA291*55.25</f>
        <v/>
      </c>
    </row>
    <row r="292">
      <c r="A292" s="10" t="n">
        <v>45914</v>
      </c>
      <c r="B292" s="11" t="n">
        <v>7351240468.233036</v>
      </c>
      <c r="C292" s="11" t="n"/>
      <c r="D292" s="11" t="n">
        <v>1477956942</v>
      </c>
      <c r="E292" s="11" t="n"/>
      <c r="M292" s="22">
        <f>Z292/(1-R292)</f>
        <v/>
      </c>
      <c r="N292" s="11" t="n"/>
      <c r="O292" s="11" t="n">
        <v>1484929</v>
      </c>
      <c r="P292" s="11" t="n"/>
      <c r="Q292" s="22">
        <f>M292+N292+O292+P292</f>
        <v/>
      </c>
      <c r="R292" s="12" t="n">
        <v>0.01</v>
      </c>
      <c r="S292" s="22">
        <f>M292*R292</f>
        <v/>
      </c>
      <c r="T292" s="22">
        <f>N292*R292</f>
        <v/>
      </c>
      <c r="U292" s="22">
        <f>(O292-V292)*R292</f>
        <v/>
      </c>
      <c r="V292" s="11" t="n">
        <v>295139</v>
      </c>
      <c r="W292" s="11" t="n"/>
      <c r="X292" s="22">
        <f>S292+T292+U292+V292+W292</f>
        <v/>
      </c>
      <c r="Y292" s="11" t="n">
        <v>982990.2657</v>
      </c>
      <c r="Z292" s="22">
        <f>AE292-AB292-AA292-AC292</f>
        <v/>
      </c>
      <c r="AA292" s="22">
        <f>N292-T292-W292</f>
        <v/>
      </c>
      <c r="AB292" s="22">
        <f>O292-V292-U292</f>
        <v/>
      </c>
      <c r="AC292" s="22">
        <f>P292</f>
        <v/>
      </c>
      <c r="AD292" s="23">
        <f>Z292+AA292+AB292+AC292</f>
        <v/>
      </c>
      <c r="AE292" s="11" t="n">
        <v>2440513.66345</v>
      </c>
      <c r="AF292" s="24">
        <f>AD292-AE292</f>
        <v/>
      </c>
      <c r="AG292" s="13">
        <f>IF(OR(B292="",B292=0,M292=""),"",M292/B292*10000)</f>
        <v/>
      </c>
      <c r="AH292" s="13">
        <f>IF(OR(C292="",C292=0),"",N292/C292*10000)</f>
        <v/>
      </c>
      <c r="AI292" s="13">
        <f>IF(OR(D292="",D292=0),"",O292/D292*10000)</f>
        <v/>
      </c>
      <c r="AJ292" s="11" t="n">
        <v>25193.24964935424</v>
      </c>
      <c r="AK292" s="11" t="n">
        <v>69612.11</v>
      </c>
      <c r="AL292" s="22">
        <f>AE292+AJ292+AK292</f>
        <v/>
      </c>
      <c r="AM292" s="22">
        <f>AE292</f>
        <v/>
      </c>
      <c r="AN292" s="14" t="n">
        <v>44985.96</v>
      </c>
      <c r="AO292" s="15" t="n">
        <v>54.25056314125563</v>
      </c>
      <c r="AP292" s="14" t="n">
        <v>30873905.25</v>
      </c>
      <c r="AQ292" s="14" t="n">
        <v>26575.8632</v>
      </c>
      <c r="AR292" s="14" t="n">
        <v>1322.6154</v>
      </c>
      <c r="AS292" s="14" t="n"/>
      <c r="AT292" s="16" t="n">
        <v>433.9853905068979</v>
      </c>
      <c r="AU292" s="17" t="n">
        <v>0.0213691155</v>
      </c>
      <c r="AV292" s="14" t="n">
        <v>421247800.994</v>
      </c>
      <c r="AW292" s="18" t="n">
        <v>60100000</v>
      </c>
      <c r="AX292" s="19" t="n">
        <v>30873905.25</v>
      </c>
      <c r="AY292" s="18" t="n">
        <v>3100000</v>
      </c>
      <c r="AZ292" s="18">
        <f>1000000000-999600640.2546</f>
        <v/>
      </c>
      <c r="BA292" s="20">
        <f>1000000000-AV292-AW292-AX292-AY292-AZ292</f>
        <v/>
      </c>
      <c r="BB292" s="21" t="n">
        <v>244.9</v>
      </c>
      <c r="BC292" s="21">
        <f>BA292/1000000-BB292</f>
        <v/>
      </c>
      <c r="BD292" s="22">
        <f>BA292*54.8</f>
        <v/>
      </c>
    </row>
    <row r="293">
      <c r="A293" s="10" t="n">
        <v>45915</v>
      </c>
      <c r="B293" s="11" t="n">
        <v>10569922363.93654</v>
      </c>
      <c r="C293" s="11" t="n"/>
      <c r="D293" s="11" t="n">
        <v>770683982</v>
      </c>
      <c r="E293" s="11" t="n"/>
      <c r="M293" s="22">
        <f>Z293/(1-R293)</f>
        <v/>
      </c>
      <c r="N293" s="11" t="n"/>
      <c r="O293" s="11" t="n">
        <v>546177</v>
      </c>
      <c r="P293" s="11" t="n"/>
      <c r="Q293" s="22">
        <f>M293+N293+O293+P293</f>
        <v/>
      </c>
      <c r="R293" s="12" t="n">
        <v>0.01</v>
      </c>
      <c r="S293" s="22">
        <f>M293*R293</f>
        <v/>
      </c>
      <c r="T293" s="22">
        <f>N293*R293</f>
        <v/>
      </c>
      <c r="U293" s="22">
        <f>(O293-V293)*R293</f>
        <v/>
      </c>
      <c r="V293" s="11" t="n">
        <v>95656</v>
      </c>
      <c r="W293" s="11" t="n"/>
      <c r="X293" s="22">
        <f>S293+T293+U293+V293+W293</f>
        <v/>
      </c>
      <c r="Y293" s="11" t="n">
        <v>479501.1024</v>
      </c>
      <c r="Z293" s="22">
        <f>AE293-AB293-AA293-AC293</f>
        <v/>
      </c>
      <c r="AA293" s="22">
        <f>N293-T293-W293</f>
        <v/>
      </c>
      <c r="AB293" s="22">
        <f>O293-V293-U293</f>
        <v/>
      </c>
      <c r="AC293" s="22">
        <f>P293</f>
        <v/>
      </c>
      <c r="AD293" s="23">
        <f>Z293+AA293+AB293+AC293</f>
        <v/>
      </c>
      <c r="AE293" s="11" t="n">
        <v>3082934.90493</v>
      </c>
      <c r="AF293" s="24">
        <f>AD293-AE293</f>
        <v/>
      </c>
      <c r="AG293" s="13">
        <f>IF(OR(B293="",B293=0,M293=""),"",M293/B293*10000)</f>
        <v/>
      </c>
      <c r="AH293" s="13">
        <f>IF(OR(C293="",C293=0),"",N293/C293*10000)</f>
        <v/>
      </c>
      <c r="AI293" s="13">
        <f>IF(OR(D293="",D293=0),"",O293/D293*10000)</f>
        <v/>
      </c>
      <c r="AJ293" s="11" t="n">
        <v>39378.1698267149</v>
      </c>
      <c r="AK293" s="11" t="n">
        <v>137023.41</v>
      </c>
      <c r="AL293" s="22">
        <f>AE293+AJ293+AK293</f>
        <v/>
      </c>
      <c r="AM293" s="22">
        <f>AE293</f>
        <v/>
      </c>
      <c r="AN293" s="14" t="n">
        <v>57922.8</v>
      </c>
      <c r="AO293" s="15" t="n">
        <v>53.22489425459405</v>
      </c>
      <c r="AP293" s="14" t="n">
        <v>30933107.91</v>
      </c>
      <c r="AQ293" s="14" t="n">
        <v>26579.8241</v>
      </c>
      <c r="AR293" s="14" t="n">
        <v>2114.4975</v>
      </c>
      <c r="AS293" s="14" t="n"/>
      <c r="AT293" s="16" t="n">
        <v>431.9810640823432</v>
      </c>
      <c r="AU293" s="17" t="n">
        <v>0.0214180613</v>
      </c>
      <c r="AV293" s="14" t="n">
        <v>421221221.1699</v>
      </c>
      <c r="AW293" s="18" t="n">
        <v>60100000</v>
      </c>
      <c r="AX293" s="19" t="n">
        <v>30933107.91</v>
      </c>
      <c r="AY293" s="18" t="n">
        <v>3100000</v>
      </c>
      <c r="AZ293" s="18">
        <f>1000000000-999598525.757</f>
        <v/>
      </c>
      <c r="BA293" s="20">
        <f>1000000000-AV293-AW293-AX293-AY293-AZ293</f>
        <v/>
      </c>
      <c r="BB293" s="21" t="n">
        <v>244.9</v>
      </c>
      <c r="BC293" s="21">
        <f>BA293/1000000-BB293</f>
        <v/>
      </c>
      <c r="BD293" s="22">
        <f>BA293*53.92</f>
        <v/>
      </c>
    </row>
    <row r="294">
      <c r="A294" s="10" t="n">
        <v>45916</v>
      </c>
      <c r="B294" s="11" t="n">
        <v>8683442695.782038</v>
      </c>
      <c r="C294" s="11" t="n"/>
      <c r="D294" s="11" t="n">
        <v>690945291</v>
      </c>
      <c r="E294" s="11" t="n"/>
      <c r="M294" s="22">
        <f>Z294/(1-R294)</f>
        <v/>
      </c>
      <c r="N294" s="11" t="n"/>
      <c r="O294" s="11" t="n">
        <v>513550</v>
      </c>
      <c r="P294" s="11" t="n"/>
      <c r="Q294" s="22">
        <f>M294+N294+O294+P294</f>
        <v/>
      </c>
      <c r="R294" s="12" t="n">
        <v>0.01</v>
      </c>
      <c r="S294" s="22">
        <f>M294*R294</f>
        <v/>
      </c>
      <c r="T294" s="22">
        <f>N294*R294</f>
        <v/>
      </c>
      <c r="U294" s="22">
        <f>(O294-V294)*R294</f>
        <v/>
      </c>
      <c r="V294" s="11" t="n">
        <v>74161</v>
      </c>
      <c r="W294" s="11" t="n"/>
      <c r="X294" s="22">
        <f>S294+T294+U294+V294+W294</f>
        <v/>
      </c>
      <c r="Y294" s="11" t="n">
        <v>414473.5631000001</v>
      </c>
      <c r="Z294" s="22">
        <f>AE294-AB294-AA294-AC294</f>
        <v/>
      </c>
      <c r="AA294" s="22">
        <f>N294-T294-W294</f>
        <v/>
      </c>
      <c r="AB294" s="22">
        <f>O294-V294-U294</f>
        <v/>
      </c>
      <c r="AC294" s="22">
        <f>P294</f>
        <v/>
      </c>
      <c r="AD294" s="23">
        <f>Z294+AA294+AB294+AC294</f>
        <v/>
      </c>
      <c r="AE294" s="11" t="n">
        <v>2594690.27346</v>
      </c>
      <c r="AF294" s="24">
        <f>AD294-AE294</f>
        <v/>
      </c>
      <c r="AG294" s="13">
        <f>IF(OR(B294="",B294=0,M294=""),"",M294/B294*10000)</f>
        <v/>
      </c>
      <c r="AH294" s="13">
        <f>IF(OR(C294="",C294=0),"",N294/C294*10000)</f>
        <v/>
      </c>
      <c r="AI294" s="13">
        <f>IF(OR(D294="",D294=0),"",O294/D294*10000)</f>
        <v/>
      </c>
      <c r="AJ294" s="11" t="n">
        <v>40156.33760806474</v>
      </c>
      <c r="AK294" s="11" t="n">
        <v>0</v>
      </c>
      <c r="AL294" s="22">
        <f>AE294+AJ294+AK294</f>
        <v/>
      </c>
      <c r="AM294" s="22">
        <f>AE294</f>
        <v/>
      </c>
      <c r="AN294" s="14" t="n">
        <v>48484.79</v>
      </c>
      <c r="AO294" s="15" t="n">
        <v>53.51555144324642</v>
      </c>
      <c r="AP294" s="14" t="n">
        <v>30980292.85</v>
      </c>
      <c r="AQ294" s="14" t="n">
        <v>26544.4866</v>
      </c>
      <c r="AR294" s="14" t="n">
        <v>3313.2701</v>
      </c>
      <c r="AS294" s="14" t="n"/>
      <c r="AT294" s="16" t="n">
        <v>431.3801492790979</v>
      </c>
      <c r="AU294" s="17" t="n">
        <v>0.0214328025</v>
      </c>
      <c r="AV294" s="14" t="n">
        <v>421194676.6833</v>
      </c>
      <c r="AW294" s="18" t="n">
        <v>60100000</v>
      </c>
      <c r="AX294" s="19" t="n">
        <v>30980292.85</v>
      </c>
      <c r="AY294" s="18" t="n">
        <v>3100000</v>
      </c>
      <c r="AZ294" s="18">
        <f>1000000000-999595212.487</f>
        <v/>
      </c>
      <c r="BA294" s="20">
        <f>1000000000-AV294-AW294-AX294-AY294-AZ294</f>
        <v/>
      </c>
      <c r="BB294" s="21" t="n">
        <v>244.9</v>
      </c>
      <c r="BC294" s="21">
        <f>BA294/1000000-BB294</f>
        <v/>
      </c>
      <c r="BD294" s="22">
        <f>BA294*53.85</f>
        <v/>
      </c>
    </row>
    <row r="295">
      <c r="A295" s="10" t="n">
        <v>45917</v>
      </c>
      <c r="B295" s="11" t="n">
        <v>12223979385.21501</v>
      </c>
      <c r="C295" s="11" t="n"/>
      <c r="D295" s="11" t="n">
        <v>986676209</v>
      </c>
      <c r="E295" s="11" t="n"/>
      <c r="M295" s="22">
        <f>Z295/(1-R295)</f>
        <v/>
      </c>
      <c r="N295" s="11" t="n"/>
      <c r="O295" s="11" t="n">
        <v>733442</v>
      </c>
      <c r="P295" s="11" t="n"/>
      <c r="Q295" s="22">
        <f>M295+N295+O295+P295</f>
        <v/>
      </c>
      <c r="R295" s="12" t="n">
        <v>0.01</v>
      </c>
      <c r="S295" s="22">
        <f>M295*R295</f>
        <v/>
      </c>
      <c r="T295" s="22">
        <f>N295*R295</f>
        <v/>
      </c>
      <c r="U295" s="22">
        <f>(O295-V295)*R295</f>
        <v/>
      </c>
      <c r="V295" s="11" t="n">
        <v>107920</v>
      </c>
      <c r="W295" s="11" t="n"/>
      <c r="X295" s="22">
        <f>S295+T295+U295+V295+W295</f>
        <v/>
      </c>
      <c r="Y295" s="11" t="n">
        <v>620611.98</v>
      </c>
      <c r="Z295" s="22">
        <f>AE295-AB295-AA295-AC295</f>
        <v/>
      </c>
      <c r="AA295" s="22">
        <f>N295-T295-W295</f>
        <v/>
      </c>
      <c r="AB295" s="22">
        <f>O295-V295-U295</f>
        <v/>
      </c>
      <c r="AC295" s="22">
        <f>P295</f>
        <v/>
      </c>
      <c r="AD295" s="23">
        <f>Z295+AA295+AB295+AC295</f>
        <v/>
      </c>
      <c r="AE295" s="11" t="n">
        <v>3503801.88959</v>
      </c>
      <c r="AF295" s="24">
        <f>AD295-AE295</f>
        <v/>
      </c>
      <c r="AG295" s="13">
        <f>IF(OR(B295="",B295=0,M295=""),"",M295/B295*10000)</f>
        <v/>
      </c>
      <c r="AH295" s="13">
        <f>IF(OR(C295="",C295=0),"",N295/C295*10000)</f>
        <v/>
      </c>
      <c r="AI295" s="13">
        <f>IF(OR(D295="",D295=0),"",O295/D295*10000)</f>
        <v/>
      </c>
      <c r="AJ295" s="11" t="n">
        <v>37998.55017001093</v>
      </c>
      <c r="AK295" s="11" t="n">
        <v>40795.08</v>
      </c>
      <c r="AL295" s="22">
        <f>AE295+AJ295+AK295</f>
        <v/>
      </c>
      <c r="AM295" s="22">
        <f>AE295</f>
        <v/>
      </c>
      <c r="AN295" s="14" t="n">
        <v>63294.81</v>
      </c>
      <c r="AO295" s="15" t="n">
        <v>55.35685926839815</v>
      </c>
      <c r="AP295" s="14" t="n">
        <v>31042329.24</v>
      </c>
      <c r="AQ295" s="14" t="n">
        <v>26519.9032</v>
      </c>
      <c r="AR295" s="14" t="n">
        <v>697.1051</v>
      </c>
      <c r="AS295" s="14" t="n"/>
      <c r="AT295" s="16" t="n">
        <v>430.520330093872</v>
      </c>
      <c r="AU295" s="17" t="n">
        <v>0.021477335</v>
      </c>
      <c r="AV295" s="14" t="n">
        <v>421168156.7801</v>
      </c>
      <c r="AW295" s="18" t="n">
        <v>60100000</v>
      </c>
      <c r="AX295" s="19" t="n">
        <v>31042329.24</v>
      </c>
      <c r="AY295" s="18" t="n">
        <v>3100000</v>
      </c>
      <c r="AZ295" s="18">
        <f>1000000000-999594515.3819</f>
        <v/>
      </c>
      <c r="BA295" s="20">
        <f>1000000000-AV295-AW295-AX295-AY295-AZ295</f>
        <v/>
      </c>
      <c r="BB295" s="21" t="n">
        <v>244.9</v>
      </c>
      <c r="BC295" s="21">
        <f>BA295/1000000-BB295</f>
        <v/>
      </c>
      <c r="BD295" s="22">
        <f>BA295*54.08</f>
        <v/>
      </c>
    </row>
    <row r="296">
      <c r="A296" s="10" t="n">
        <v>45918</v>
      </c>
      <c r="B296" s="11" t="n">
        <v>9613850551.592533</v>
      </c>
      <c r="C296" s="11" t="n"/>
      <c r="D296" s="11" t="n">
        <v>814323405</v>
      </c>
      <c r="E296" s="11" t="n"/>
      <c r="M296" s="22">
        <f>Z296/(1-R296)</f>
        <v/>
      </c>
      <c r="N296" s="11" t="n"/>
      <c r="O296" s="11" t="n">
        <v>590986</v>
      </c>
      <c r="P296" s="11" t="n"/>
      <c r="Q296" s="22">
        <f>M296+N296+O296+P296</f>
        <v/>
      </c>
      <c r="R296" s="12" t="n">
        <v>0.01</v>
      </c>
      <c r="S296" s="22">
        <f>M296*R296</f>
        <v/>
      </c>
      <c r="T296" s="22">
        <f>N296*R296</f>
        <v/>
      </c>
      <c r="U296" s="22">
        <f>(O296-V296)*R296</f>
        <v/>
      </c>
      <c r="V296" s="11" t="n">
        <v>73572</v>
      </c>
      <c r="W296" s="11" t="n"/>
      <c r="X296" s="22">
        <f>S296+T296+U296+V296+W296</f>
        <v/>
      </c>
      <c r="Y296" s="11" t="n">
        <v>517879.4115</v>
      </c>
      <c r="Z296" s="22">
        <f>AE296-AB296-AA296-AC296</f>
        <v/>
      </c>
      <c r="AA296" s="22">
        <f>N296-T296-W296</f>
        <v/>
      </c>
      <c r="AB296" s="22">
        <f>O296-V296-U296</f>
        <v/>
      </c>
      <c r="AC296" s="22">
        <f>P296</f>
        <v/>
      </c>
      <c r="AD296" s="23">
        <f>Z296+AA296+AB296+AC296</f>
        <v/>
      </c>
      <c r="AE296" s="11" t="n">
        <v>2978630.80127</v>
      </c>
      <c r="AF296" s="24">
        <f>AD296-AE296</f>
        <v/>
      </c>
      <c r="AG296" s="13">
        <f>IF(OR(B296="",B296=0,M296=""),"",M296/B296*10000)</f>
        <v/>
      </c>
      <c r="AH296" s="13">
        <f>IF(OR(C296="",C296=0),"",N296/C296*10000)</f>
        <v/>
      </c>
      <c r="AI296" s="13">
        <f>IF(OR(D296="",D296=0),"",O296/D296*10000)</f>
        <v/>
      </c>
      <c r="AJ296" s="11" t="n">
        <v>40751.90259362284</v>
      </c>
      <c r="AK296" s="11" t="n">
        <v>40354.24</v>
      </c>
      <c r="AL296" s="22">
        <f>AE296+AJ296+AK296</f>
        <v/>
      </c>
      <c r="AM296" s="22">
        <f>AE296</f>
        <v/>
      </c>
      <c r="AN296" s="14" t="n">
        <v>51082.94</v>
      </c>
      <c r="AO296" s="15" t="n">
        <v>58.3096979396644</v>
      </c>
      <c r="AP296" s="14" t="n">
        <v>31094690.59</v>
      </c>
      <c r="AQ296" s="14" t="n">
        <v>26535.3939</v>
      </c>
      <c r="AR296" s="14" t="n">
        <v>1522.8477</v>
      </c>
      <c r="AS296" s="14" t="n"/>
      <c r="AT296" s="16" t="n">
        <v>430.9627753865126</v>
      </c>
      <c r="AU296" s="17" t="n">
        <v>0.0214664349</v>
      </c>
      <c r="AV296" s="14" t="n">
        <v>421141621.3862</v>
      </c>
      <c r="AW296" s="18" t="n">
        <v>60100000</v>
      </c>
      <c r="AX296" s="19" t="n">
        <v>31094690.59</v>
      </c>
      <c r="AY296" s="18" t="n">
        <v>3100000</v>
      </c>
      <c r="AZ296" s="18">
        <f>1000000000-999592992.5341</f>
        <v/>
      </c>
      <c r="BA296" s="20">
        <f>1000000000-AV296-AW296-AX296-AY296-AZ296</f>
        <v/>
      </c>
      <c r="BB296" s="21" t="n">
        <v>244.9</v>
      </c>
      <c r="BC296" s="21">
        <f>BA296/1000000-BB296</f>
        <v/>
      </c>
      <c r="BD296" s="22">
        <f>BA296*57.9</f>
        <v/>
      </c>
    </row>
    <row r="297">
      <c r="A297" s="10" t="n">
        <v>45919</v>
      </c>
      <c r="B297" s="11" t="n">
        <v>9088388320.053013</v>
      </c>
      <c r="C297" s="11" t="n"/>
      <c r="D297" s="11" t="n">
        <v>579109065</v>
      </c>
      <c r="E297" s="11" t="n"/>
      <c r="M297" s="22">
        <f>Z297/(1-R297)</f>
        <v/>
      </c>
      <c r="N297" s="11" t="n"/>
      <c r="O297" s="11" t="n">
        <v>380519</v>
      </c>
      <c r="P297" s="11" t="n"/>
      <c r="Q297" s="22">
        <f>M297+N297+O297+P297</f>
        <v/>
      </c>
      <c r="R297" s="12" t="n">
        <v>0.01</v>
      </c>
      <c r="S297" s="22">
        <f>M297*R297</f>
        <v/>
      </c>
      <c r="T297" s="22">
        <f>N297*R297</f>
        <v/>
      </c>
      <c r="U297" s="22">
        <f>(O297-V297)*R297</f>
        <v/>
      </c>
      <c r="V297" s="11" t="n">
        <v>62940</v>
      </c>
      <c r="W297" s="11" t="n"/>
      <c r="X297" s="22">
        <f>S297+T297+U297+V297+W297</f>
        <v/>
      </c>
      <c r="Y297" s="11" t="n">
        <v>342236.2519000001</v>
      </c>
      <c r="Z297" s="22">
        <f>AE297-AB297-AA297-AC297</f>
        <v/>
      </c>
      <c r="AA297" s="22">
        <f>N297-T297-W297</f>
        <v/>
      </c>
      <c r="AB297" s="22">
        <f>O297-V297-U297</f>
        <v/>
      </c>
      <c r="AC297" s="22">
        <f>P297</f>
        <v/>
      </c>
      <c r="AD297" s="23">
        <f>Z297+AA297+AB297+AC297</f>
        <v/>
      </c>
      <c r="AE297" s="11" t="n">
        <v>2702384.64833</v>
      </c>
      <c r="AF297" s="24">
        <f>AD297-AE297</f>
        <v/>
      </c>
      <c r="AG297" s="13">
        <f>IF(OR(B297="",B297=0,M297=""),"",M297/B297*10000)</f>
        <v/>
      </c>
      <c r="AH297" s="13">
        <f>IF(OR(C297="",C297=0),"",N297/C297*10000)</f>
        <v/>
      </c>
      <c r="AI297" s="13">
        <f>IF(OR(D297="",D297=0),"",O297/D297*10000)</f>
        <v/>
      </c>
      <c r="AJ297" s="11" t="n">
        <v>38873.93532871857</v>
      </c>
      <c r="AK297" s="11" t="n">
        <v>61834.55</v>
      </c>
      <c r="AL297" s="22">
        <f>AE297+AJ297+AK297</f>
        <v/>
      </c>
      <c r="AM297" s="22">
        <f>AE297</f>
        <v/>
      </c>
      <c r="AN297" s="14" t="n">
        <v>47875.75</v>
      </c>
      <c r="AO297" s="15" t="n">
        <v>56.4457924592304</v>
      </c>
      <c r="AP297" s="14" t="n">
        <v>31142566.34</v>
      </c>
      <c r="AQ297" s="14" t="n">
        <v>26519.1483</v>
      </c>
      <c r="AR297" s="14" t="n">
        <v>1422.2344</v>
      </c>
      <c r="AS297" s="14" t="n"/>
      <c r="AT297" s="16" t="n">
        <v>430.7765209056828</v>
      </c>
      <c r="AU297" s="17" t="n">
        <v>0.0214710214</v>
      </c>
      <c r="AV297" s="14" t="n">
        <v>421115102.238</v>
      </c>
      <c r="AW297" s="18" t="n">
        <v>60100000</v>
      </c>
      <c r="AX297" s="19" t="n">
        <v>31142566.34</v>
      </c>
      <c r="AY297" s="18" t="n">
        <v>3100000</v>
      </c>
      <c r="AZ297" s="18">
        <f>1000000000-999591570.2998</f>
        <v/>
      </c>
      <c r="BA297" s="20">
        <f>1000000000-AV297-AW297-AX297-AY297-AZ297</f>
        <v/>
      </c>
      <c r="BB297" s="21" t="n">
        <v>244.9</v>
      </c>
      <c r="BC297" s="21">
        <f>BA297/1000000-BB297</f>
        <v/>
      </c>
      <c r="BD297" s="22">
        <f>BA297*58.79</f>
        <v/>
      </c>
    </row>
    <row r="298">
      <c r="A298" s="10" t="n">
        <v>45920</v>
      </c>
      <c r="B298" s="11" t="n">
        <v>4219380098.346895</v>
      </c>
      <c r="C298" s="11" t="n"/>
      <c r="D298" s="11" t="n">
        <v>462252344</v>
      </c>
      <c r="E298" s="11" t="n"/>
      <c r="M298" s="22">
        <f>Z298/(1-R298)</f>
        <v/>
      </c>
      <c r="N298" s="11" t="n"/>
      <c r="O298" s="11" t="n">
        <v>334244</v>
      </c>
      <c r="P298" s="11" t="n"/>
      <c r="Q298" s="22">
        <f>M298+N298+O298+P298</f>
        <v/>
      </c>
      <c r="R298" s="12" t="n">
        <v>0.01</v>
      </c>
      <c r="S298" s="22">
        <f>M298*R298</f>
        <v/>
      </c>
      <c r="T298" s="22">
        <f>N298*R298</f>
        <v/>
      </c>
      <c r="U298" s="22">
        <f>(O298-V298)*R298</f>
        <v/>
      </c>
      <c r="V298" s="11" t="n">
        <v>52842</v>
      </c>
      <c r="W298" s="11" t="n"/>
      <c r="X298" s="22">
        <f>S298+T298+U298+V298+W298</f>
        <v/>
      </c>
      <c r="Y298" s="11" t="n">
        <v>287022.2349999999</v>
      </c>
      <c r="Z298" s="22">
        <f>AE298-AB298-AA298-AC298</f>
        <v/>
      </c>
      <c r="AA298" s="22">
        <f>N298-T298-W298</f>
        <v/>
      </c>
      <c r="AB298" s="22">
        <f>O298-V298-U298</f>
        <v/>
      </c>
      <c r="AC298" s="22">
        <f>P298</f>
        <v/>
      </c>
      <c r="AD298" s="23">
        <f>Z298+AA298+AB298+AC298</f>
        <v/>
      </c>
      <c r="AE298" s="11" t="n">
        <v>1449428.03146</v>
      </c>
      <c r="AF298" s="24">
        <f>AD298-AE298</f>
        <v/>
      </c>
      <c r="AG298" s="13">
        <f>IF(OR(B298="",B298=0,M298=""),"",M298/B298*10000)</f>
        <v/>
      </c>
      <c r="AH298" s="13">
        <f>IF(OR(C298="",C298=0),"",N298/C298*10000)</f>
        <v/>
      </c>
      <c r="AI298" s="13">
        <f>IF(OR(D298="",D298=0),"",O298/D298*10000)</f>
        <v/>
      </c>
      <c r="AJ298" s="11" t="n">
        <v>20787.05471263842</v>
      </c>
      <c r="AK298" s="11" t="n">
        <v>0</v>
      </c>
      <c r="AL298" s="22">
        <f>AE298+AJ298+AK298</f>
        <v/>
      </c>
      <c r="AM298" s="22">
        <f>AE298</f>
        <v/>
      </c>
      <c r="AN298" s="14" t="n">
        <v>26174.58</v>
      </c>
      <c r="AO298" s="15" t="n">
        <v>55.3754074166615</v>
      </c>
      <c r="AP298" s="14" t="n">
        <v>31168740.92</v>
      </c>
      <c r="AQ298" s="14" t="n">
        <v>26520.645</v>
      </c>
      <c r="AR298" s="14" t="n">
        <v>1487.1558</v>
      </c>
      <c r="AS298" s="14" t="n"/>
      <c r="AT298" s="16" t="n">
        <v>430.7886172031418</v>
      </c>
      <c r="AU298" s="17" t="n">
        <v>0.0214707235</v>
      </c>
      <c r="AV298" s="14" t="n">
        <v>421088581.5929</v>
      </c>
      <c r="AW298" s="18" t="n">
        <v>60100000</v>
      </c>
      <c r="AX298" s="19" t="n">
        <v>31168740.92</v>
      </c>
      <c r="AY298" s="18" t="n">
        <v>3100000</v>
      </c>
      <c r="AZ298" s="18">
        <f>1000000000-999590083.144</f>
        <v/>
      </c>
      <c r="BA298" s="20">
        <f>1000000000-AV298-AW298-AX298-AY298-AZ298</f>
        <v/>
      </c>
      <c r="BB298" s="21" t="n">
        <v>244.9</v>
      </c>
      <c r="BC298" s="21">
        <f>BA298/1000000-BB298</f>
        <v/>
      </c>
      <c r="BD298" s="22">
        <f>BA298*56.09</f>
        <v/>
      </c>
    </row>
    <row r="299">
      <c r="A299" s="10" t="n">
        <v>45921</v>
      </c>
      <c r="B299" s="11" t="n">
        <v>5311897299.167199</v>
      </c>
      <c r="C299" s="11" t="n"/>
      <c r="D299" s="11" t="n">
        <v>514163673</v>
      </c>
      <c r="E299" s="11" t="n"/>
      <c r="M299" s="22">
        <f>Z299/(1-R299)</f>
        <v/>
      </c>
      <c r="N299" s="11" t="n"/>
      <c r="O299" s="11" t="n">
        <v>269790</v>
      </c>
      <c r="P299" s="11" t="n"/>
      <c r="Q299" s="22">
        <f>M299+N299+O299+P299</f>
        <v/>
      </c>
      <c r="R299" s="12" t="n">
        <v>0.01</v>
      </c>
      <c r="S299" s="22">
        <f>M299*R299</f>
        <v/>
      </c>
      <c r="T299" s="22">
        <f>N299*R299</f>
        <v/>
      </c>
      <c r="U299" s="22">
        <f>(O299-V299)*R299</f>
        <v/>
      </c>
      <c r="V299" s="11" t="n">
        <v>40286</v>
      </c>
      <c r="W299" s="11" t="n"/>
      <c r="X299" s="22">
        <f>S299+T299+U299+V299+W299</f>
        <v/>
      </c>
      <c r="Y299" s="11" t="n">
        <v>219475.6855000001</v>
      </c>
      <c r="Z299" s="22">
        <f>AE299-AB299-AA299-AC299</f>
        <v/>
      </c>
      <c r="AA299" s="22">
        <f>N299-T299-W299</f>
        <v/>
      </c>
      <c r="AB299" s="22">
        <f>O299-V299-U299</f>
        <v/>
      </c>
      <c r="AC299" s="22">
        <f>P299</f>
        <v/>
      </c>
      <c r="AD299" s="23">
        <f>Z299+AA299+AB299+AC299</f>
        <v/>
      </c>
      <c r="AE299" s="11" t="n">
        <v>1731316.00493</v>
      </c>
      <c r="AF299" s="24">
        <f>AD299-AE299</f>
        <v/>
      </c>
      <c r="AG299" s="13">
        <f>IF(OR(B299="",B299=0,M299=""),"",M299/B299*10000)</f>
        <v/>
      </c>
      <c r="AH299" s="13">
        <f>IF(OR(C299="",C299=0),"",N299/C299*10000)</f>
        <v/>
      </c>
      <c r="AI299" s="13">
        <f>IF(OR(D299="",D299=0),"",O299/D299*10000)</f>
        <v/>
      </c>
      <c r="AJ299" s="11" t="n">
        <v>24836.73302502789</v>
      </c>
      <c r="AK299" s="11" t="n">
        <v>53372.92</v>
      </c>
      <c r="AL299" s="22">
        <f>AE299+AJ299+AK299</f>
        <v/>
      </c>
      <c r="AM299" s="22">
        <f>AE299</f>
        <v/>
      </c>
      <c r="AN299" s="14" t="n">
        <v>32969.48</v>
      </c>
      <c r="AO299" s="15" t="n">
        <v>52.51268764111536</v>
      </c>
      <c r="AP299" s="14" t="n">
        <v>31202104.65</v>
      </c>
      <c r="AQ299" s="14" t="n">
        <v>26520.6144</v>
      </c>
      <c r="AR299" s="14" t="n">
        <v>379.3241</v>
      </c>
      <c r="AS299" s="14" t="n"/>
      <c r="AT299" s="16" t="n">
        <v>430.8575655146319</v>
      </c>
      <c r="AU299" s="17" t="n">
        <v>0.0214690253</v>
      </c>
      <c r="AV299" s="14" t="n">
        <v>421062060.9786</v>
      </c>
      <c r="AW299" s="18" t="n">
        <v>60100000</v>
      </c>
      <c r="AX299" s="19" t="n">
        <v>31202104.65</v>
      </c>
      <c r="AY299" s="18" t="n">
        <v>3100000</v>
      </c>
      <c r="AZ299" s="18">
        <f>1000000000-999589703.8199</f>
        <v/>
      </c>
      <c r="BA299" s="20">
        <f>1000000000-AV299-AW299-AX299-AY299-AZ299</f>
        <v/>
      </c>
      <c r="BB299" s="21" t="n">
        <v>244.9</v>
      </c>
      <c r="BC299" s="21">
        <f>BA299/1000000-BB299</f>
        <v/>
      </c>
      <c r="BD299" s="22">
        <f>BA299*54.19</f>
        <v/>
      </c>
    </row>
    <row r="300">
      <c r="A300" s="10" t="n">
        <v>45922</v>
      </c>
      <c r="B300" s="11" t="n">
        <v>16410899803.68904</v>
      </c>
      <c r="C300" s="11" t="n"/>
      <c r="D300" s="11" t="n">
        <v>783516467</v>
      </c>
      <c r="E300" s="11" t="n"/>
      <c r="M300" s="22">
        <f>Z300/(1-R300)</f>
        <v/>
      </c>
      <c r="N300" s="11" t="n"/>
      <c r="O300" s="11" t="n">
        <v>327310</v>
      </c>
      <c r="P300" s="11" t="n"/>
      <c r="Q300" s="22">
        <f>M300+N300+O300+P300</f>
        <v/>
      </c>
      <c r="R300" s="12" t="n">
        <v>0.01</v>
      </c>
      <c r="S300" s="22">
        <f>M300*R300</f>
        <v/>
      </c>
      <c r="T300" s="22">
        <f>N300*R300</f>
        <v/>
      </c>
      <c r="U300" s="22">
        <f>(O300-V300)*R300</f>
        <v/>
      </c>
      <c r="V300" s="11" t="n">
        <v>71701</v>
      </c>
      <c r="W300" s="11" t="n"/>
      <c r="X300" s="22">
        <f>S300+T300+U300+V300+W300</f>
        <v/>
      </c>
      <c r="Y300" s="11" t="n">
        <v>236648.3454</v>
      </c>
      <c r="Z300" s="22">
        <f>AE300-AB300-AA300-AC300</f>
        <v/>
      </c>
      <c r="AA300" s="22">
        <f>N300-T300-W300</f>
        <v/>
      </c>
      <c r="AB300" s="22">
        <f>O300-V300-U300</f>
        <v/>
      </c>
      <c r="AC300" s="22">
        <f>P300</f>
        <v/>
      </c>
      <c r="AD300" s="23">
        <f>Z300+AA300+AB300+AC300</f>
        <v/>
      </c>
      <c r="AE300" s="11" t="n">
        <v>4825143.11409</v>
      </c>
      <c r="AF300" s="24">
        <f>AD300-AE300</f>
        <v/>
      </c>
      <c r="AG300" s="13">
        <f>IF(OR(B300="",B300=0,M300=""),"",M300/B300*10000)</f>
        <v/>
      </c>
      <c r="AH300" s="13">
        <f>IF(OR(C300="",C300=0),"",N300/C300*10000)</f>
        <v/>
      </c>
      <c r="AI300" s="13">
        <f>IF(OR(D300="",D300=0),"",O300/D300*10000)</f>
        <v/>
      </c>
      <c r="AJ300" s="11" t="n">
        <v>83905.02673487215</v>
      </c>
      <c r="AK300" s="11" t="n">
        <v>31873.95</v>
      </c>
      <c r="AL300" s="22">
        <f>AE300+AJ300+AK300</f>
        <v/>
      </c>
      <c r="AM300" s="22">
        <f>AE300</f>
        <v/>
      </c>
      <c r="AN300" s="14" t="n">
        <v>99115.08</v>
      </c>
      <c r="AO300" s="15" t="n">
        <v>48.68222992999653</v>
      </c>
      <c r="AP300" s="14" t="n">
        <v>31301565.54</v>
      </c>
      <c r="AQ300" s="14" t="n">
        <v>26481.2514</v>
      </c>
      <c r="AR300" s="14" t="n">
        <v>1654.3808</v>
      </c>
      <c r="AS300" s="14" t="n"/>
      <c r="AT300" s="16" t="n">
        <v>430.4544338380568</v>
      </c>
      <c r="AU300" s="17" t="n">
        <v>0.0214789599</v>
      </c>
      <c r="AV300" s="14" t="n">
        <v>421035579.7271</v>
      </c>
      <c r="AW300" s="18" t="n">
        <v>60100000</v>
      </c>
      <c r="AX300" s="19" t="n">
        <v>31301565.54</v>
      </c>
      <c r="AY300" s="18" t="n">
        <v>3100000</v>
      </c>
      <c r="AZ300" s="18">
        <f>1000000000-999588049.4392</f>
        <v/>
      </c>
      <c r="BA300" s="20">
        <f>1000000000-AV300-AW300-AX300-AY300-AZ300</f>
        <v/>
      </c>
      <c r="BB300" s="21" t="n">
        <v>244.9</v>
      </c>
      <c r="BC300" s="21">
        <f>BA300/1000000-BB300</f>
        <v/>
      </c>
      <c r="BD300" s="22">
        <f>BA300*50.96</f>
        <v/>
      </c>
    </row>
    <row r="301">
      <c r="A301" s="10" t="n">
        <v>45923</v>
      </c>
      <c r="B301" s="11" t="n">
        <v>9710818917.334631</v>
      </c>
      <c r="C301" s="11" t="n"/>
      <c r="D301" s="11" t="n">
        <v>516089514</v>
      </c>
      <c r="E301" s="11" t="n"/>
      <c r="M301" s="22">
        <f>Z301/(1-R301)</f>
        <v/>
      </c>
      <c r="N301" s="11" t="n"/>
      <c r="O301" s="11" t="n">
        <v>222638</v>
      </c>
      <c r="P301" s="11" t="n"/>
      <c r="Q301" s="22">
        <f>M301+N301+O301+P301</f>
        <v/>
      </c>
      <c r="R301" s="12" t="n">
        <v>0.01</v>
      </c>
      <c r="S301" s="22">
        <f>M301*R301</f>
        <v/>
      </c>
      <c r="T301" s="22">
        <f>N301*R301</f>
        <v/>
      </c>
      <c r="U301" s="22">
        <f>(O301-V301)*R301</f>
        <v/>
      </c>
      <c r="V301" s="11" t="n">
        <v>41011</v>
      </c>
      <c r="W301" s="11" t="n"/>
      <c r="X301" s="22">
        <f>S301+T301+U301+V301+W301</f>
        <v/>
      </c>
      <c r="Y301" s="11" t="n">
        <v>186310.5875</v>
      </c>
      <c r="Z301" s="22">
        <f>AE301-AB301-AA301-AC301</f>
        <v/>
      </c>
      <c r="AA301" s="22">
        <f>N301-T301-W301</f>
        <v/>
      </c>
      <c r="AB301" s="22">
        <f>O301-V301-U301</f>
        <v/>
      </c>
      <c r="AC301" s="22">
        <f>P301</f>
        <v/>
      </c>
      <c r="AD301" s="23">
        <f>Z301+AA301+AB301+AC301</f>
        <v/>
      </c>
      <c r="AE301" s="11" t="n">
        <v>2814059.09028</v>
      </c>
      <c r="AF301" s="24">
        <f>AD301-AE301</f>
        <v/>
      </c>
      <c r="AG301" s="13">
        <f>IF(OR(B301="",B301=0,M301=""),"",M301/B301*10000)</f>
        <v/>
      </c>
      <c r="AH301" s="13">
        <f>IF(OR(C301="",C301=0),"",N301/C301*10000)</f>
        <v/>
      </c>
      <c r="AI301" s="13">
        <f>IF(OR(D301="",D301=0),"",O301/D301*10000)</f>
        <v/>
      </c>
      <c r="AJ301" s="11" t="n">
        <v>53833.42766994093</v>
      </c>
      <c r="AK301" s="11" t="n">
        <v>0</v>
      </c>
      <c r="AL301" s="22">
        <f>AE301+AJ301+AK301</f>
        <v/>
      </c>
      <c r="AM301" s="22">
        <f>AE301</f>
        <v/>
      </c>
      <c r="AN301" s="14" t="n">
        <v>60343.93</v>
      </c>
      <c r="AO301" s="15" t="n">
        <v>46.63367285292821</v>
      </c>
      <c r="AP301" s="14" t="n">
        <v>31361169.41</v>
      </c>
      <c r="AQ301" s="14" t="n">
        <v>26550.3898</v>
      </c>
      <c r="AR301" s="14" t="n">
        <v>1779.5668</v>
      </c>
      <c r="AS301" s="14" t="n"/>
      <c r="AT301" s="16" t="n">
        <v>431.42200933392</v>
      </c>
      <c r="AU301" s="17" t="n">
        <v>0.0214700519</v>
      </c>
      <c r="AV301" s="14" t="n">
        <v>421009029.3374</v>
      </c>
      <c r="AW301" s="18" t="n">
        <v>60100000</v>
      </c>
      <c r="AX301" s="19" t="n">
        <v>31361169.41</v>
      </c>
      <c r="AY301" s="18" t="n">
        <v>3100000</v>
      </c>
      <c r="AZ301" s="18">
        <f>1000000000-999586269.8724</f>
        <v/>
      </c>
      <c r="BA301" s="20">
        <f>1000000000-AV301-AW301-AX301-AY301-AZ301</f>
        <v/>
      </c>
      <c r="BB301" s="21" t="n">
        <v>244.9</v>
      </c>
      <c r="BC301" s="21">
        <f>BA301/1000000-BB301</f>
        <v/>
      </c>
      <c r="BD301" s="22">
        <f>BA301*46.88</f>
        <v/>
      </c>
    </row>
    <row r="302">
      <c r="A302" s="10" t="n">
        <v>45924</v>
      </c>
      <c r="B302" s="11" t="n">
        <v>9364843437.613741</v>
      </c>
      <c r="C302" s="11" t="n"/>
      <c r="D302" s="11" t="n">
        <v>536372957</v>
      </c>
      <c r="E302" s="11" t="n"/>
      <c r="M302" s="22">
        <f>Z302/(1-R302)</f>
        <v/>
      </c>
      <c r="N302" s="11" t="n"/>
      <c r="O302" s="11" t="n">
        <v>211012</v>
      </c>
      <c r="P302" s="11" t="n"/>
      <c r="Q302" s="22">
        <f>M302+N302+O302+P302</f>
        <v/>
      </c>
      <c r="R302" s="12" t="n">
        <v>0.01</v>
      </c>
      <c r="S302" s="22">
        <f>M302*R302</f>
        <v/>
      </c>
      <c r="T302" s="22">
        <f>N302*R302</f>
        <v/>
      </c>
      <c r="U302" s="22">
        <f>(O302-V302)*R302</f>
        <v/>
      </c>
      <c r="V302" s="11" t="n">
        <v>36084</v>
      </c>
      <c r="W302" s="11" t="n"/>
      <c r="X302" s="22">
        <f>S302+T302+U302+V302+W302</f>
        <v/>
      </c>
      <c r="Y302" s="11" t="n">
        <v>169719.3368</v>
      </c>
      <c r="Z302" s="22">
        <f>AE302-AB302-AA302-AC302</f>
        <v/>
      </c>
      <c r="AA302" s="22">
        <f>N302-T302-W302</f>
        <v/>
      </c>
      <c r="AB302" s="22">
        <f>O302-V302-U302</f>
        <v/>
      </c>
      <c r="AC302" s="22">
        <f>P302</f>
        <v/>
      </c>
      <c r="AD302" s="23">
        <f>Z302+AA302+AB302+AC302</f>
        <v/>
      </c>
      <c r="AE302" s="11" t="n">
        <v>2663425.83059</v>
      </c>
      <c r="AF302" s="24">
        <f>AD302-AE302</f>
        <v/>
      </c>
      <c r="AG302" s="13">
        <f>IF(OR(B302="",B302=0,M302=""),"",M302/B302*10000)</f>
        <v/>
      </c>
      <c r="AH302" s="13">
        <f>IF(OR(C302="",C302=0),"",N302/C302*10000)</f>
        <v/>
      </c>
      <c r="AI302" s="13">
        <f>IF(OR(D302="",D302=0),"",O302/D302*10000)</f>
        <v/>
      </c>
      <c r="AJ302" s="11" t="n">
        <v>145666.6182970873</v>
      </c>
      <c r="AK302" s="11" t="n">
        <v>26322.72</v>
      </c>
      <c r="AL302" s="22">
        <f>AE302+AJ302+AK302</f>
        <v/>
      </c>
      <c r="AM302" s="22">
        <f>AE302</f>
        <v/>
      </c>
      <c r="AN302" s="14" t="n">
        <v>59159.16</v>
      </c>
      <c r="AO302" s="15" t="n">
        <v>45.02135984672534</v>
      </c>
      <c r="AP302" s="14" t="n">
        <v>31420547.02</v>
      </c>
      <c r="AQ302" s="14" t="n">
        <v>26333.996</v>
      </c>
      <c r="AR302" s="14" t="n">
        <v>1059.8152</v>
      </c>
      <c r="AS302" s="14" t="n"/>
      <c r="AT302" s="16" t="n">
        <v>430.5364078984844</v>
      </c>
      <c r="AU302" s="17" t="n">
        <v>0.021491867</v>
      </c>
      <c r="AV302" s="14" t="n">
        <v>420982695.3413</v>
      </c>
      <c r="AW302" s="18" t="n">
        <v>60100000</v>
      </c>
      <c r="AX302" s="19" t="n">
        <v>31420547.02</v>
      </c>
      <c r="AY302" s="18" t="n">
        <v>3100000</v>
      </c>
      <c r="AZ302" s="18">
        <f>1000000000-999585210.0572</f>
        <v/>
      </c>
      <c r="BA302" s="20">
        <f>1000000000-AV302-AW302-AX302-AY302-AZ302</f>
        <v/>
      </c>
      <c r="BB302" s="21" t="n">
        <v>244.9</v>
      </c>
      <c r="BC302" s="21">
        <f>BA302/1000000-BB302</f>
        <v/>
      </c>
      <c r="BD302" s="22">
        <f>BA302*44.74</f>
        <v/>
      </c>
    </row>
    <row r="303">
      <c r="A303" s="10" t="n">
        <v>45925</v>
      </c>
      <c r="B303" s="11" t="n">
        <v>17338409014.86723</v>
      </c>
      <c r="C303" s="11" t="n"/>
      <c r="D303" s="11" t="n">
        <v>1367424995</v>
      </c>
      <c r="E303" s="11" t="n"/>
      <c r="M303" s="22">
        <f>Z303/(1-R303)</f>
        <v/>
      </c>
      <c r="N303" s="11" t="n"/>
      <c r="O303" s="11" t="n">
        <v>607352</v>
      </c>
      <c r="P303" s="11" t="n"/>
      <c r="Q303" s="22">
        <f>M303+N303+O303+P303</f>
        <v/>
      </c>
      <c r="R303" s="12" t="n">
        <v>0.01</v>
      </c>
      <c r="S303" s="22">
        <f>M303*R303</f>
        <v/>
      </c>
      <c r="T303" s="22">
        <f>N303*R303</f>
        <v/>
      </c>
      <c r="U303" s="22">
        <f>(O303-V303)*R303</f>
        <v/>
      </c>
      <c r="V303" s="11" t="n">
        <v>66911</v>
      </c>
      <c r="W303" s="11" t="n"/>
      <c r="X303" s="22">
        <f>S303+T303+U303+V303+W303</f>
        <v/>
      </c>
      <c r="Y303" s="11" t="n">
        <v>230754.8779</v>
      </c>
      <c r="Z303" s="22">
        <f>AE303-AB303-AA303-AC303</f>
        <v/>
      </c>
      <c r="AA303" s="22">
        <f>N303-T303-W303</f>
        <v/>
      </c>
      <c r="AB303" s="22">
        <f>O303-V303-U303</f>
        <v/>
      </c>
      <c r="AC303" s="22">
        <f>P303</f>
        <v/>
      </c>
      <c r="AD303" s="23">
        <f>Z303+AA303+AB303+AC303</f>
        <v/>
      </c>
      <c r="AE303" s="11" t="n">
        <v>5027352.35541</v>
      </c>
      <c r="AF303" s="24">
        <f>AD303-AE303</f>
        <v/>
      </c>
      <c r="AG303" s="13">
        <f>IF(OR(B303="",B303=0,M303=""),"",M303/B303*10000)</f>
        <v/>
      </c>
      <c r="AH303" s="13">
        <f>IF(OR(C303="",C303=0),"",N303/C303*10000)</f>
        <v/>
      </c>
      <c r="AI303" s="13">
        <f>IF(OR(D303="",D303=0),"",O303/D303*10000)</f>
        <v/>
      </c>
      <c r="AJ303" s="11" t="n">
        <v>111412.3042617545</v>
      </c>
      <c r="AK303" s="11" t="n">
        <v>32452.93</v>
      </c>
      <c r="AL303" s="22">
        <f>AE303+AJ303+AK303</f>
        <v/>
      </c>
      <c r="AM303" s="22">
        <f>AE303</f>
        <v/>
      </c>
      <c r="AN303" s="14" t="n">
        <v>119037.7</v>
      </c>
      <c r="AO303" s="15" t="n">
        <v>42.23327866222214</v>
      </c>
      <c r="AP303" s="14" t="n">
        <v>31539671.17</v>
      </c>
      <c r="AQ303" s="14" t="n">
        <v>26490.2406</v>
      </c>
      <c r="AR303" s="14" t="n">
        <v>1835.6658</v>
      </c>
      <c r="AS303" s="14" t="n"/>
      <c r="AT303" s="16" t="n">
        <v>429.4105004039782</v>
      </c>
      <c r="AU303" s="17" t="n">
        <v>0.0215196982</v>
      </c>
      <c r="AV303" s="14" t="n">
        <v>420956205.1007</v>
      </c>
      <c r="AW303" s="18" t="n">
        <v>60100000</v>
      </c>
      <c r="AX303" s="19" t="n">
        <v>31539671.17</v>
      </c>
      <c r="AY303" s="18" t="n">
        <v>3100000</v>
      </c>
      <c r="AZ303" s="18">
        <f>1000000000-999583374.3914</f>
        <v/>
      </c>
      <c r="BA303" s="20">
        <f>1000000000-AV303-AW303-AX303-AY303-AZ303</f>
        <v/>
      </c>
      <c r="BB303" s="21" t="n">
        <v>244.9</v>
      </c>
      <c r="BC303" s="21">
        <f>BA303/1000000-BB303</f>
        <v/>
      </c>
      <c r="BD303" s="22">
        <f>BA303*45.8</f>
        <v/>
      </c>
    </row>
    <row r="304">
      <c r="A304" s="10" t="n">
        <v>45926</v>
      </c>
      <c r="B304" s="11" t="n">
        <v>9099654714.808125</v>
      </c>
      <c r="C304" s="11" t="n"/>
      <c r="D304" s="11" t="n">
        <v>1037080955</v>
      </c>
      <c r="E304" s="11" t="n"/>
      <c r="M304" s="22">
        <f>Z304/(1-R304)</f>
        <v/>
      </c>
      <c r="N304" s="11" t="n"/>
      <c r="O304" s="11" t="n">
        <v>497915</v>
      </c>
      <c r="P304" s="11" t="n"/>
      <c r="Q304" s="22">
        <f>M304+N304+O304+P304</f>
        <v/>
      </c>
      <c r="R304" s="12" t="n">
        <v>0.01</v>
      </c>
      <c r="S304" s="22">
        <f>M304*R304</f>
        <v/>
      </c>
      <c r="T304" s="22">
        <f>N304*R304</f>
        <v/>
      </c>
      <c r="U304" s="22">
        <f>(O304-V304)*R304</f>
        <v/>
      </c>
      <c r="V304" s="11" t="n">
        <v>54198</v>
      </c>
      <c r="W304" s="11" t="n"/>
      <c r="X304" s="22">
        <f>S304+T304+U304+V304+W304</f>
        <v/>
      </c>
      <c r="Y304" s="11" t="n">
        <v>193052.8886000001</v>
      </c>
      <c r="Z304" s="22">
        <f>AE304-AB304-AA304-AC304</f>
        <v/>
      </c>
      <c r="AA304" s="22">
        <f>N304-T304-W304</f>
        <v/>
      </c>
      <c r="AB304" s="22">
        <f>O304-V304-U304</f>
        <v/>
      </c>
      <c r="AC304" s="22">
        <f>P304</f>
        <v/>
      </c>
      <c r="AD304" s="23">
        <f>Z304+AA304+AB304+AC304</f>
        <v/>
      </c>
      <c r="AE304" s="11" t="n">
        <v>2846935.39964</v>
      </c>
      <c r="AF304" s="24">
        <f>AD304-AE304</f>
        <v/>
      </c>
      <c r="AG304" s="13">
        <f>IF(OR(B304="",B304=0,M304=""),"",M304/B304*10000)</f>
        <v/>
      </c>
      <c r="AH304" s="13">
        <f>IF(OR(C304="",C304=0),"",N304/C304*10000)</f>
        <v/>
      </c>
      <c r="AI304" s="13">
        <f>IF(OR(D304="",D304=0),"",O304/D304*10000)</f>
        <v/>
      </c>
      <c r="AJ304" s="11" t="n">
        <v>95150.72465556856</v>
      </c>
      <c r="AK304" s="11" t="n">
        <v>0</v>
      </c>
      <c r="AL304" s="22">
        <f>AE304+AJ304+AK304</f>
        <v/>
      </c>
      <c r="AM304" s="22">
        <f>AE304</f>
        <v/>
      </c>
      <c r="AN304" s="14" t="n">
        <v>65870.34</v>
      </c>
      <c r="AO304" s="15" t="n">
        <v>43.22029307333164</v>
      </c>
      <c r="AP304" s="14" t="n">
        <v>31605236.61</v>
      </c>
      <c r="AQ304" s="14" t="n">
        <v>26434.0542</v>
      </c>
      <c r="AR304" s="14" t="n">
        <v>2653.1531</v>
      </c>
      <c r="AS304" s="14" t="n"/>
      <c r="AT304" s="16" t="n">
        <v>427.3928995537549</v>
      </c>
      <c r="AU304" s="17" t="n">
        <v>0.0215698439</v>
      </c>
      <c r="AV304" s="14" t="n">
        <v>420929771.0465</v>
      </c>
      <c r="AW304" s="18" t="n">
        <v>60100000</v>
      </c>
      <c r="AX304" s="19" t="n">
        <v>31605236.61</v>
      </c>
      <c r="AY304" s="18" t="n">
        <v>3100000</v>
      </c>
      <c r="AZ304" s="18">
        <f>1000000000-999580721.2383</f>
        <v/>
      </c>
      <c r="BA304" s="20">
        <f>1000000000-AV304-AW304-AX304-AY304-AZ304</f>
        <v/>
      </c>
      <c r="BB304" s="21" t="n">
        <v>244.9</v>
      </c>
      <c r="BC304" s="21">
        <f>BA304/1000000-BB304</f>
        <v/>
      </c>
      <c r="BD304" s="22">
        <f>BA304*41.15</f>
        <v/>
      </c>
    </row>
    <row r="305">
      <c r="A305" s="10" t="n">
        <v>45927</v>
      </c>
      <c r="B305" s="11" t="n">
        <v>4181427581.761502</v>
      </c>
      <c r="C305" s="11" t="n"/>
      <c r="D305" s="11" t="n">
        <v>639827893</v>
      </c>
      <c r="E305" s="11" t="n"/>
      <c r="M305" s="22">
        <f>Z305/(1-R305)</f>
        <v/>
      </c>
      <c r="N305" s="11" t="n"/>
      <c r="O305" s="11" t="n">
        <v>293605</v>
      </c>
      <c r="P305" s="11" t="n"/>
      <c r="Q305" s="22">
        <f>M305+N305+O305+P305</f>
        <v/>
      </c>
      <c r="R305" s="12" t="n">
        <v>0.01</v>
      </c>
      <c r="S305" s="22">
        <f>M305*R305</f>
        <v/>
      </c>
      <c r="T305" s="22">
        <f>N305*R305</f>
        <v/>
      </c>
      <c r="U305" s="22">
        <f>(O305-V305)*R305</f>
        <v/>
      </c>
      <c r="V305" s="11" t="n">
        <v>29208</v>
      </c>
      <c r="W305" s="11" t="n"/>
      <c r="X305" s="22">
        <f>S305+T305+U305+V305+W305</f>
        <v/>
      </c>
      <c r="Y305" s="11" t="n">
        <v>96119.5779</v>
      </c>
      <c r="Z305" s="22">
        <f>AE305-AB305-AA305-AC305</f>
        <v/>
      </c>
      <c r="AA305" s="22">
        <f>N305-T305-W305</f>
        <v/>
      </c>
      <c r="AB305" s="22">
        <f>O305-V305-U305</f>
        <v/>
      </c>
      <c r="AC305" s="22">
        <f>P305</f>
        <v/>
      </c>
      <c r="AD305" s="23">
        <f>Z305+AA305+AB305+AC305</f>
        <v/>
      </c>
      <c r="AE305" s="11" t="n">
        <v>1460827.72403</v>
      </c>
      <c r="AF305" s="24">
        <f>AD305-AE305</f>
        <v/>
      </c>
      <c r="AG305" s="13">
        <f>IF(OR(B305="",B305=0,M305=""),"",M305/B305*10000)</f>
        <v/>
      </c>
      <c r="AH305" s="13">
        <f>IF(OR(C305="",C305=0),"",N305/C305*10000)</f>
        <v/>
      </c>
      <c r="AI305" s="13">
        <f>IF(OR(D305="",D305=0),"",O305/D305*10000)</f>
        <v/>
      </c>
      <c r="AJ305" s="11" t="n">
        <v>34516.32436584815</v>
      </c>
      <c r="AK305" s="11" t="n">
        <v>22419.21</v>
      </c>
      <c r="AL305" s="22">
        <f>AE305+AJ305+AK305</f>
        <v/>
      </c>
      <c r="AM305" s="22">
        <f>AE305</f>
        <v/>
      </c>
      <c r="AN305" s="14" t="n">
        <v>32624.52</v>
      </c>
      <c r="AO305" s="15" t="n">
        <v>44.77698749376236</v>
      </c>
      <c r="AP305" s="14" t="n">
        <v>31675614.22</v>
      </c>
      <c r="AQ305" s="14" t="n">
        <v>26395.275</v>
      </c>
      <c r="AR305" s="14" t="n">
        <v>1489.1978</v>
      </c>
      <c r="AS305" s="14" t="n"/>
      <c r="AT305" s="16" t="n">
        <v>425.6149930809867</v>
      </c>
      <c r="AU305" s="17" t="n">
        <v>0.021614325</v>
      </c>
      <c r="AV305" s="14" t="n">
        <v>420903375.7715</v>
      </c>
      <c r="AW305" s="18" t="n">
        <v>60100000</v>
      </c>
      <c r="AX305" s="19" t="n">
        <v>31675614.22</v>
      </c>
      <c r="AY305" s="18" t="n">
        <v>3100000</v>
      </c>
      <c r="AZ305" s="18">
        <f>1000000000-999579232.0404</f>
        <v/>
      </c>
      <c r="BA305" s="20">
        <f>1000000000-AV305-AW305-AX305-AY305-AZ305</f>
        <v/>
      </c>
      <c r="BB305" s="21" t="n">
        <v>244.9</v>
      </c>
      <c r="BC305" s="21">
        <f>BA305/1000000-BB305</f>
        <v/>
      </c>
      <c r="BD305" s="22">
        <f>BA305*44.89</f>
        <v/>
      </c>
    </row>
    <row r="306">
      <c r="A306" s="10" t="n">
        <v>45928</v>
      </c>
      <c r="B306" s="11" t="n">
        <v>5697862969.067475</v>
      </c>
      <c r="C306" s="11" t="n"/>
      <c r="D306" s="11" t="n">
        <v>477300071</v>
      </c>
      <c r="E306" s="11" t="n"/>
      <c r="M306" s="22">
        <f>Z306/(1-R306)</f>
        <v/>
      </c>
      <c r="N306" s="11" t="n"/>
      <c r="O306" s="11" t="n">
        <v>212923</v>
      </c>
      <c r="P306" s="11" t="n"/>
      <c r="Q306" s="22">
        <f>M306+N306+O306+P306</f>
        <v/>
      </c>
      <c r="R306" s="12" t="n">
        <v>0.01</v>
      </c>
      <c r="S306" s="22">
        <f>M306*R306</f>
        <v/>
      </c>
      <c r="T306" s="22">
        <f>N306*R306</f>
        <v/>
      </c>
      <c r="U306" s="22">
        <f>(O306-V306)*R306</f>
        <v/>
      </c>
      <c r="V306" s="11" t="n">
        <v>63812</v>
      </c>
      <c r="W306" s="11" t="n"/>
      <c r="X306" s="22">
        <f>S306+T306+U306+V306+W306</f>
        <v/>
      </c>
      <c r="Y306" s="11" t="n">
        <v>112039.829</v>
      </c>
      <c r="Z306" s="22">
        <f>AE306-AB306-AA306-AC306</f>
        <v/>
      </c>
      <c r="AA306" s="22">
        <f>N306-T306-W306</f>
        <v/>
      </c>
      <c r="AB306" s="22">
        <f>O306-V306-U306</f>
        <v/>
      </c>
      <c r="AC306" s="22">
        <f>P306</f>
        <v/>
      </c>
      <c r="AD306" s="23">
        <f>Z306+AA306+AB306+AC306</f>
        <v/>
      </c>
      <c r="AE306" s="11" t="n">
        <v>1713778.62968</v>
      </c>
      <c r="AF306" s="24">
        <f>AD306-AE306</f>
        <v/>
      </c>
      <c r="AG306" s="13">
        <f>IF(OR(B306="",B306=0,M306=""),"",M306/B306*10000)</f>
        <v/>
      </c>
      <c r="AH306" s="13">
        <f>IF(OR(C306="",C306=0),"",N306/C306*10000)</f>
        <v/>
      </c>
      <c r="AI306" s="13">
        <f>IF(OR(D306="",D306=0),"",O306/D306*10000)</f>
        <v/>
      </c>
      <c r="AJ306" s="11" t="n">
        <v>42291.04119373473</v>
      </c>
      <c r="AK306" s="11" t="n">
        <v>0</v>
      </c>
      <c r="AL306" s="22">
        <f>AE306+AJ306+AK306</f>
        <v/>
      </c>
      <c r="AM306" s="22">
        <f>AE306</f>
        <v/>
      </c>
      <c r="AN306" s="14" t="n">
        <v>37753.09</v>
      </c>
      <c r="AO306" s="15" t="n">
        <v>45.39439366896856</v>
      </c>
      <c r="AP306" s="14" t="n">
        <v>31675614.22</v>
      </c>
      <c r="AQ306" s="14" t="n">
        <v>26313.7776</v>
      </c>
      <c r="AR306" s="14" t="n">
        <v>1177.5401</v>
      </c>
      <c r="AS306" s="14" t="n"/>
      <c r="AT306" s="16" t="n">
        <v>425.5168231555895</v>
      </c>
      <c r="AU306" s="17" t="n">
        <v>0.0216167892</v>
      </c>
      <c r="AV306" s="14" t="n">
        <v>420877061.9938</v>
      </c>
      <c r="AW306" s="18" t="n">
        <v>60100000</v>
      </c>
      <c r="AX306" s="19" t="n">
        <v>31675614.22</v>
      </c>
      <c r="AY306" s="18" t="n">
        <v>3100000</v>
      </c>
      <c r="AZ306" s="18">
        <f>1000000000-999578054.5003</f>
        <v/>
      </c>
      <c r="BA306" s="20">
        <f>1000000000-AV306-AW306-AX306-AY306-AZ306</f>
        <v/>
      </c>
      <c r="BB306" s="21" t="n">
        <v>244.9</v>
      </c>
      <c r="BC306" s="21">
        <f>BA306/1000000-BB306</f>
        <v/>
      </c>
      <c r="BD306" s="22">
        <f>BA306*45.62</f>
        <v/>
      </c>
    </row>
    <row r="307">
      <c r="A307" s="10" t="n">
        <v>45929</v>
      </c>
      <c r="B307" s="11" t="n">
        <v>7934780754.132312</v>
      </c>
      <c r="C307" s="11" t="n"/>
      <c r="D307" s="11" t="n">
        <v>548722349</v>
      </c>
      <c r="E307" s="11" t="n"/>
      <c r="M307" s="22">
        <f>Z307/(1-R307)</f>
        <v/>
      </c>
      <c r="N307" s="11" t="n"/>
      <c r="O307" s="11" t="n">
        <v>258840</v>
      </c>
      <c r="P307" s="11" t="n"/>
      <c r="Q307" s="22">
        <f>M307+N307+O307+P307</f>
        <v/>
      </c>
      <c r="R307" s="12" t="n">
        <v>0.01</v>
      </c>
      <c r="S307" s="22">
        <f>M307*R307</f>
        <v/>
      </c>
      <c r="T307" s="22">
        <f>N307*R307</f>
        <v/>
      </c>
      <c r="U307" s="22">
        <f>(O307-V307)*R307</f>
        <v/>
      </c>
      <c r="V307" s="11" t="n">
        <v>83275</v>
      </c>
      <c r="W307" s="11" t="n"/>
      <c r="X307" s="22">
        <f>S307+T307+U307+V307+W307</f>
        <v/>
      </c>
      <c r="Y307" s="11" t="n">
        <v>161408.0436</v>
      </c>
      <c r="Z307" s="22">
        <f>AE307-AB307-AA307-AC307</f>
        <v/>
      </c>
      <c r="AA307" s="22">
        <f>N307-T307-W307</f>
        <v/>
      </c>
      <c r="AB307" s="22">
        <f>O307-V307-U307</f>
        <v/>
      </c>
      <c r="AC307" s="22">
        <f>P307</f>
        <v/>
      </c>
      <c r="AD307" s="23">
        <f>Z307+AA307+AB307+AC307</f>
        <v/>
      </c>
      <c r="AE307" s="11" t="n">
        <v>2482196.62762</v>
      </c>
      <c r="AF307" s="24">
        <f>AD307-AE307</f>
        <v/>
      </c>
      <c r="AG307" s="13">
        <f>IF(OR(B307="",B307=0,M307=""),"",M307/B307*10000)</f>
        <v/>
      </c>
      <c r="AH307" s="13">
        <f>IF(OR(C307="",C307=0),"",N307/C307*10000)</f>
        <v/>
      </c>
      <c r="AI307" s="13">
        <f>IF(OR(D307="",D307=0),"",O307/D307*10000)</f>
        <v/>
      </c>
      <c r="AJ307" s="11" t="n">
        <v>62226.71507096494</v>
      </c>
      <c r="AK307" s="11" t="n">
        <v>31773.87</v>
      </c>
      <c r="AL307" s="22">
        <f>AE307+AJ307+AK307</f>
        <v/>
      </c>
      <c r="AM307" s="22">
        <f>AE307</f>
        <v/>
      </c>
      <c r="AN307" s="14" t="n">
        <v>53114.97</v>
      </c>
      <c r="AO307" s="15" t="n">
        <v>46.73252432638105</v>
      </c>
      <c r="AP307" s="14" t="n">
        <v>31728729.19</v>
      </c>
      <c r="AQ307" s="14" t="n">
        <v>26353.2422</v>
      </c>
      <c r="AR307" s="14" t="n">
        <v>1419.9657</v>
      </c>
      <c r="AS307" s="14" t="n"/>
      <c r="AT307" s="16" t="n">
        <v>425.5670442359591</v>
      </c>
      <c r="AU307" s="17" t="n">
        <v>0.0216155285</v>
      </c>
      <c r="AV307" s="14" t="n">
        <v>420850708.7516</v>
      </c>
      <c r="AW307" s="18" t="n">
        <v>60100000</v>
      </c>
      <c r="AX307" s="19" t="n">
        <v>31728729.19</v>
      </c>
      <c r="AY307" s="18" t="n">
        <v>3100000</v>
      </c>
      <c r="AZ307" s="18">
        <f>1000000000-999576634.5346</f>
        <v/>
      </c>
      <c r="BA307" s="20">
        <f>1000000000-AV307-AW307-AX307-AY307-AZ307</f>
        <v/>
      </c>
      <c r="BB307" s="21" t="n">
        <v>244.9</v>
      </c>
      <c r="BC307" s="21">
        <f>BA307/1000000-BB307</f>
        <v/>
      </c>
      <c r="BD307" s="22">
        <f>BA307*46.84</f>
        <v/>
      </c>
    </row>
    <row r="308">
      <c r="A308" s="10" t="n">
        <v>45930</v>
      </c>
      <c r="B308" s="11" t="n">
        <v>8498007774.039121</v>
      </c>
      <c r="C308" s="11" t="n"/>
      <c r="D308" s="11" t="n">
        <v>597586698</v>
      </c>
      <c r="E308" s="11" t="n"/>
      <c r="M308" s="22">
        <f>Z308/(1-R308)</f>
        <v/>
      </c>
      <c r="N308" s="11" t="n"/>
      <c r="O308" s="11" t="n">
        <v>272745</v>
      </c>
      <c r="P308" s="11" t="n"/>
      <c r="Q308" s="22">
        <f>M308+N308+O308+P308</f>
        <v/>
      </c>
      <c r="R308" s="12" t="n">
        <v>0.01</v>
      </c>
      <c r="S308" s="22">
        <f>M308*R308</f>
        <v/>
      </c>
      <c r="T308" s="22">
        <f>N308*R308</f>
        <v/>
      </c>
      <c r="U308" s="22">
        <f>(O308-V308)*R308</f>
        <v/>
      </c>
      <c r="V308" s="11" t="n">
        <v>82091</v>
      </c>
      <c r="W308" s="11" t="n"/>
      <c r="X308" s="22">
        <f>S308+T308+U308+V308+W308</f>
        <v/>
      </c>
      <c r="Y308" s="11" t="n">
        <v>160837.6728</v>
      </c>
      <c r="Z308" s="22">
        <f>AE308-AB308-AA308-AC308</f>
        <v/>
      </c>
      <c r="AA308" s="22">
        <f>N308-T308-W308</f>
        <v/>
      </c>
      <c r="AB308" s="22">
        <f>O308-V308-U308</f>
        <v/>
      </c>
      <c r="AC308" s="22">
        <f>P308</f>
        <v/>
      </c>
      <c r="AD308" s="23">
        <f>Z308+AA308+AB308+AC308</f>
        <v/>
      </c>
      <c r="AE308" s="11" t="n">
        <v>2530245.33311</v>
      </c>
      <c r="AF308" s="24">
        <f>AD308-AE308</f>
        <v/>
      </c>
      <c r="AG308" s="13">
        <f>IF(OR(B308="",B308=0,M308=""),"",M308/B308*10000)</f>
        <v/>
      </c>
      <c r="AH308" s="13">
        <f>IF(OR(C308="",C308=0),"",N308/C308*10000)</f>
        <v/>
      </c>
      <c r="AI308" s="13">
        <f>IF(OR(D308="",D308=0),"",O308/D308*10000)</f>
        <v/>
      </c>
      <c r="AJ308" s="11" t="n">
        <v>52354.82103129054</v>
      </c>
      <c r="AK308" s="11" t="n">
        <v>36054.78</v>
      </c>
      <c r="AL308" s="22">
        <f>AE308+AJ308+AK308</f>
        <v/>
      </c>
      <c r="AM308" s="22">
        <f>AE308</f>
        <v/>
      </c>
      <c r="AN308" s="14" t="n">
        <v>56329.96</v>
      </c>
      <c r="AO308" s="15" t="n">
        <v>44.91828741064258</v>
      </c>
      <c r="AP308" s="14" t="n">
        <v>31785059.15</v>
      </c>
      <c r="AQ308" s="14" t="n">
        <v>26353.0446</v>
      </c>
      <c r="AR308" s="14" t="n">
        <v>1560.4482</v>
      </c>
      <c r="AS308" s="14" t="n"/>
      <c r="AT308" s="16" t="n">
        <v>425.4931002978349</v>
      </c>
      <c r="AU308" s="17" t="n">
        <v>0.0216173847</v>
      </c>
      <c r="AV308" s="14" t="n">
        <v>420824355.7069</v>
      </c>
      <c r="AW308" s="18" t="n">
        <v>60100000</v>
      </c>
      <c r="AX308" s="19" t="n">
        <v>31785059.15</v>
      </c>
      <c r="AY308" s="18" t="n">
        <v>3100000</v>
      </c>
      <c r="AZ308" s="18">
        <f>1000000000-999575074.0864</f>
        <v/>
      </c>
      <c r="BA308" s="20">
        <f>1000000000-AV308-AW308-AX308-AY308-AZ308</f>
        <v/>
      </c>
      <c r="BB308" s="21" t="n">
        <v>244.9</v>
      </c>
      <c r="BC308" s="21">
        <f>BA308/1000000-BB308</f>
        <v/>
      </c>
      <c r="BD308" s="22">
        <f>BA308*46.11</f>
        <v/>
      </c>
    </row>
    <row r="309">
      <c r="A309" s="10" t="n">
        <v>45931</v>
      </c>
      <c r="B309" s="11" t="n">
        <v>9824233176.318731</v>
      </c>
      <c r="C309" s="11" t="n"/>
      <c r="D309" s="11" t="n">
        <v>558541161</v>
      </c>
      <c r="E309" s="11" t="n"/>
      <c r="M309" s="22">
        <f>Z309/(1-R309)</f>
        <v/>
      </c>
      <c r="N309" s="11" t="n"/>
      <c r="O309" s="11" t="n">
        <v>254301</v>
      </c>
      <c r="P309" s="11" t="n"/>
      <c r="Q309" s="22">
        <f>M309+N309+O309+P309</f>
        <v/>
      </c>
      <c r="R309" s="12" t="n">
        <v>0.01</v>
      </c>
      <c r="S309" s="22">
        <f>M309*R309</f>
        <v/>
      </c>
      <c r="T309" s="22">
        <f>N309*R309</f>
        <v/>
      </c>
      <c r="U309" s="22">
        <f>(O309-V309)*R309</f>
        <v/>
      </c>
      <c r="V309" s="11" t="n">
        <v>86851</v>
      </c>
      <c r="W309" s="11" t="n"/>
      <c r="X309" s="22">
        <f>S309+T309+U309+V309+W309</f>
        <v/>
      </c>
      <c r="Y309" s="11" t="n">
        <v>179772.1251</v>
      </c>
      <c r="Z309" s="22">
        <f>AE309-AB309-AA309-AC309</f>
        <v/>
      </c>
      <c r="AA309" s="22">
        <f>N309-T309-W309</f>
        <v/>
      </c>
      <c r="AB309" s="22">
        <f>O309-V309-U309</f>
        <v/>
      </c>
      <c r="AC309" s="22">
        <f>P309</f>
        <v/>
      </c>
      <c r="AD309" s="23">
        <f>Z309+AA309+AB309+AC309</f>
        <v/>
      </c>
      <c r="AE309" s="11" t="n">
        <v>2829098.65173</v>
      </c>
      <c r="AF309" s="24">
        <f>AD309-AE309</f>
        <v/>
      </c>
      <c r="AG309" s="13">
        <f>IF(OR(B309="",B309=0,M309=""),"",M309/B309*10000)</f>
        <v/>
      </c>
      <c r="AH309" s="13">
        <f>IF(OR(C309="",C309=0),"",N309/C309*10000)</f>
        <v/>
      </c>
      <c r="AI309" s="13">
        <f>IF(OR(D309="",D309=0),"",O309/D309*10000)</f>
        <v/>
      </c>
      <c r="AJ309" s="11" t="n">
        <v>51778.88643826535</v>
      </c>
      <c r="AK309" s="11" t="n">
        <v>40212.6</v>
      </c>
      <c r="AL309" s="22">
        <f>AE309+AJ309+AK309</f>
        <v/>
      </c>
      <c r="AM309" s="22">
        <f>AE309</f>
        <v/>
      </c>
      <c r="AN309" s="14" t="n">
        <v>60619.99</v>
      </c>
      <c r="AO309" s="15" t="n">
        <v>46.66940149165317</v>
      </c>
      <c r="AP309" s="14" t="n">
        <v>31845679.14</v>
      </c>
      <c r="AQ309" s="14" t="n">
        <v>26351.695</v>
      </c>
      <c r="AR309" s="14" t="n">
        <v>1559.708</v>
      </c>
      <c r="AS309" s="14" t="n"/>
      <c r="AT309" s="16" t="n">
        <v>425.4817815440682</v>
      </c>
      <c r="AU309" s="17" t="n">
        <v>0.0216176689</v>
      </c>
      <c r="AV309" s="14" t="n">
        <v>420798004.012</v>
      </c>
      <c r="AW309" s="18" t="n">
        <v>60100000</v>
      </c>
      <c r="AX309" s="19" t="n">
        <v>31845679.14</v>
      </c>
      <c r="AY309" s="18" t="n">
        <v>3100000</v>
      </c>
      <c r="AZ309" s="18">
        <f>1000000000-999573514.3785</f>
        <v/>
      </c>
      <c r="BA309" s="20">
        <f>1000000000-AV309-AW309-AX309-AY309-AZ309</f>
        <v/>
      </c>
      <c r="BB309" s="21" t="n">
        <v>244.9</v>
      </c>
      <c r="BC309" s="21">
        <f>BA309/1000000-BB309</f>
        <v/>
      </c>
      <c r="BD309" s="22">
        <f>BA309*45.26</f>
        <v/>
      </c>
    </row>
    <row r="310">
      <c r="A310" s="10" t="n">
        <v>45932</v>
      </c>
      <c r="B310" s="11" t="n">
        <v>10644493010.44195</v>
      </c>
      <c r="C310" s="11" t="n"/>
      <c r="D310" s="11" t="n">
        <v>490069503</v>
      </c>
      <c r="E310" s="11" t="n"/>
      <c r="M310" s="22">
        <f>Z310/(1-R310)</f>
        <v/>
      </c>
      <c r="N310" s="11" t="n"/>
      <c r="O310" s="11" t="n">
        <v>239666</v>
      </c>
      <c r="P310" s="11" t="n"/>
      <c r="Q310" s="22">
        <f>M310+N310+O310+P310</f>
        <v/>
      </c>
      <c r="R310" s="12" t="n">
        <v>0.01</v>
      </c>
      <c r="S310" s="22">
        <f>M310*R310</f>
        <v/>
      </c>
      <c r="T310" s="22">
        <f>N310*R310</f>
        <v/>
      </c>
      <c r="U310" s="22">
        <f>(O310-V310)*R310</f>
        <v/>
      </c>
      <c r="V310" s="11" t="n">
        <v>12840</v>
      </c>
      <c r="W310" s="11" t="n"/>
      <c r="X310" s="22">
        <f>S310+T310+U310+V310+W310</f>
        <v/>
      </c>
      <c r="Y310" s="11" t="n">
        <v>219390.2203</v>
      </c>
      <c r="Z310" s="22">
        <f>AE310-AB310-AA310-AC310</f>
        <v/>
      </c>
      <c r="AA310" s="22">
        <f>N310-T310-W310</f>
        <v/>
      </c>
      <c r="AB310" s="22">
        <f>O310-V310-U310</f>
        <v/>
      </c>
      <c r="AC310" s="22">
        <f>P310</f>
        <v/>
      </c>
      <c r="AD310" s="23">
        <f>Z310+AA310+AB310+AC310</f>
        <v/>
      </c>
      <c r="AE310" s="11" t="n">
        <v>3179744.99493</v>
      </c>
      <c r="AF310" s="24">
        <f>AD310-AE310</f>
        <v/>
      </c>
      <c r="AG310" s="13">
        <f>IF(OR(B310="",B310=0,M310=""),"",M310/B310*10000)</f>
        <v/>
      </c>
      <c r="AH310" s="13">
        <f>IF(OR(C310="",C310=0),"",N310/C310*10000)</f>
        <v/>
      </c>
      <c r="AI310" s="13">
        <f>IF(OR(D310="",D310=0),"",O310/D310*10000)</f>
        <v/>
      </c>
      <c r="AJ310" s="11" t="n">
        <v>59032.67923597377</v>
      </c>
      <c r="AK310" s="11" t="n">
        <v>0</v>
      </c>
      <c r="AL310" s="22">
        <f>AE310+AJ310+AK310</f>
        <v/>
      </c>
      <c r="AM310" s="22">
        <f>AE310</f>
        <v/>
      </c>
      <c r="AN310" s="14" t="n">
        <v>64602.58</v>
      </c>
      <c r="AO310" s="15" t="n">
        <v>49.22009298901065</v>
      </c>
      <c r="AP310" s="14" t="n">
        <v>31910281.72</v>
      </c>
      <c r="AQ310" s="14" t="n">
        <v>26326.8913</v>
      </c>
      <c r="AR310" s="14" t="n">
        <v>2228.7202</v>
      </c>
      <c r="AS310" s="14" t="n"/>
      <c r="AT310" s="16" t="n">
        <v>425.7535660032553</v>
      </c>
      <c r="AU310" s="17" t="n">
        <v>0.0216108481</v>
      </c>
      <c r="AV310" s="14" t="n">
        <v>420771677.1207</v>
      </c>
      <c r="AW310" s="18" t="n">
        <v>60100000</v>
      </c>
      <c r="AX310" s="19" t="n">
        <v>31910281.72</v>
      </c>
      <c r="AY310" s="18" t="n">
        <v>3100000</v>
      </c>
      <c r="AZ310" s="18">
        <f>1000000000-999571285.6582</f>
        <v/>
      </c>
      <c r="BA310" s="20">
        <f>1000000000-AV310-AW310-AX310-AY310-AZ310</f>
        <v/>
      </c>
      <c r="BB310" s="21" t="n">
        <v>244.9</v>
      </c>
      <c r="BC310" s="21">
        <f>BA310/1000000-BB310</f>
        <v/>
      </c>
      <c r="BD310" s="22">
        <f>BA310*47.92</f>
        <v/>
      </c>
    </row>
    <row r="311">
      <c r="A311" s="10" t="n">
        <v>45933</v>
      </c>
      <c r="B311" s="11" t="n">
        <v>10408189865.90493</v>
      </c>
      <c r="C311" s="11" t="n"/>
      <c r="D311" s="11" t="n">
        <v>447594957</v>
      </c>
      <c r="E311" s="11" t="n"/>
      <c r="M311" s="22">
        <f>Z311/(1-R311)</f>
        <v/>
      </c>
      <c r="N311" s="11" t="n"/>
      <c r="O311" s="11" t="n">
        <v>219717</v>
      </c>
      <c r="P311" s="11" t="n"/>
      <c r="Q311" s="22">
        <f>M311+N311+O311+P311</f>
        <v/>
      </c>
      <c r="R311" s="12" t="n">
        <v>0.01</v>
      </c>
      <c r="S311" s="22">
        <f>M311*R311</f>
        <v/>
      </c>
      <c r="T311" s="22">
        <f>N311*R311</f>
        <v/>
      </c>
      <c r="U311" s="22">
        <f>(O311-V311)*R311</f>
        <v/>
      </c>
      <c r="V311" s="11" t="n">
        <v>62324</v>
      </c>
      <c r="W311" s="11" t="n"/>
      <c r="X311" s="22">
        <f>S311+T311+U311+V311+W311</f>
        <v/>
      </c>
      <c r="Y311" s="11" t="n">
        <v>210295.3982</v>
      </c>
      <c r="Z311" s="22">
        <f>AE311-AB311-AA311-AC311</f>
        <v/>
      </c>
      <c r="AA311" s="22">
        <f>N311-T311-W311</f>
        <v/>
      </c>
      <c r="AB311" s="22">
        <f>O311-V311-U311</f>
        <v/>
      </c>
      <c r="AC311" s="22">
        <f>P311</f>
        <v/>
      </c>
      <c r="AD311" s="23">
        <f>Z311+AA311+AB311+AC311</f>
        <v/>
      </c>
      <c r="AE311" s="11" t="n">
        <v>3194278.76779</v>
      </c>
      <c r="AF311" s="24">
        <f>AD311-AE311</f>
        <v/>
      </c>
      <c r="AG311" s="13">
        <f>IF(OR(B311="",B311=0,M311=""),"",M311/B311*10000)</f>
        <v/>
      </c>
      <c r="AH311" s="13">
        <f>IF(OR(C311="",C311=0),"",N311/C311*10000)</f>
        <v/>
      </c>
      <c r="AI311" s="13">
        <f>IF(OR(D311="",D311=0),"",O311/D311*10000)</f>
        <v/>
      </c>
      <c r="AJ311" s="11" t="n">
        <v>37391.4250701302</v>
      </c>
      <c r="AK311" s="11" t="n">
        <v>34634.9</v>
      </c>
      <c r="AL311" s="22">
        <f>AE311+AJ311+AK311</f>
        <v/>
      </c>
      <c r="AM311" s="22">
        <f>AE311</f>
        <v/>
      </c>
      <c r="AN311" s="14" t="n">
        <v>63968.63</v>
      </c>
      <c r="AO311" s="15" t="n">
        <v>49.93508173912745</v>
      </c>
      <c r="AP311" s="14" t="n">
        <v>31974250.35</v>
      </c>
      <c r="AQ311" s="14" t="n">
        <v>26375.1157</v>
      </c>
      <c r="AR311" s="14" t="n">
        <v>2052.1029</v>
      </c>
      <c r="AS311" s="14" t="n"/>
      <c r="AT311" s="16" t="n">
        <v>427.0962438723454</v>
      </c>
      <c r="AU311" s="17" t="n">
        <v>0.0215772467</v>
      </c>
      <c r="AV311" s="14" t="n">
        <v>420745302.005</v>
      </c>
      <c r="AW311" s="18" t="n">
        <v>60100000</v>
      </c>
      <c r="AX311" s="19" t="n">
        <v>31974250.35</v>
      </c>
      <c r="AY311" s="18" t="n">
        <v>3100000</v>
      </c>
      <c r="AZ311" s="18">
        <f>1000000000-999569233.5553</f>
        <v/>
      </c>
      <c r="BA311" s="20">
        <f>1000000000-AV311-AW311-AX311-AY311-AZ311</f>
        <v/>
      </c>
      <c r="BB311" s="21" t="n">
        <v>244.9</v>
      </c>
      <c r="BC311" s="21">
        <f>BA311/1000000-BB311</f>
        <v/>
      </c>
      <c r="BD311" s="22">
        <f>BA311*50.45</f>
        <v/>
      </c>
    </row>
    <row r="312">
      <c r="A312" s="10" t="n">
        <v>45934</v>
      </c>
      <c r="B312" s="11" t="n">
        <v>4766544219.283792</v>
      </c>
      <c r="C312" s="11" t="n"/>
      <c r="D312" s="11" t="n">
        <v>290369030</v>
      </c>
      <c r="E312" s="11" t="n"/>
      <c r="M312" s="22">
        <f>Z312/(1-R312)</f>
        <v/>
      </c>
      <c r="N312" s="11" t="n"/>
      <c r="O312" s="11" t="n">
        <v>174444</v>
      </c>
      <c r="P312" s="11" t="n"/>
      <c r="Q312" s="22">
        <f>M312+N312+O312+P312</f>
        <v/>
      </c>
      <c r="R312" s="12" t="n">
        <v>0.01</v>
      </c>
      <c r="S312" s="22">
        <f>M312*R312</f>
        <v/>
      </c>
      <c r="T312" s="22">
        <f>N312*R312</f>
        <v/>
      </c>
      <c r="U312" s="22">
        <f>(O312-V312)*R312</f>
        <v/>
      </c>
      <c r="V312" s="11" t="n">
        <v>39340</v>
      </c>
      <c r="W312" s="11" t="n"/>
      <c r="X312" s="22">
        <f>S312+T312+U312+V312+W312</f>
        <v/>
      </c>
      <c r="Y312" s="11" t="n">
        <v>183191.2137</v>
      </c>
      <c r="Z312" s="22">
        <f>AE312-AB312-AA312-AC312</f>
        <v/>
      </c>
      <c r="AA312" s="22">
        <f>N312-T312-W312</f>
        <v/>
      </c>
      <c r="AB312" s="22">
        <f>O312-V312-U312</f>
        <v/>
      </c>
      <c r="AC312" s="22">
        <f>P312</f>
        <v/>
      </c>
      <c r="AD312" s="23">
        <f>Z312+AA312+AB312+AC312</f>
        <v/>
      </c>
      <c r="AE312" s="11" t="n">
        <v>1423501.12628</v>
      </c>
      <c r="AF312" s="24">
        <f>AD312-AE312</f>
        <v/>
      </c>
      <c r="AG312" s="13">
        <f>IF(OR(B312="",B312=0,M312=""),"",M312/B312*10000)</f>
        <v/>
      </c>
      <c r="AH312" s="13">
        <f>IF(OR(C312="",C312=0),"",N312/C312*10000)</f>
        <v/>
      </c>
      <c r="AI312" s="13">
        <f>IF(OR(D312="",D312=0),"",O312/D312*10000)</f>
        <v/>
      </c>
      <c r="AJ312" s="11" t="n">
        <v>18861.85493815149</v>
      </c>
      <c r="AK312" s="11" t="n">
        <v>44298.54</v>
      </c>
      <c r="AL312" s="22">
        <f>AE312+AJ312+AK312</f>
        <v/>
      </c>
      <c r="AM312" s="22">
        <f>AE312</f>
        <v/>
      </c>
      <c r="AN312" s="14" t="n">
        <v>29332</v>
      </c>
      <c r="AO312" s="15" t="n">
        <v>48.53065342561025</v>
      </c>
      <c r="AP312" s="14" t="n">
        <v>32003582.35</v>
      </c>
      <c r="AQ312" s="14" t="n">
        <v>26401.1862</v>
      </c>
      <c r="AR312" s="14" t="n">
        <v>1300.9188</v>
      </c>
      <c r="AS312" s="14" t="n"/>
      <c r="AT312" s="16" t="n">
        <v>427.0327563601593</v>
      </c>
      <c r="AU312" s="17" t="n">
        <v>0.021578832</v>
      </c>
      <c r="AV312" s="14" t="n">
        <v>420718900.8188</v>
      </c>
      <c r="AW312" s="18" t="n">
        <v>60100000</v>
      </c>
      <c r="AX312" s="19" t="n">
        <v>32003582.35</v>
      </c>
      <c r="AY312" s="18" t="n">
        <v>3100000</v>
      </c>
      <c r="AZ312" s="18">
        <f>1000000000-999567932.6365</f>
        <v/>
      </c>
      <c r="BA312" s="20">
        <f>1000000000-AV312-AW312-AX312-AY312-AZ312</f>
        <v/>
      </c>
      <c r="BB312" s="21" t="n">
        <v>244.9</v>
      </c>
      <c r="BC312" s="21">
        <f>BA312/1000000-BB312</f>
        <v/>
      </c>
      <c r="BD312" s="22">
        <f>BA312*49.28</f>
        <v/>
      </c>
    </row>
    <row r="313">
      <c r="A313" s="10" t="n">
        <v>45935</v>
      </c>
      <c r="B313" s="11" t="n">
        <v>9544080331.339458</v>
      </c>
      <c r="C313" s="11" t="n"/>
      <c r="D313" s="11" t="n">
        <v>388743024</v>
      </c>
      <c r="E313" s="11" t="n"/>
      <c r="M313" s="22">
        <f>Z313/(1-R313)</f>
        <v/>
      </c>
      <c r="N313" s="11" t="n"/>
      <c r="O313" s="11" t="n">
        <v>194451</v>
      </c>
      <c r="P313" s="11" t="n"/>
      <c r="Q313" s="22">
        <f>M313+N313+O313+P313</f>
        <v/>
      </c>
      <c r="R313" s="12" t="n">
        <v>0.01</v>
      </c>
      <c r="S313" s="22">
        <f>M313*R313</f>
        <v/>
      </c>
      <c r="T313" s="22">
        <f>N313*R313</f>
        <v/>
      </c>
      <c r="U313" s="22">
        <f>(O313-V313)*R313</f>
        <v/>
      </c>
      <c r="V313" s="11" t="n">
        <v>62382</v>
      </c>
      <c r="W313" s="11" t="n"/>
      <c r="X313" s="22">
        <f>S313+T313+U313+V313+W313</f>
        <v/>
      </c>
      <c r="Y313" s="11" t="n">
        <v>246019.1876</v>
      </c>
      <c r="Z313" s="22">
        <f>AE313-AB313-AA313-AC313</f>
        <v/>
      </c>
      <c r="AA313" s="22">
        <f>N313-T313-W313</f>
        <v/>
      </c>
      <c r="AB313" s="22">
        <f>O313-V313-U313</f>
        <v/>
      </c>
      <c r="AC313" s="22">
        <f>P313</f>
        <v/>
      </c>
      <c r="AD313" s="23">
        <f>Z313+AA313+AB313+AC313</f>
        <v/>
      </c>
      <c r="AE313" s="11" t="n">
        <v>2806654.38617</v>
      </c>
      <c r="AF313" s="24">
        <f>AD313-AE313</f>
        <v/>
      </c>
      <c r="AG313" s="13">
        <f>IF(OR(B313="",B313=0,M313=""),"",M313/B313*10000)</f>
        <v/>
      </c>
      <c r="AH313" s="13">
        <f>IF(OR(C313="",C313=0),"",N313/C313*10000)</f>
        <v/>
      </c>
      <c r="AI313" s="13">
        <f>IF(OR(D313="",D313=0),"",O313/D313*10000)</f>
        <v/>
      </c>
      <c r="AJ313" s="11" t="n">
        <v>26824.58424227849</v>
      </c>
      <c r="AK313" s="11" t="n">
        <v>40225.12</v>
      </c>
      <c r="AL313" s="22">
        <f>AE313+AJ313+AK313</f>
        <v/>
      </c>
      <c r="AM313" s="22">
        <f>AE313</f>
        <v/>
      </c>
      <c r="AN313" s="14" t="n">
        <v>56599.12</v>
      </c>
      <c r="AO313" s="15" t="n">
        <v>49.5883043087949</v>
      </c>
      <c r="AP313" s="14" t="n">
        <v>32060736.7</v>
      </c>
      <c r="AQ313" s="14" t="n">
        <v>26408.6283</v>
      </c>
      <c r="AR313" s="14" t="n">
        <v>1245.0727</v>
      </c>
      <c r="AS313" s="14" t="n"/>
      <c r="AT313" s="16" t="n">
        <v>427.4837163925635</v>
      </c>
      <c r="AU313" s="17" t="n">
        <v>0.0215675791</v>
      </c>
      <c r="AV313" s="14" t="n">
        <v>420692492.1905</v>
      </c>
      <c r="AW313" s="18" t="n">
        <v>60100000</v>
      </c>
      <c r="AX313" s="19" t="n">
        <v>32060736.7</v>
      </c>
      <c r="AY313" s="18" t="n">
        <v>3100000</v>
      </c>
      <c r="AZ313" s="18">
        <f>1000000000-999566687.5639</f>
        <v/>
      </c>
      <c r="BA313" s="20">
        <f>1000000000-AV313-AW313-AX313-AY313-AZ313</f>
        <v/>
      </c>
      <c r="BB313" s="21" t="n">
        <v>244.9</v>
      </c>
      <c r="BC313" s="21">
        <f>BA313/1000000-BB313</f>
        <v/>
      </c>
      <c r="BD313" s="22">
        <f>BA313*49.46</f>
        <v/>
      </c>
    </row>
    <row r="314">
      <c r="A314" s="10" t="n">
        <v>45936</v>
      </c>
      <c r="B314" s="11" t="n">
        <v>10603772427.07632</v>
      </c>
      <c r="C314" s="11" t="n"/>
      <c r="D314" s="11" t="n">
        <v>538793113</v>
      </c>
      <c r="E314" s="11" t="n"/>
      <c r="M314" s="22">
        <f>Z314/(1-R314)</f>
        <v/>
      </c>
      <c r="N314" s="11" t="n"/>
      <c r="O314" s="11" t="n">
        <v>350589</v>
      </c>
      <c r="P314" s="11" t="n"/>
      <c r="Q314" s="22">
        <f>M314+N314+O314+P314</f>
        <v/>
      </c>
      <c r="R314" s="12" t="n">
        <v>0.01</v>
      </c>
      <c r="S314" s="22">
        <f>M314*R314</f>
        <v/>
      </c>
      <c r="T314" s="22">
        <f>N314*R314</f>
        <v/>
      </c>
      <c r="U314" s="22">
        <f>(O314-V314)*R314</f>
        <v/>
      </c>
      <c r="V314" s="11" t="n">
        <v>83908</v>
      </c>
      <c r="W314" s="11" t="n"/>
      <c r="X314" s="22">
        <f>S314+T314+U314+V314+W314</f>
        <v/>
      </c>
      <c r="Y314" s="11" t="n">
        <v>300565.8054</v>
      </c>
      <c r="Z314" s="22">
        <f>AE314-AB314-AA314-AC314</f>
        <v/>
      </c>
      <c r="AA314" s="22">
        <f>N314-T314-W314</f>
        <v/>
      </c>
      <c r="AB314" s="22">
        <f>O314-V314-U314</f>
        <v/>
      </c>
      <c r="AC314" s="22">
        <f>P314</f>
        <v/>
      </c>
      <c r="AD314" s="23">
        <f>Z314+AA314+AB314+AC314</f>
        <v/>
      </c>
      <c r="AE314" s="11" t="n">
        <v>3123698.85575</v>
      </c>
      <c r="AF314" s="24">
        <f>AD314-AE314</f>
        <v/>
      </c>
      <c r="AG314" s="13">
        <f>IF(OR(B314="",B314=0,M314=""),"",M314/B314*10000)</f>
        <v/>
      </c>
      <c r="AH314" s="13">
        <f>IF(OR(C314="",C314=0),"",N314/C314*10000)</f>
        <v/>
      </c>
      <c r="AI314" s="13">
        <f>IF(OR(D314="",D314=0),"",O314/D314*10000)</f>
        <v/>
      </c>
      <c r="AJ314" s="11" t="n">
        <v>25002.13914833654</v>
      </c>
      <c r="AK314" s="11" t="n">
        <v>0</v>
      </c>
      <c r="AL314" s="22">
        <f>AE314+AJ314+AK314</f>
        <v/>
      </c>
      <c r="AM314" s="22">
        <f>AE314</f>
        <v/>
      </c>
      <c r="AN314" s="14" t="n">
        <v>64194.16</v>
      </c>
      <c r="AO314" s="15" t="n">
        <v>48.6601718248202</v>
      </c>
      <c r="AP314" s="14" t="n">
        <v>32124587.41</v>
      </c>
      <c r="AQ314" s="14" t="n">
        <v>26412.4511</v>
      </c>
      <c r="AR314" s="14" t="n">
        <v>1265.7452</v>
      </c>
      <c r="AS314" s="14" t="n"/>
      <c r="AT314" s="16" t="n">
        <v>427.3428584863598</v>
      </c>
      <c r="AU314" s="17" t="n">
        <v>0.0215710921</v>
      </c>
      <c r="AV314" s="14" t="n">
        <v>420666079.7394</v>
      </c>
      <c r="AW314" s="18" t="n">
        <v>60100000</v>
      </c>
      <c r="AX314" s="19" t="n">
        <v>32124587.41</v>
      </c>
      <c r="AY314" s="18" t="n">
        <v>3100000</v>
      </c>
      <c r="AZ314" s="18">
        <f>1000000000-999565421.8186</f>
        <v/>
      </c>
      <c r="BA314" s="20">
        <f>1000000000-AV314-AW314-AX314-AY314-AZ314</f>
        <v/>
      </c>
      <c r="BB314" s="21" t="n">
        <v>244.9</v>
      </c>
      <c r="BC314" s="21">
        <f>BA314/1000000-BB314</f>
        <v/>
      </c>
      <c r="BD314" s="22">
        <f>BA314*48.21</f>
        <v/>
      </c>
    </row>
    <row r="315">
      <c r="A315" s="10" t="n">
        <v>45937</v>
      </c>
      <c r="B315" s="11" t="n">
        <v>14676247652.04393</v>
      </c>
      <c r="C315" s="11" t="n"/>
      <c r="D315" s="11" t="n">
        <v>738528778</v>
      </c>
      <c r="E315" s="11" t="n"/>
      <c r="M315" s="22">
        <f>Z315/(1-R315)</f>
        <v/>
      </c>
      <c r="N315" s="11" t="n"/>
      <c r="O315" s="11" t="n">
        <v>400627</v>
      </c>
      <c r="P315" s="11" t="n"/>
      <c r="Q315" s="22">
        <f>M315+N315+O315+P315</f>
        <v/>
      </c>
      <c r="R315" s="12" t="n">
        <v>0.01</v>
      </c>
      <c r="S315" s="22">
        <f>M315*R315</f>
        <v/>
      </c>
      <c r="T315" s="22">
        <f>N315*R315</f>
        <v/>
      </c>
      <c r="U315" s="22">
        <f>(O315-V315)*R315</f>
        <v/>
      </c>
      <c r="V315" s="11" t="n">
        <v>85999</v>
      </c>
      <c r="W315" s="11" t="n"/>
      <c r="X315" s="22">
        <f>S315+T315+U315+V315+W315</f>
        <v/>
      </c>
      <c r="Y315" s="11" t="n">
        <v>306200.9726</v>
      </c>
      <c r="Z315" s="22">
        <f>AE315-AB315-AA315-AC315</f>
        <v/>
      </c>
      <c r="AA315" s="22">
        <f>N315-T315-W315</f>
        <v/>
      </c>
      <c r="AB315" s="22">
        <f>O315-V315-U315</f>
        <v/>
      </c>
      <c r="AC315" s="22">
        <f>P315</f>
        <v/>
      </c>
      <c r="AD315" s="23">
        <f>Z315+AA315+AB315+AC315</f>
        <v/>
      </c>
      <c r="AE315" s="11" t="n">
        <v>4300251.97199</v>
      </c>
      <c r="AF315" s="24">
        <f>AD315-AE315</f>
        <v/>
      </c>
      <c r="AG315" s="13">
        <f>IF(OR(B315="",B315=0,M315=""),"",M315/B315*10000)</f>
        <v/>
      </c>
      <c r="AH315" s="13">
        <f>IF(OR(C315="",C315=0),"",N315/C315*10000)</f>
        <v/>
      </c>
      <c r="AI315" s="13">
        <f>IF(OR(D315="",D315=0),"",O315/D315*10000)</f>
        <v/>
      </c>
      <c r="AJ315" s="11" t="n">
        <v>36955.93164683354</v>
      </c>
      <c r="AK315" s="11" t="n">
        <v>23733.55</v>
      </c>
      <c r="AL315" s="22">
        <f>AE315+AJ315+AK315</f>
        <v/>
      </c>
      <c r="AM315" s="22">
        <f>AE315</f>
        <v/>
      </c>
      <c r="AN315" s="14" t="n">
        <v>94377.52</v>
      </c>
      <c r="AO315" s="15" t="n">
        <v>45.56436715003743</v>
      </c>
      <c r="AP315" s="14" t="n">
        <v>32218974.67</v>
      </c>
      <c r="AQ315" s="14" t="n">
        <v>26417.4115</v>
      </c>
      <c r="AR315" s="14" t="n">
        <v>488.5721</v>
      </c>
      <c r="AS315" s="14" t="n"/>
      <c r="AT315" s="16" t="n">
        <v>427.4653912335101</v>
      </c>
      <c r="AU315" s="17" t="n">
        <v>0.0215680361</v>
      </c>
      <c r="AV315" s="14" t="n">
        <v>420639662.3278</v>
      </c>
      <c r="AW315" s="18" t="n">
        <v>60100000</v>
      </c>
      <c r="AX315" s="19" t="n">
        <v>32218974.67</v>
      </c>
      <c r="AY315" s="18" t="n">
        <v>3100000</v>
      </c>
      <c r="AZ315" s="18">
        <f>1000000000-999564933.2465</f>
        <v/>
      </c>
      <c r="BA315" s="20">
        <f>1000000000-AV315-AW315-AX315-AY315-AZ315</f>
        <v/>
      </c>
      <c r="BB315" s="21" t="n">
        <v>244.9</v>
      </c>
      <c r="BC315" s="21">
        <f>BA315/1000000-BB315</f>
        <v/>
      </c>
      <c r="BD315" s="22">
        <f>BA315*47.59</f>
        <v/>
      </c>
    </row>
    <row r="316">
      <c r="A316" s="10" t="n">
        <v>45938</v>
      </c>
      <c r="B316" s="11" t="n">
        <v>8887739221.497124</v>
      </c>
      <c r="C316" s="11" t="n"/>
      <c r="D316" s="11" t="n">
        <v>654600179</v>
      </c>
      <c r="E316" s="11" t="n"/>
      <c r="M316" s="22">
        <f>Z316/(1-R316)</f>
        <v/>
      </c>
      <c r="N316" s="11" t="n"/>
      <c r="O316" s="11" t="n">
        <v>316234</v>
      </c>
      <c r="P316" s="11" t="n"/>
      <c r="Q316" s="22">
        <f>M316+N316+O316+P316</f>
        <v/>
      </c>
      <c r="R316" s="12" t="n">
        <v>0.01</v>
      </c>
      <c r="S316" s="22">
        <f>M316*R316</f>
        <v/>
      </c>
      <c r="T316" s="22">
        <f>N316*R316</f>
        <v/>
      </c>
      <c r="U316" s="22">
        <f>(O316-V316)*R316</f>
        <v/>
      </c>
      <c r="V316" s="11" t="n">
        <v>66625</v>
      </c>
      <c r="W316" s="11" t="n"/>
      <c r="X316" s="22">
        <f>S316+T316+U316+V316+W316</f>
        <v/>
      </c>
      <c r="Y316" s="11" t="n">
        <v>233159.9896</v>
      </c>
      <c r="Z316" s="22">
        <f>AE316-AB316-AA316-AC316</f>
        <v/>
      </c>
      <c r="AA316" s="22">
        <f>N316-T316-W316</f>
        <v/>
      </c>
      <c r="AB316" s="22">
        <f>O316-V316-U316</f>
        <v/>
      </c>
      <c r="AC316" s="22">
        <f>P316</f>
        <v/>
      </c>
      <c r="AD316" s="23">
        <f>Z316+AA316+AB316+AC316</f>
        <v/>
      </c>
      <c r="AE316" s="11" t="n">
        <v>2673956.65827</v>
      </c>
      <c r="AF316" s="24">
        <f>AD316-AE316</f>
        <v/>
      </c>
      <c r="AG316" s="13">
        <f>IF(OR(B316="",B316=0,M316=""),"",M316/B316*10000)</f>
        <v/>
      </c>
      <c r="AH316" s="13">
        <f>IF(OR(C316="",C316=0),"",N316/C316*10000)</f>
        <v/>
      </c>
      <c r="AI316" s="13">
        <f>IF(OR(D316="",D316=0),"",O316/D316*10000)</f>
        <v/>
      </c>
      <c r="AJ316" s="11" t="n">
        <v>23104.13737393815</v>
      </c>
      <c r="AK316" s="11" t="n">
        <v>0</v>
      </c>
      <c r="AL316" s="22">
        <f>AE316+AJ316+AK316</f>
        <v/>
      </c>
      <c r="AM316" s="22">
        <f>AE316</f>
        <v/>
      </c>
      <c r="AN316" s="14" t="n">
        <v>57969.57</v>
      </c>
      <c r="AO316" s="15" t="n">
        <v>46.12690172223117</v>
      </c>
      <c r="AP316" s="14" t="n">
        <v>32235953.87</v>
      </c>
      <c r="AQ316" s="14" t="n">
        <v>26421.9418</v>
      </c>
      <c r="AR316" s="14" t="n">
        <v>1239.5163</v>
      </c>
      <c r="AS316" s="14" t="n"/>
      <c r="AT316" s="16" t="n">
        <v>427.965363679471</v>
      </c>
      <c r="AU316" s="17" t="n">
        <v>0.02155558</v>
      </c>
      <c r="AV316" s="14" t="n">
        <v>420613240.386</v>
      </c>
      <c r="AW316" s="18" t="n">
        <v>60100000</v>
      </c>
      <c r="AX316" s="19" t="n">
        <v>32235953.87</v>
      </c>
      <c r="AY316" s="18" t="n">
        <v>3100000</v>
      </c>
      <c r="AZ316" s="18">
        <f>1000000000-999563693.7302</f>
        <v/>
      </c>
      <c r="BA316" s="20">
        <f>1000000000-AV316-AW316-AX316-AY316-AZ316</f>
        <v/>
      </c>
      <c r="BB316" s="21" t="n">
        <v>244.9</v>
      </c>
      <c r="BC316" s="21">
        <f>BA316/1000000-BB316</f>
        <v/>
      </c>
      <c r="BD316" s="22">
        <f>BA316*44.97</f>
        <v/>
      </c>
    </row>
    <row r="317">
      <c r="A317" s="10" t="n">
        <v>45939</v>
      </c>
      <c r="B317" s="11" t="n">
        <v>12273094486.69183</v>
      </c>
      <c r="C317" s="11" t="n"/>
      <c r="D317" s="11" t="n">
        <v>454122989</v>
      </c>
      <c r="E317" s="11" t="n"/>
      <c r="M317" s="22">
        <f>Z317/(1-R317)</f>
        <v/>
      </c>
      <c r="N317" s="11" t="n"/>
      <c r="O317" s="11" t="n">
        <v>253750</v>
      </c>
      <c r="P317" s="11" t="n"/>
      <c r="Q317" s="22">
        <f>M317+N317+O317+P317</f>
        <v/>
      </c>
      <c r="R317" s="12" t="n">
        <v>0.01</v>
      </c>
      <c r="S317" s="22">
        <f>M317*R317</f>
        <v/>
      </c>
      <c r="T317" s="22">
        <f>N317*R317</f>
        <v/>
      </c>
      <c r="U317" s="22">
        <f>(O317-V317)*R317</f>
        <v/>
      </c>
      <c r="V317" s="11" t="n">
        <v>65174</v>
      </c>
      <c r="W317" s="11" t="n"/>
      <c r="X317" s="22">
        <f>S317+T317+U317+V317+W317</f>
        <v/>
      </c>
      <c r="Y317" s="11" t="n">
        <v>264087.7299</v>
      </c>
      <c r="Z317" s="22">
        <f>AE317-AB317-AA317-AC317</f>
        <v/>
      </c>
      <c r="AA317" s="22">
        <f>N317-T317-W317</f>
        <v/>
      </c>
      <c r="AB317" s="22">
        <f>O317-V317-U317</f>
        <v/>
      </c>
      <c r="AC317" s="22">
        <f>P317</f>
        <v/>
      </c>
      <c r="AD317" s="23">
        <f>Z317+AA317+AB317+AC317</f>
        <v/>
      </c>
      <c r="AE317" s="11" t="n">
        <v>3500214.9785</v>
      </c>
      <c r="AF317" s="24">
        <f>AD317-AE317</f>
        <v/>
      </c>
      <c r="AG317" s="13">
        <f>IF(OR(B317="",B317=0,M317=""),"",M317/B317*10000)</f>
        <v/>
      </c>
      <c r="AH317" s="13">
        <f>IF(OR(C317="",C317=0),"",N317/C317*10000)</f>
        <v/>
      </c>
      <c r="AI317" s="13">
        <f>IF(OR(D317="",D317=0),"",O317/D317*10000)</f>
        <v/>
      </c>
      <c r="AJ317" s="11" t="n">
        <v>37636.68705437952</v>
      </c>
      <c r="AK317" s="11" t="n">
        <v>23191.89</v>
      </c>
      <c r="AL317" s="22">
        <f>AE317+AJ317+AK317</f>
        <v/>
      </c>
      <c r="AM317" s="22">
        <f>AE317</f>
        <v/>
      </c>
      <c r="AN317" s="14" t="n">
        <v>79211.56</v>
      </c>
      <c r="AO317" s="15" t="n">
        <v>44.18818387745426</v>
      </c>
      <c r="AP317" s="14" t="n">
        <v>32294369.12</v>
      </c>
      <c r="AQ317" s="14" t="n">
        <v>26430.8063</v>
      </c>
      <c r="AR317" s="14" t="n">
        <v>400.0284</v>
      </c>
      <c r="AS317" s="14" t="n"/>
      <c r="AT317" s="16" t="n">
        <v>428.0791716261718</v>
      </c>
      <c r="AU317" s="17" t="n">
        <v>0.0215527477</v>
      </c>
      <c r="AV317" s="14" t="n">
        <v>420586809.5797</v>
      </c>
      <c r="AW317" s="18" t="n">
        <v>60100000</v>
      </c>
      <c r="AX317" s="19" t="n">
        <v>32294369.12</v>
      </c>
      <c r="AY317" s="18" t="n">
        <v>3100000</v>
      </c>
      <c r="AZ317" s="18">
        <f>1000000000-999563293.7018</f>
        <v/>
      </c>
      <c r="BA317" s="20">
        <f>1000000000-AV317-AW317-AX317-AY317-AZ317</f>
        <v/>
      </c>
      <c r="BB317" s="21" t="n">
        <v>244.9</v>
      </c>
      <c r="BC317" s="21">
        <f>BA317/1000000-BB317</f>
        <v/>
      </c>
      <c r="BD317" s="22">
        <f>BA317*46.6</f>
        <v/>
      </c>
    </row>
    <row r="318">
      <c r="A318" s="10" t="n">
        <v>45940</v>
      </c>
      <c r="B318" s="11" t="n">
        <v>28724586156.57698</v>
      </c>
      <c r="C318" s="11" t="n"/>
      <c r="D318" s="11" t="n">
        <v>984610585</v>
      </c>
      <c r="E318" s="11" t="n"/>
      <c r="M318" s="22">
        <f>Z318/(1-R318)</f>
        <v/>
      </c>
      <c r="N318" s="11" t="n"/>
      <c r="O318" s="11" t="n">
        <v>510401</v>
      </c>
      <c r="P318" s="11" t="n"/>
      <c r="Q318" s="22">
        <f>M318+N318+O318+P318</f>
        <v/>
      </c>
      <c r="R318" s="12" t="n">
        <v>0.01</v>
      </c>
      <c r="S318" s="22">
        <f>M318*R318</f>
        <v/>
      </c>
      <c r="T318" s="22">
        <f>N318*R318</f>
        <v/>
      </c>
      <c r="U318" s="22">
        <f>(O318-V318)*R318</f>
        <v/>
      </c>
      <c r="V318" s="11" t="n">
        <v>84737</v>
      </c>
      <c r="W318" s="11" t="n"/>
      <c r="X318" s="22">
        <f>S318+T318+U318+V318+W318</f>
        <v/>
      </c>
      <c r="Y318" s="11" t="n">
        <v>434914.3616</v>
      </c>
      <c r="Z318" s="22">
        <f>AE318-AB318-AA318-AC318</f>
        <v/>
      </c>
      <c r="AA318" s="22">
        <f>N318-T318-W318</f>
        <v/>
      </c>
      <c r="AB318" s="22">
        <f>O318-V318-U318</f>
        <v/>
      </c>
      <c r="AC318" s="22">
        <f>P318</f>
        <v/>
      </c>
      <c r="AD318" s="23">
        <f>Z318+AA318+AB318+AC318</f>
        <v/>
      </c>
      <c r="AE318" s="11" t="n">
        <v>20134654.76808</v>
      </c>
      <c r="AF318" s="24">
        <f>AD318-AE318</f>
        <v/>
      </c>
      <c r="AG318" s="13">
        <f>IF(OR(B318="",B318=0,M318=""),"",M318/B318*10000)</f>
        <v/>
      </c>
      <c r="AH318" s="13">
        <f>IF(OR(C318="",C318=0),"",N318/C318*10000)</f>
        <v/>
      </c>
      <c r="AI318" s="13">
        <f>IF(OR(D318="",D318=0),"",O318/D318*10000)</f>
        <v/>
      </c>
      <c r="AJ318" s="11" t="n">
        <v>391730.1730758381</v>
      </c>
      <c r="AK318" s="11" t="n">
        <v>0</v>
      </c>
      <c r="AL318" s="22">
        <f>AE318+AJ318+AK318</f>
        <v/>
      </c>
      <c r="AM318" s="22">
        <f>AE318</f>
        <v/>
      </c>
      <c r="AN318" s="14" t="n">
        <v>507262.99</v>
      </c>
      <c r="AO318" s="15" t="n">
        <v>39.6927336805707</v>
      </c>
      <c r="AP318" s="14" t="n">
        <v>32371984.13</v>
      </c>
      <c r="AQ318" s="14" t="n">
        <v>26390.5465</v>
      </c>
      <c r="AR318" s="14" t="n">
        <v>1105.4204</v>
      </c>
      <c r="AS318" s="14" t="n"/>
      <c r="AT318" s="16" t="n">
        <v>426.3086488292074</v>
      </c>
      <c r="AU318" s="17" t="n">
        <v>0.0215969377</v>
      </c>
      <c r="AV318" s="14" t="n">
        <v>420560419.0333</v>
      </c>
      <c r="AW318" s="18" t="n">
        <v>60100000</v>
      </c>
      <c r="AX318" s="19" t="n">
        <v>32371984.13</v>
      </c>
      <c r="AY318" s="18" t="n">
        <v>3100000</v>
      </c>
      <c r="AZ318" s="18">
        <f>1000000000-999562188.2814</f>
        <v/>
      </c>
      <c r="BA318" s="20">
        <f>1000000000-AV318-AW318-AX318-AY318-AZ318</f>
        <v/>
      </c>
      <c r="BB318" s="21" t="n">
        <v>244.9</v>
      </c>
      <c r="BC318" s="21">
        <f>BA318/1000000-BB318</f>
        <v/>
      </c>
      <c r="BD318" s="22">
        <f>BA318*44.08</f>
        <v/>
      </c>
    </row>
    <row r="319">
      <c r="A319" s="10" t="n">
        <v>45941</v>
      </c>
      <c r="B319" s="11" t="n">
        <v>10333348903.63861</v>
      </c>
      <c r="C319" s="11" t="n"/>
      <c r="D319" s="11" t="n">
        <v>704628551</v>
      </c>
      <c r="E319" s="11" t="n"/>
      <c r="M319" s="22">
        <f>Z319/(1-R319)</f>
        <v/>
      </c>
      <c r="N319" s="11" t="n"/>
      <c r="O319" s="11" t="n">
        <v>323696</v>
      </c>
      <c r="P319" s="11" t="n"/>
      <c r="Q319" s="22">
        <f>M319+N319+O319+P319</f>
        <v/>
      </c>
      <c r="R319" s="12" t="n">
        <v>0.01</v>
      </c>
      <c r="S319" s="22">
        <f>M319*R319</f>
        <v/>
      </c>
      <c r="T319" s="22">
        <f>N319*R319</f>
        <v/>
      </c>
      <c r="U319" s="22">
        <f>(O319-V319)*R319</f>
        <v/>
      </c>
      <c r="V319" s="11" t="n">
        <v>72872</v>
      </c>
      <c r="W319" s="11" t="n"/>
      <c r="X319" s="22">
        <f>S319+T319+U319+V319+W319</f>
        <v/>
      </c>
      <c r="Y319" s="11" t="n">
        <v>216111.4217</v>
      </c>
      <c r="Z319" s="22">
        <f>AE319-AB319-AA319-AC319</f>
        <v/>
      </c>
      <c r="AA319" s="22">
        <f>N319-T319-W319</f>
        <v/>
      </c>
      <c r="AB319" s="22">
        <f>O319-V319-U319</f>
        <v/>
      </c>
      <c r="AC319" s="22">
        <f>P319</f>
        <v/>
      </c>
      <c r="AD319" s="23">
        <f>Z319+AA319+AB319+AC319</f>
        <v/>
      </c>
      <c r="AE319" s="11" t="n">
        <v>2999479.48806</v>
      </c>
      <c r="AF319" s="24">
        <f>AD319-AE319</f>
        <v/>
      </c>
      <c r="AG319" s="13">
        <f>IF(OR(B319="",B319=0,M319=""),"",M319/B319*10000)</f>
        <v/>
      </c>
      <c r="AH319" s="13">
        <f>IF(OR(C319="",C319=0),"",N319/C319*10000)</f>
        <v/>
      </c>
      <c r="AI319" s="13">
        <f>IF(OR(D319="",D319=0),"",O319/D319*10000)</f>
        <v/>
      </c>
      <c r="AJ319" s="11" t="n">
        <v>105794.8433546484</v>
      </c>
      <c r="AK319" s="11" t="n">
        <v>29062.12</v>
      </c>
      <c r="AL319" s="22">
        <f>AE319+AJ319+AK319</f>
        <v/>
      </c>
      <c r="AM319" s="22">
        <f>AE319</f>
        <v/>
      </c>
      <c r="AN319" s="14" t="n">
        <v>78616.25</v>
      </c>
      <c r="AO319" s="15" t="n">
        <v>38.15342868758049</v>
      </c>
      <c r="AP319" s="14" t="n">
        <v>32894296</v>
      </c>
      <c r="AQ319" s="14" t="n">
        <v>26366.7242</v>
      </c>
      <c r="AR319" s="14" t="n">
        <v>1896.0689</v>
      </c>
      <c r="AS319" s="14" t="n"/>
      <c r="AT319" s="16" t="n">
        <v>425.6300310562639</v>
      </c>
      <c r="AU319" s="17" t="n">
        <v>0.0216139476</v>
      </c>
      <c r="AV319" s="14" t="n">
        <v>420534052.309</v>
      </c>
      <c r="AW319" s="18" t="n">
        <v>60100000</v>
      </c>
      <c r="AX319" s="19" t="n">
        <v>32894296</v>
      </c>
      <c r="AY319" s="18" t="n">
        <v>3100000</v>
      </c>
      <c r="AZ319" s="18">
        <f>1000000000-999560292.2125</f>
        <v/>
      </c>
      <c r="BA319" s="20">
        <f>1000000000-AV319-AW319-AX319-AY319-AZ319</f>
        <v/>
      </c>
      <c r="BB319" s="21" t="n">
        <v>244.9</v>
      </c>
      <c r="BC319" s="21">
        <f>BA319/1000000-BB319</f>
        <v/>
      </c>
      <c r="BD319" s="22">
        <f>BA319*38.23</f>
        <v/>
      </c>
    </row>
    <row r="320">
      <c r="A320" s="10" t="n">
        <v>45942</v>
      </c>
      <c r="B320" s="11" t="n">
        <v>11787564657.259</v>
      </c>
      <c r="C320" s="11" t="n"/>
      <c r="D320" s="11" t="n">
        <v>484211693</v>
      </c>
      <c r="E320" s="11" t="n"/>
      <c r="M320" s="22">
        <f>Z320/(1-R320)</f>
        <v/>
      </c>
      <c r="N320" s="11" t="n"/>
      <c r="O320" s="11" t="n">
        <v>257362</v>
      </c>
      <c r="P320" s="11" t="n"/>
      <c r="Q320" s="22">
        <f>M320+N320+O320+P320</f>
        <v/>
      </c>
      <c r="R320" s="12" t="n">
        <v>0.01</v>
      </c>
      <c r="S320" s="22">
        <f>M320*R320</f>
        <v/>
      </c>
      <c r="T320" s="22">
        <f>N320*R320</f>
        <v/>
      </c>
      <c r="U320" s="22">
        <f>(O320-V320)*R320</f>
        <v/>
      </c>
      <c r="V320" s="11" t="n">
        <v>79135</v>
      </c>
      <c r="W320" s="11" t="n"/>
      <c r="X320" s="22">
        <f>S320+T320+U320+V320+W320</f>
        <v/>
      </c>
      <c r="Y320" s="11" t="n">
        <v>288561.5093</v>
      </c>
      <c r="Z320" s="22">
        <f>AE320-AB320-AA320-AC320</f>
        <v/>
      </c>
      <c r="AA320" s="22">
        <f>N320-T320-W320</f>
        <v/>
      </c>
      <c r="AB320" s="22">
        <f>O320-V320-U320</f>
        <v/>
      </c>
      <c r="AC320" s="22">
        <f>P320</f>
        <v/>
      </c>
      <c r="AD320" s="23">
        <f>Z320+AA320+AB320+AC320</f>
        <v/>
      </c>
      <c r="AE320" s="11" t="n">
        <v>3279132.39735</v>
      </c>
      <c r="AF320" s="24">
        <f>AD320-AE320</f>
        <v/>
      </c>
      <c r="AG320" s="13">
        <f>IF(OR(B320="",B320=0,M320=""),"",M320/B320*10000)</f>
        <v/>
      </c>
      <c r="AH320" s="13">
        <f>IF(OR(C320="",C320=0),"",N320/C320*10000)</f>
        <v/>
      </c>
      <c r="AI320" s="13">
        <f>IF(OR(D320="",D320=0),"",O320/D320*10000)</f>
        <v/>
      </c>
      <c r="AJ320" s="11" t="n">
        <v>49128.07455342344</v>
      </c>
      <c r="AK320" s="11" t="n">
        <v>0</v>
      </c>
      <c r="AL320" s="22">
        <f>AE320+AJ320+AK320</f>
        <v/>
      </c>
      <c r="AM320" s="22">
        <f>AE320</f>
        <v/>
      </c>
      <c r="AN320" s="14" t="n">
        <v>84192.56</v>
      </c>
      <c r="AO320" s="15" t="n">
        <v>38.94800677577687</v>
      </c>
      <c r="AP320" s="14" t="n">
        <v>32964950.57</v>
      </c>
      <c r="AQ320" s="14" t="n">
        <v>26327.2198</v>
      </c>
      <c r="AR320" s="14" t="n">
        <v>2730.5779</v>
      </c>
      <c r="AS320" s="14" t="n"/>
      <c r="AT320" s="16" t="n">
        <v>424.1699421944982</v>
      </c>
      <c r="AU320" s="17" t="n">
        <v>0.0216506827</v>
      </c>
      <c r="AV320" s="14" t="n">
        <v>420507725.0892</v>
      </c>
      <c r="AW320" s="18" t="n">
        <v>60100000</v>
      </c>
      <c r="AX320" s="19" t="n">
        <v>32964950.57</v>
      </c>
      <c r="AY320" s="18" t="n">
        <v>3100000</v>
      </c>
      <c r="AZ320" s="18">
        <f>1000000000-999557561.6346</f>
        <v/>
      </c>
      <c r="BA320" s="20">
        <f>1000000000-AV320-AW320-AX320-AY320-AZ320</f>
        <v/>
      </c>
      <c r="BB320" s="21" t="n">
        <v>244.9</v>
      </c>
      <c r="BC320" s="21">
        <f>BA320/1000000-BB320</f>
        <v/>
      </c>
      <c r="BD320" s="22">
        <f>BA320*36.72</f>
        <v/>
      </c>
    </row>
    <row r="321">
      <c r="A321" s="10" t="n">
        <v>45943</v>
      </c>
      <c r="B321" s="11" t="n">
        <v>9570607490.980783</v>
      </c>
      <c r="C321" s="11" t="n">
        <v>24047820.18000006</v>
      </c>
      <c r="D321" s="11" t="n">
        <v>433769946</v>
      </c>
      <c r="E321" s="11" t="n"/>
      <c r="M321" s="22">
        <f>Z321/(1-R321)</f>
        <v/>
      </c>
      <c r="N321" s="11" t="n">
        <v>15820.74421700005</v>
      </c>
      <c r="O321" s="11" t="n">
        <v>217963</v>
      </c>
      <c r="P321" s="11" t="n"/>
      <c r="Q321" s="22">
        <f>M321+N321+O321+P321</f>
        <v/>
      </c>
      <c r="R321" s="12" t="n">
        <v>0.01</v>
      </c>
      <c r="S321" s="22">
        <f>M321*R321</f>
        <v/>
      </c>
      <c r="T321" s="22">
        <f>N321*R321</f>
        <v/>
      </c>
      <c r="U321" s="22">
        <f>(O321-V321)*R321</f>
        <v/>
      </c>
      <c r="V321" s="11" t="n">
        <v>52930</v>
      </c>
      <c r="W321" s="11" t="n">
        <v>0</v>
      </c>
      <c r="X321" s="22">
        <f>S321+T321+U321+V321+W321</f>
        <v/>
      </c>
      <c r="Y321" s="11" t="n">
        <v>249712.7871</v>
      </c>
      <c r="Z321" s="22">
        <f>AE321-AB321-AA321-AC321</f>
        <v/>
      </c>
      <c r="AA321" s="22">
        <f>N321-T321-W321</f>
        <v/>
      </c>
      <c r="AB321" s="22">
        <f>O321-V321-U321</f>
        <v/>
      </c>
      <c r="AC321" s="22">
        <f>P321</f>
        <v/>
      </c>
      <c r="AD321" s="23">
        <f>Z321+AA321+AB321+AC321</f>
        <v/>
      </c>
      <c r="AE321" s="11" t="n">
        <v>2737513.05481</v>
      </c>
      <c r="AF321" s="24">
        <f>AD321-AE321</f>
        <v/>
      </c>
      <c r="AG321" s="13">
        <f>IF(OR(B321="",B321=0,M321=""),"",M321/B321*10000)</f>
        <v/>
      </c>
      <c r="AH321" s="13">
        <f>IF(OR(C321="",C321=0),"",N321/C321*10000)</f>
        <v/>
      </c>
      <c r="AI321" s="13">
        <f>IF(OR(D321="",D321=0),"",O321/D321*10000)</f>
        <v/>
      </c>
      <c r="AJ321" s="11" t="n">
        <v>54909.7571754914</v>
      </c>
      <c r="AK321" s="11" t="n">
        <v>0</v>
      </c>
      <c r="AL321" s="22">
        <f>AE321+AJ321+AK321</f>
        <v/>
      </c>
      <c r="AM321" s="22">
        <f>AE321</f>
        <v/>
      </c>
      <c r="AN321" s="14" t="n">
        <v>66844.14</v>
      </c>
      <c r="AO321" s="15" t="n">
        <v>40.95367304912592</v>
      </c>
      <c r="AP321" s="14" t="n">
        <v>33052999.62</v>
      </c>
      <c r="AQ321" s="14" t="n">
        <v>26292.3723</v>
      </c>
      <c r="AR321" s="14" t="n">
        <v>1146.203</v>
      </c>
      <c r="AS321" s="14" t="n"/>
      <c r="AT321" s="16" t="n">
        <v>423.485869293869</v>
      </c>
      <c r="AU321" s="17" t="n">
        <v>0.0216679584</v>
      </c>
      <c r="AV321" s="14" t="n">
        <v>420481432.7169</v>
      </c>
      <c r="AW321" s="18" t="n">
        <v>60100000</v>
      </c>
      <c r="AX321" s="19" t="n">
        <v>33052999.62</v>
      </c>
      <c r="AY321" s="18" t="n">
        <v>3100000</v>
      </c>
      <c r="AZ321" s="18">
        <f>1000000000-999556415.4316</f>
        <v/>
      </c>
      <c r="BA321" s="20">
        <f>1000000000-AV321-AW321-AX321-AY321-AZ321</f>
        <v/>
      </c>
      <c r="BB321" s="21" t="n">
        <v>244.9</v>
      </c>
      <c r="BC321" s="21">
        <f>BA321/1000000-BB321</f>
        <v/>
      </c>
      <c r="BD321" s="22">
        <f>BA321*39.64</f>
        <v/>
      </c>
    </row>
    <row r="322">
      <c r="A322" s="10" t="n">
        <v>45944</v>
      </c>
      <c r="B322" s="11" t="n">
        <v>16132029484.51047</v>
      </c>
      <c r="C322" s="11" t="n">
        <v>21857346.68620012</v>
      </c>
      <c r="D322" s="11" t="n">
        <v>421373162</v>
      </c>
      <c r="E322" s="11" t="n"/>
      <c r="M322" s="22">
        <f>Z322/(1-R322)</f>
        <v/>
      </c>
      <c r="N322" s="11" t="n">
        <v>12706.97653400002</v>
      </c>
      <c r="O322" s="11" t="n">
        <v>198310</v>
      </c>
      <c r="P322" s="11" t="n"/>
      <c r="Q322" s="22">
        <f>M322+N322+O322+P322</f>
        <v/>
      </c>
      <c r="R322" s="12" t="n">
        <v>0.01</v>
      </c>
      <c r="S322" s="22">
        <f>M322*R322</f>
        <v/>
      </c>
      <c r="T322" s="22">
        <f>N322*R322</f>
        <v/>
      </c>
      <c r="U322" s="22">
        <f>(O322-V322)*R322</f>
        <v/>
      </c>
      <c r="V322" s="11" t="n">
        <v>45800</v>
      </c>
      <c r="W322" s="11" t="n">
        <v>0</v>
      </c>
      <c r="X322" s="22">
        <f>S322+T322+U322+V322+W322</f>
        <v/>
      </c>
      <c r="Y322" s="11" t="n">
        <v>326781.9410999999</v>
      </c>
      <c r="Z322" s="22">
        <f>AE322-AB322-AA322-AC322</f>
        <v/>
      </c>
      <c r="AA322" s="22">
        <f>N322-T322-W322</f>
        <v/>
      </c>
      <c r="AB322" s="22">
        <f>O322-V322-U322</f>
        <v/>
      </c>
      <c r="AC322" s="22">
        <f>P322</f>
        <v/>
      </c>
      <c r="AD322" s="23">
        <f>Z322+AA322+AB322+AC322</f>
        <v/>
      </c>
      <c r="AE322" s="11" t="n">
        <v>4368313.10851</v>
      </c>
      <c r="AF322" s="24">
        <f>AD322-AE322</f>
        <v/>
      </c>
      <c r="AG322" s="13">
        <f>IF(OR(B322="",B322=0,M322=""),"",M322/B322*10000)</f>
        <v/>
      </c>
      <c r="AH322" s="13">
        <f>IF(OR(C322="",C322=0),"",N322/C322*10000)</f>
        <v/>
      </c>
      <c r="AI322" s="13">
        <f>IF(OR(D322="",D322=0),"",O322/D322*10000)</f>
        <v/>
      </c>
      <c r="AJ322" s="11" t="n">
        <v>50001.73301025721</v>
      </c>
      <c r="AK322" s="11" t="n">
        <v>0</v>
      </c>
      <c r="AL322" s="22">
        <f>AE322+AJ322+AK322</f>
        <v/>
      </c>
      <c r="AM322" s="22">
        <f>AE322</f>
        <v/>
      </c>
      <c r="AN322" s="14" t="n">
        <v>110239.28</v>
      </c>
      <c r="AO322" s="15" t="n">
        <v>39.6257405573585</v>
      </c>
      <c r="AP322" s="14" t="n">
        <v>33139257.46</v>
      </c>
      <c r="AQ322" s="14" t="n">
        <v>26269.2748</v>
      </c>
      <c r="AR322" s="14" t="n">
        <v>1747.98</v>
      </c>
      <c r="AS322" s="14" t="n"/>
      <c r="AT322" s="16" t="n">
        <v>422.7004358030554</v>
      </c>
      <c r="AU322" s="17" t="n">
        <v>0.0216878452</v>
      </c>
      <c r="AV322" s="14" t="n">
        <v>420455163.4421</v>
      </c>
      <c r="AW322" s="18" t="n">
        <v>60100000</v>
      </c>
      <c r="AX322" s="19" t="n">
        <v>33139257.46</v>
      </c>
      <c r="AY322" s="18" t="n">
        <v>3100000</v>
      </c>
      <c r="AZ322" s="18">
        <f>1000000000-999554667.4516</f>
        <v/>
      </c>
      <c r="BA322" s="20">
        <f>1000000000-AV322-AW322-AX322-AY322-AZ322</f>
        <v/>
      </c>
      <c r="BB322" s="21" t="n">
        <v>244.9</v>
      </c>
      <c r="BC322" s="21">
        <f>BA322/1000000-BB322</f>
        <v/>
      </c>
      <c r="BD322" s="22">
        <f>BA322*42.57</f>
        <v/>
      </c>
    </row>
    <row r="323">
      <c r="A323" s="10" t="n">
        <v>45945</v>
      </c>
      <c r="B323" s="11" t="n">
        <v>10726685395.98</v>
      </c>
      <c r="C323" s="11" t="n">
        <v>20629519.53990023</v>
      </c>
      <c r="D323" s="11" t="n">
        <v>285617603</v>
      </c>
      <c r="E323" s="11" t="n"/>
      <c r="M323" s="22">
        <f>Z323/(1-R323)</f>
        <v/>
      </c>
      <c r="N323" s="11" t="n">
        <v>12144.80745500002</v>
      </c>
      <c r="O323" s="11" t="n">
        <v>154768</v>
      </c>
      <c r="P323" s="11" t="n"/>
      <c r="Q323" s="22">
        <f>M323+N323+O323+P323</f>
        <v/>
      </c>
      <c r="R323" s="12" t="n">
        <v>0.01</v>
      </c>
      <c r="S323" s="22">
        <f>M323*R323</f>
        <v/>
      </c>
      <c r="T323" s="22">
        <f>N323*R323</f>
        <v/>
      </c>
      <c r="U323" s="22">
        <f>(O323-V323)*R323</f>
        <v/>
      </c>
      <c r="V323" s="11" t="n">
        <v>33550</v>
      </c>
      <c r="W323" s="11" t="n">
        <v>0</v>
      </c>
      <c r="X323" s="22">
        <f>S323+T323+U323+V323+W323</f>
        <v/>
      </c>
      <c r="Y323" s="11" t="n">
        <v>239303.0005</v>
      </c>
      <c r="Z323" s="22">
        <f>AE323-AB323-AA323-AC323</f>
        <v/>
      </c>
      <c r="AA323" s="22">
        <f>N323-T323-W323</f>
        <v/>
      </c>
      <c r="AB323" s="22">
        <f>O323-V323-U323</f>
        <v/>
      </c>
      <c r="AC323" s="22">
        <f>P323</f>
        <v/>
      </c>
      <c r="AD323" s="23">
        <f>Z323+AA323+AB323+AC323</f>
        <v/>
      </c>
      <c r="AE323" s="11" t="n">
        <v>2972554.26511</v>
      </c>
      <c r="AF323" s="24">
        <f>AD323-AE323</f>
        <v/>
      </c>
      <c r="AG323" s="13">
        <f>IF(OR(B323="",B323=0,M323=""),"",M323/B323*10000)</f>
        <v/>
      </c>
      <c r="AH323" s="13">
        <f>IF(OR(C323="",C323=0),"",N323/C323*10000)</f>
        <v/>
      </c>
      <c r="AI323" s="13">
        <f>IF(OR(D323="",D323=0),"",O323/D323*10000)</f>
        <v/>
      </c>
      <c r="AJ323" s="11" t="n">
        <v>32231.03163678108</v>
      </c>
      <c r="AK323" s="11" t="n">
        <v>19765.09</v>
      </c>
      <c r="AL323" s="22">
        <f>AE323+AJ323+AK323</f>
        <v/>
      </c>
      <c r="AM323" s="22">
        <f>AE323</f>
        <v/>
      </c>
      <c r="AN323" s="14" t="n">
        <v>75913.64999999999</v>
      </c>
      <c r="AO323" s="15" t="n">
        <v>39.15704573696562</v>
      </c>
      <c r="AP323" s="14" t="n">
        <v>33225824.74</v>
      </c>
      <c r="AQ323" s="14" t="n">
        <v>32330.6166</v>
      </c>
      <c r="AR323" s="14" t="n">
        <v>1658.0976</v>
      </c>
      <c r="AS323" s="14" t="n"/>
      <c r="AT323" s="16" t="n">
        <v>422.4604013236334</v>
      </c>
      <c r="AU323" s="17" t="n">
        <v>0.0216939338</v>
      </c>
      <c r="AV323" s="14" t="n">
        <v>420422832.8255</v>
      </c>
      <c r="AW323" s="18" t="n">
        <v>60100000</v>
      </c>
      <c r="AX323" s="19" t="n">
        <v>33225824.74</v>
      </c>
      <c r="AY323" s="18" t="n">
        <v>3100000</v>
      </c>
      <c r="AZ323" s="18">
        <f>1000000000-999553009.354</f>
        <v/>
      </c>
      <c r="BA323" s="20">
        <f>1000000000-AV323-AW323-AX323-AY323-AZ323</f>
        <v/>
      </c>
      <c r="BB323" s="21" t="n">
        <v>244.9</v>
      </c>
      <c r="BC323" s="21">
        <f>BA323/1000000-BB323</f>
        <v/>
      </c>
      <c r="BD323" s="22">
        <f>BA323*39.08</f>
        <v/>
      </c>
    </row>
    <row r="324">
      <c r="A324" s="10" t="n">
        <v>45946</v>
      </c>
      <c r="B324" s="11" t="n">
        <v>11456351941.511</v>
      </c>
      <c r="C324" s="11" t="n">
        <v>19168298.73449982</v>
      </c>
      <c r="D324" s="11" t="n">
        <v>366551346</v>
      </c>
      <c r="E324" s="11" t="n"/>
      <c r="M324" s="22">
        <f>Z324/(1-R324)</f>
        <v/>
      </c>
      <c r="N324" s="11" t="n">
        <v>11499.27139200002</v>
      </c>
      <c r="O324" s="11" t="n">
        <v>184541</v>
      </c>
      <c r="P324" s="11" t="n"/>
      <c r="Q324" s="22">
        <f>M324+N324+O324+P324</f>
        <v/>
      </c>
      <c r="R324" s="12" t="n">
        <v>0.01</v>
      </c>
      <c r="S324" s="22">
        <f>M324*R324</f>
        <v/>
      </c>
      <c r="T324" s="22">
        <f>N324*R324</f>
        <v/>
      </c>
      <c r="U324" s="22">
        <f>(O324-V324)*R324</f>
        <v/>
      </c>
      <c r="V324" s="11" t="n">
        <v>46185</v>
      </c>
      <c r="W324" s="11" t="n">
        <v>0</v>
      </c>
      <c r="X324" s="22">
        <f>S324+T324+U324+V324+W324</f>
        <v/>
      </c>
      <c r="Y324" s="11" t="n">
        <v>229678.862</v>
      </c>
      <c r="Z324" s="22">
        <f>AE324-AB324-AA324-AC324</f>
        <v/>
      </c>
      <c r="AA324" s="22">
        <f>N324-T324-W324</f>
        <v/>
      </c>
      <c r="AB324" s="22">
        <f>O324-V324-U324</f>
        <v/>
      </c>
      <c r="AC324" s="22">
        <f>P324</f>
        <v/>
      </c>
      <c r="AD324" s="23">
        <f>Z324+AA324+AB324+AC324</f>
        <v/>
      </c>
      <c r="AE324" s="11" t="n">
        <v>3135849.89117</v>
      </c>
      <c r="AF324" s="24">
        <f>AD324-AE324</f>
        <v/>
      </c>
      <c r="AG324" s="13">
        <f>IF(OR(B324="",B324=0,M324=""),"",M324/B324*10000)</f>
        <v/>
      </c>
      <c r="AH324" s="13">
        <f>IF(OR(C324="",C324=0),"",N324/C324*10000)</f>
        <v/>
      </c>
      <c r="AI324" s="13">
        <f>IF(OR(D324="",D324=0),"",O324/D324*10000)</f>
        <v/>
      </c>
      <c r="AJ324" s="11" t="n">
        <v>33093.78849591841</v>
      </c>
      <c r="AK324" s="11" t="n">
        <v>28035.79</v>
      </c>
      <c r="AL324" s="22">
        <f>AE324+AJ324+AK324</f>
        <v/>
      </c>
      <c r="AM324" s="22">
        <f>AE324</f>
        <v/>
      </c>
      <c r="AN324" s="14" t="n">
        <v>83220.56</v>
      </c>
      <c r="AO324" s="15" t="n">
        <v>37.68119189741093</v>
      </c>
      <c r="AP324" s="14" t="n">
        <v>33297567.25</v>
      </c>
      <c r="AQ324" s="14" t="n">
        <v>30483.492</v>
      </c>
      <c r="AR324" s="14" t="n">
        <v>869.1431</v>
      </c>
      <c r="AS324" s="14" t="n"/>
      <c r="AT324" s="16" t="n">
        <v>421.8817692929202</v>
      </c>
      <c r="AU324" s="17" t="n">
        <v>0.0217086321</v>
      </c>
      <c r="AV324" s="14" t="n">
        <v>420392349.3334</v>
      </c>
      <c r="AW324" s="18" t="n">
        <v>60100000</v>
      </c>
      <c r="AX324" s="19" t="n">
        <v>33297567.25</v>
      </c>
      <c r="AY324" s="18" t="n">
        <v>3100000</v>
      </c>
      <c r="AZ324" s="18">
        <f>1000000000-999552140.2109</f>
        <v/>
      </c>
      <c r="BA324" s="20">
        <f>1000000000-AV324-AW324-AX324-AY324-AZ324</f>
        <v/>
      </c>
      <c r="BB324" s="21" t="n">
        <v>244.9</v>
      </c>
      <c r="BC324" s="21">
        <f>BA324/1000000-BB324</f>
        <v/>
      </c>
      <c r="BD324" s="22">
        <f>BA324*37.3</f>
        <v/>
      </c>
    </row>
    <row r="325">
      <c r="A325" s="10" t="n">
        <v>45947</v>
      </c>
      <c r="B325" s="11" t="n">
        <v>11938745434.11882</v>
      </c>
      <c r="C325" s="11" t="n">
        <v>15072187.2056999</v>
      </c>
      <c r="D325" s="11" t="n">
        <v>440603237</v>
      </c>
      <c r="E325" s="11" t="n"/>
      <c r="M325" s="22">
        <f>Z325/(1-R325)</f>
        <v/>
      </c>
      <c r="N325" s="11" t="n">
        <v>8904.4830200001</v>
      </c>
      <c r="O325" s="11" t="n">
        <v>235326</v>
      </c>
      <c r="P325" s="11" t="n"/>
      <c r="Q325" s="22">
        <f>M325+N325+O325+P325</f>
        <v/>
      </c>
      <c r="R325" s="12" t="n">
        <v>0.01</v>
      </c>
      <c r="S325" s="22">
        <f>M325*R325</f>
        <v/>
      </c>
      <c r="T325" s="22">
        <f>N325*R325</f>
        <v/>
      </c>
      <c r="U325" s="22">
        <f>(O325-V325)*R325</f>
        <v/>
      </c>
      <c r="V325" s="11" t="n">
        <v>61282</v>
      </c>
      <c r="W325" s="11" t="n">
        <v>0</v>
      </c>
      <c r="X325" s="22">
        <f>S325+T325+U325+V325+W325</f>
        <v/>
      </c>
      <c r="Y325" s="11" t="n">
        <v>279423.2183</v>
      </c>
      <c r="Z325" s="22">
        <f>AE325-AB325-AA325-AC325</f>
        <v/>
      </c>
      <c r="AA325" s="22">
        <f>N325-T325-W325</f>
        <v/>
      </c>
      <c r="AB325" s="22">
        <f>O325-V325-U325</f>
        <v/>
      </c>
      <c r="AC325" s="22">
        <f>P325</f>
        <v/>
      </c>
      <c r="AD325" s="23">
        <f>Z325+AA325+AB325+AC325</f>
        <v/>
      </c>
      <c r="AE325" s="11" t="n">
        <v>3355088.34083</v>
      </c>
      <c r="AF325" s="24">
        <f>AD325-AE325</f>
        <v/>
      </c>
      <c r="AG325" s="13">
        <f>IF(OR(B325="",B325=0,M325=""),"",M325/B325*10000)</f>
        <v/>
      </c>
      <c r="AH325" s="13">
        <f>IF(OR(C325="",C325=0),"",N325/C325*10000)</f>
        <v/>
      </c>
      <c r="AI325" s="13">
        <f>IF(OR(D325="",D325=0),"",O325/D325*10000)</f>
        <v/>
      </c>
      <c r="AJ325" s="11" t="n">
        <v>60611.98977499302</v>
      </c>
      <c r="AK325" s="11" t="n">
        <v>0</v>
      </c>
      <c r="AL325" s="22">
        <f>AE325+AJ325+AK325</f>
        <v/>
      </c>
      <c r="AM325" s="22">
        <f>AE325</f>
        <v/>
      </c>
      <c r="AN325" s="14" t="n">
        <v>95672.62</v>
      </c>
      <c r="AO325" s="15" t="n">
        <v>35.0684275274368</v>
      </c>
      <c r="AP325" s="14" t="n">
        <v>33399150.81</v>
      </c>
      <c r="AQ325" s="14" t="n">
        <v>24464.4903</v>
      </c>
      <c r="AR325" s="14" t="n">
        <v>1905.645</v>
      </c>
      <c r="AS325" s="14" t="n"/>
      <c r="AT325" s="16" t="n">
        <v>418.7057102023577</v>
      </c>
      <c r="AU325" s="17" t="n">
        <v>0.0217898475</v>
      </c>
      <c r="AV325" s="14" t="n">
        <v>420367884.8431</v>
      </c>
      <c r="AW325" s="18" t="n">
        <v>60100000</v>
      </c>
      <c r="AX325" s="19" t="n">
        <v>33399150.81</v>
      </c>
      <c r="AY325" s="18" t="n">
        <v>3100000</v>
      </c>
      <c r="AZ325" s="18">
        <f>1000000000-999550234.5658</f>
        <v/>
      </c>
      <c r="BA325" s="20">
        <f>1000000000-AV325-AW325-AX325-AY325-AZ325</f>
        <v/>
      </c>
      <c r="BB325" s="21" t="n">
        <v>244.9</v>
      </c>
      <c r="BC325" s="21">
        <f>BA325/1000000-BB325</f>
        <v/>
      </c>
      <c r="BD325" s="22">
        <f>BA325*34.08</f>
        <v/>
      </c>
    </row>
    <row r="326">
      <c r="A326" s="10" t="n">
        <v>45948</v>
      </c>
      <c r="B326" s="11" t="n">
        <v>3461428090.095694</v>
      </c>
      <c r="C326" s="11" t="n">
        <v>6244622.393999994</v>
      </c>
      <c r="D326" s="11" t="n">
        <v>175437722</v>
      </c>
      <c r="E326" s="11" t="n"/>
      <c r="M326" s="22">
        <f>Z326/(1-R326)</f>
        <v/>
      </c>
      <c r="N326" s="11" t="n">
        <v>3768.853174999999</v>
      </c>
      <c r="O326" s="11" t="n">
        <v>121569</v>
      </c>
      <c r="P326" s="11" t="n"/>
      <c r="Q326" s="22">
        <f>M326+N326+O326+P326</f>
        <v/>
      </c>
      <c r="R326" s="12" t="n">
        <v>0.01</v>
      </c>
      <c r="S326" s="22">
        <f>M326*R326</f>
        <v/>
      </c>
      <c r="T326" s="22">
        <f>N326*R326</f>
        <v/>
      </c>
      <c r="U326" s="22">
        <f>(O326-V326)*R326</f>
        <v/>
      </c>
      <c r="V326" s="11" t="n">
        <v>29034</v>
      </c>
      <c r="W326" s="11" t="n">
        <v>0</v>
      </c>
      <c r="X326" s="22">
        <f>S326+T326+U326+V326+W326</f>
        <v/>
      </c>
      <c r="Y326" s="11" t="n">
        <v>137452.339</v>
      </c>
      <c r="Z326" s="22">
        <f>AE326-AB326-AA326-AC326</f>
        <v/>
      </c>
      <c r="AA326" s="22">
        <f>N326-T326-W326</f>
        <v/>
      </c>
      <c r="AB326" s="22">
        <f>O326-V326-U326</f>
        <v/>
      </c>
      <c r="AC326" s="22">
        <f>P326</f>
        <v/>
      </c>
      <c r="AD326" s="23">
        <f>Z326+AA326+AB326+AC326</f>
        <v/>
      </c>
      <c r="AE326" s="11" t="n">
        <v>993444.0729</v>
      </c>
      <c r="AF326" s="24">
        <f>AD326-AE326</f>
        <v/>
      </c>
      <c r="AG326" s="13">
        <f>IF(OR(B326="",B326=0,M326=""),"",M326/B326*10000)</f>
        <v/>
      </c>
      <c r="AH326" s="13">
        <f>IF(OR(C326="",C326=0),"",N326/C326*10000)</f>
        <v/>
      </c>
      <c r="AI326" s="13">
        <f>IF(OR(D326="",D326=0),"",O326/D326*10000)</f>
        <v/>
      </c>
      <c r="AJ326" s="11" t="n">
        <v>15340.98794640204</v>
      </c>
      <c r="AK326" s="11" t="n">
        <v>23233.38</v>
      </c>
      <c r="AL326" s="22">
        <f>AE326+AJ326+AK326</f>
        <v/>
      </c>
      <c r="AM326" s="22">
        <f>AE326</f>
        <v/>
      </c>
      <c r="AN326" s="14" t="n">
        <v>27890.23</v>
      </c>
      <c r="AO326" s="15" t="n">
        <v>35.61978775004724</v>
      </c>
      <c r="AP326" s="14" t="n">
        <v>33470022.26</v>
      </c>
      <c r="AQ326" s="14" t="n">
        <v>18294.0242</v>
      </c>
      <c r="AR326" s="14" t="n">
        <v>715.6541999999999</v>
      </c>
      <c r="AS326" s="14" t="n"/>
      <c r="AT326" s="16" t="n">
        <v>419.7188635083657</v>
      </c>
      <c r="AU326" s="17" t="n">
        <v>0.0217638407</v>
      </c>
      <c r="AV326" s="14" t="n">
        <v>420349590.8189</v>
      </c>
      <c r="AW326" s="18" t="n">
        <v>60100000</v>
      </c>
      <c r="AX326" s="19" t="n">
        <v>33470022.26</v>
      </c>
      <c r="AY326" s="18" t="n">
        <v>3100000</v>
      </c>
      <c r="AZ326" s="18">
        <f>1000000000-999549518.9116</f>
        <v/>
      </c>
      <c r="BA326" s="20">
        <f>1000000000-AV326-AW326-AX326-AY326-AZ326</f>
        <v/>
      </c>
      <c r="BB326" s="21" t="n">
        <v>244.9</v>
      </c>
      <c r="BC326" s="21">
        <f>BA326/1000000-BB326</f>
        <v/>
      </c>
      <c r="BD326" s="22">
        <f>BA326*35.21</f>
        <v/>
      </c>
    </row>
    <row r="327">
      <c r="A327" s="10" t="n">
        <v>45949</v>
      </c>
      <c r="B327" s="11" t="n">
        <v>5246765377.954179</v>
      </c>
      <c r="C327" s="11" t="n">
        <v>7839091.788100022</v>
      </c>
      <c r="D327" s="11" t="n">
        <v>196378165</v>
      </c>
      <c r="E327" s="11" t="n"/>
      <c r="M327" s="22">
        <f>Z327/(1-R327)</f>
        <v/>
      </c>
      <c r="N327" s="11" t="n">
        <v>5522.667953999996</v>
      </c>
      <c r="O327" s="11" t="n">
        <v>121130</v>
      </c>
      <c r="P327" s="11" t="n"/>
      <c r="Q327" s="22">
        <f>M327+N327+O327+P327</f>
        <v/>
      </c>
      <c r="R327" s="12" t="n">
        <v>0.01</v>
      </c>
      <c r="S327" s="22">
        <f>M327*R327</f>
        <v/>
      </c>
      <c r="T327" s="22">
        <f>N327*R327</f>
        <v/>
      </c>
      <c r="U327" s="22">
        <f>(O327-V327)*R327</f>
        <v/>
      </c>
      <c r="V327" s="11" t="n">
        <v>27638</v>
      </c>
      <c r="W327" s="11" t="n">
        <v>0</v>
      </c>
      <c r="X327" s="22">
        <f>S327+T327+U327+V327+W327</f>
        <v/>
      </c>
      <c r="Y327" s="11" t="n">
        <v>162204.1257</v>
      </c>
      <c r="Z327" s="22">
        <f>AE327-AB327-AA327-AC327</f>
        <v/>
      </c>
      <c r="AA327" s="22">
        <f>N327-T327-W327</f>
        <v/>
      </c>
      <c r="AB327" s="22">
        <f>O327-V327-U327</f>
        <v/>
      </c>
      <c r="AC327" s="22">
        <f>P327</f>
        <v/>
      </c>
      <c r="AD327" s="23">
        <f>Z327+AA327+AB327+AC327</f>
        <v/>
      </c>
      <c r="AE327" s="11" t="n">
        <v>1540345.58896</v>
      </c>
      <c r="AF327" s="24">
        <f>AD327-AE327</f>
        <v/>
      </c>
      <c r="AG327" s="13">
        <f>IF(OR(B327="",B327=0,M327=""),"",M327/B327*10000)</f>
        <v/>
      </c>
      <c r="AH327" s="13">
        <f>IF(OR(C327="",C327=0),"",N327/C327*10000)</f>
        <v/>
      </c>
      <c r="AI327" s="13">
        <f>IF(OR(D327="",D327=0),"",O327/D327*10000)</f>
        <v/>
      </c>
      <c r="AJ327" s="11" t="n">
        <v>13247.19389161772</v>
      </c>
      <c r="AK327" s="11" t="n">
        <v>0</v>
      </c>
      <c r="AL327" s="22">
        <f>AE327+AJ327+AK327</f>
        <v/>
      </c>
      <c r="AM327" s="22">
        <f>AE327</f>
        <v/>
      </c>
      <c r="AN327" s="14" t="n">
        <v>41256.26</v>
      </c>
      <c r="AO327" s="15" t="n">
        <v>37.33604521980422</v>
      </c>
      <c r="AP327" s="14" t="n">
        <v>33495735.45</v>
      </c>
      <c r="AQ327" s="14" t="n">
        <v>26082.6342</v>
      </c>
      <c r="AR327" s="14" t="n">
        <v>1077.1714</v>
      </c>
      <c r="AS327" s="14" t="n"/>
      <c r="AT327" s="16" t="n">
        <v>418.7820788921995</v>
      </c>
      <c r="AU327" s="17" t="n">
        <v>0.0217878839</v>
      </c>
      <c r="AV327" s="14" t="n">
        <v>420323508.1847</v>
      </c>
      <c r="AW327" s="18" t="n">
        <v>60100000</v>
      </c>
      <c r="AX327" s="19" t="n">
        <v>33495735.45</v>
      </c>
      <c r="AY327" s="18" t="n">
        <v>3100000</v>
      </c>
      <c r="AZ327" s="18">
        <f>1000000000-999548441.7402</f>
        <v/>
      </c>
      <c r="BA327" s="20">
        <f>1000000000-AV327-AW327-AX327-AY327-AZ327</f>
        <v/>
      </c>
      <c r="BB327" s="21" t="n">
        <v>244.9</v>
      </c>
      <c r="BC327" s="21">
        <f>BA327/1000000-BB327</f>
        <v/>
      </c>
      <c r="BD327" s="22">
        <f>BA327*36.48</f>
        <v/>
      </c>
    </row>
    <row r="328">
      <c r="A328" s="10" t="n">
        <v>45950</v>
      </c>
      <c r="B328" s="11" t="n">
        <v>8362929127.924666</v>
      </c>
      <c r="C328" s="11" t="n">
        <v>10611401.06870012</v>
      </c>
      <c r="D328" s="11" t="n">
        <v>262337970</v>
      </c>
      <c r="E328" s="11" t="n"/>
      <c r="M328" s="22">
        <f>Z328/(1-R328)</f>
        <v/>
      </c>
      <c r="N328" s="11" t="n">
        <v>6962.558872999983</v>
      </c>
      <c r="O328" s="11" t="n">
        <v>148185</v>
      </c>
      <c r="P328" s="11" t="n"/>
      <c r="Q328" s="22">
        <f>M328+N328+O328+P328</f>
        <v/>
      </c>
      <c r="R328" s="12" t="n">
        <v>0.01</v>
      </c>
      <c r="S328" s="22">
        <f>M328*R328</f>
        <v/>
      </c>
      <c r="T328" s="22">
        <f>N328*R328</f>
        <v/>
      </c>
      <c r="U328" s="22">
        <f>(O328-V328)*R328</f>
        <v/>
      </c>
      <c r="V328" s="11" t="n">
        <v>32761</v>
      </c>
      <c r="W328" s="11" t="n">
        <v>0</v>
      </c>
      <c r="X328" s="22">
        <f>S328+T328+U328+V328+W328</f>
        <v/>
      </c>
      <c r="Y328" s="11" t="n">
        <v>190412.4084</v>
      </c>
      <c r="Z328" s="22">
        <f>AE328-AB328-AA328-AC328</f>
        <v/>
      </c>
      <c r="AA328" s="22">
        <f>N328-T328-W328</f>
        <v/>
      </c>
      <c r="AB328" s="22">
        <f>O328-V328-U328</f>
        <v/>
      </c>
      <c r="AC328" s="22">
        <f>P328</f>
        <v/>
      </c>
      <c r="AD328" s="23">
        <f>Z328+AA328+AB328+AC328</f>
        <v/>
      </c>
      <c r="AE328" s="11" t="n">
        <v>2356209.44585</v>
      </c>
      <c r="AF328" s="24">
        <f>AD328-AE328</f>
        <v/>
      </c>
      <c r="AG328" s="13">
        <f>IF(OR(B328="",B328=0,M328=""),"",M328/B328*10000)</f>
        <v/>
      </c>
      <c r="AH328" s="13">
        <f>IF(OR(C328="",C328=0),"",N328/C328*10000)</f>
        <v/>
      </c>
      <c r="AI328" s="13">
        <f>IF(OR(D328="",D328=0),"",O328/D328*10000)</f>
        <v/>
      </c>
      <c r="AJ328" s="11" t="n">
        <v>31866.8255208179</v>
      </c>
      <c r="AK328" s="11" t="n">
        <v>0</v>
      </c>
      <c r="AL328" s="22">
        <f>AE328+AJ328+AK328</f>
        <v/>
      </c>
      <c r="AM328" s="22">
        <f>AE328</f>
        <v/>
      </c>
      <c r="AN328" s="14" t="n">
        <v>61726.58</v>
      </c>
      <c r="AO328" s="15" t="n">
        <v>38.17171542389032</v>
      </c>
      <c r="AP328" s="14" t="n">
        <v>33552212.8</v>
      </c>
      <c r="AQ328" s="14" t="n">
        <v>26081.3967</v>
      </c>
      <c r="AR328" s="14" t="n">
        <v>412.6558</v>
      </c>
      <c r="AS328" s="14" t="n"/>
      <c r="AT328" s="16" t="n">
        <v>418.3291959399481</v>
      </c>
      <c r="AU328" s="17" t="n">
        <v>0.0217995362</v>
      </c>
      <c r="AV328" s="14" t="n">
        <v>420297426.788</v>
      </c>
      <c r="AW328" s="18" t="n">
        <v>60100000</v>
      </c>
      <c r="AX328" s="19" t="n">
        <v>33552212.8</v>
      </c>
      <c r="AY328" s="18" t="n">
        <v>3100000</v>
      </c>
      <c r="AZ328" s="18">
        <f>1000000000-999548029.0844</f>
        <v/>
      </c>
      <c r="BA328" s="20">
        <f>1000000000-AV328-AW328-AX328-AY328-AZ328</f>
        <v/>
      </c>
      <c r="BB328" s="21" t="n">
        <v>244.9</v>
      </c>
      <c r="BC328" s="21">
        <f>BA328/1000000-BB328</f>
        <v/>
      </c>
      <c r="BD328" s="22">
        <f>BA328*37.23</f>
        <v/>
      </c>
    </row>
    <row r="329">
      <c r="A329" s="10" t="n">
        <v>45951</v>
      </c>
      <c r="B329" s="11" t="n">
        <v>14629526363.46675</v>
      </c>
      <c r="C329" s="11" t="n">
        <v>23310245.48679953</v>
      </c>
      <c r="D329" s="11" t="n">
        <v>354661810</v>
      </c>
      <c r="E329" s="11" t="n"/>
      <c r="M329" s="22">
        <f>Z329/(1-R329)</f>
        <v/>
      </c>
      <c r="N329" s="11" t="n">
        <v>14477.13547700002</v>
      </c>
      <c r="O329" s="11" t="n">
        <v>201314</v>
      </c>
      <c r="P329" s="11" t="n"/>
      <c r="Q329" s="22">
        <f>M329+N329+O329+P329</f>
        <v/>
      </c>
      <c r="R329" s="12" t="n">
        <v>0.01</v>
      </c>
      <c r="S329" s="22">
        <f>M329*R329</f>
        <v/>
      </c>
      <c r="T329" s="22">
        <f>N329*R329</f>
        <v/>
      </c>
      <c r="U329" s="22">
        <f>(O329-V329)*R329</f>
        <v/>
      </c>
      <c r="V329" s="11" t="n">
        <v>43384</v>
      </c>
      <c r="W329" s="11" t="n">
        <v>0</v>
      </c>
      <c r="X329" s="22">
        <f>S329+T329+U329+V329+W329</f>
        <v/>
      </c>
      <c r="Y329" s="11" t="n">
        <v>289308.7502</v>
      </c>
      <c r="Z329" s="22">
        <f>AE329-AB329-AA329-AC329</f>
        <v/>
      </c>
      <c r="AA329" s="22">
        <f>N329-T329-W329</f>
        <v/>
      </c>
      <c r="AB329" s="22">
        <f>O329-V329-U329</f>
        <v/>
      </c>
      <c r="AC329" s="22">
        <f>P329</f>
        <v/>
      </c>
      <c r="AD329" s="23">
        <f>Z329+AA329+AB329+AC329</f>
        <v/>
      </c>
      <c r="AE329" s="11" t="n">
        <v>3988911.60609</v>
      </c>
      <c r="AF329" s="24">
        <f>AD329-AE329</f>
        <v/>
      </c>
      <c r="AG329" s="13">
        <f>IF(OR(B329="",B329=0,M329=""),"",M329/B329*10000)</f>
        <v/>
      </c>
      <c r="AH329" s="13">
        <f>IF(OR(C329="",C329=0),"",N329/C329*10000)</f>
        <v/>
      </c>
      <c r="AI329" s="13">
        <f>IF(OR(D329="",D329=0),"",O329/D329*10000)</f>
        <v/>
      </c>
      <c r="AJ329" s="11" t="n">
        <v>28143.9850891633</v>
      </c>
      <c r="AK329" s="11" t="n">
        <v>0</v>
      </c>
      <c r="AL329" s="22">
        <f>AE329+AJ329+AK329</f>
        <v/>
      </c>
      <c r="AM329" s="22">
        <f>AE329</f>
        <v/>
      </c>
      <c r="AN329" s="14" t="n">
        <v>108263.5</v>
      </c>
      <c r="AO329" s="15" t="n">
        <v>36.84447303190826</v>
      </c>
      <c r="AP329" s="14" t="n">
        <v>33610247.32</v>
      </c>
      <c r="AQ329" s="14" t="n">
        <v>26075.5151</v>
      </c>
      <c r="AR329" s="14" t="n">
        <v>1955.7853</v>
      </c>
      <c r="AS329" s="14" t="n"/>
      <c r="AT329" s="16" t="n">
        <v>418.5148580107726</v>
      </c>
      <c r="AU329" s="17" t="n">
        <v>0.021794757</v>
      </c>
      <c r="AV329" s="14" t="n">
        <v>420271351.2729</v>
      </c>
      <c r="AW329" s="18" t="n">
        <v>60100000</v>
      </c>
      <c r="AX329" s="19" t="n">
        <v>33610247.32</v>
      </c>
      <c r="AY329" s="18" t="n">
        <v>3100000</v>
      </c>
      <c r="AZ329" s="18">
        <f>1000000000-999546073.2991</f>
        <v/>
      </c>
      <c r="BA329" s="20">
        <f>1000000000-AV329-AW329-AX329-AY329-AZ329</f>
        <v/>
      </c>
      <c r="BB329" s="21" t="n">
        <v>244.9</v>
      </c>
      <c r="BC329" s="21">
        <f>BA329/1000000-BB329</f>
        <v/>
      </c>
      <c r="BD329" s="22">
        <f>BA329*38.01</f>
        <v/>
      </c>
    </row>
    <row r="330">
      <c r="A330" s="10" t="n">
        <v>45952</v>
      </c>
      <c r="B330" s="11" t="n">
        <v>11732329900.44414</v>
      </c>
      <c r="C330" s="11" t="n">
        <v>36699371.82230012</v>
      </c>
      <c r="D330" s="11" t="n">
        <v>292734754</v>
      </c>
      <c r="E330" s="11" t="n"/>
      <c r="M330" s="22">
        <f>Z330/(1-R330)</f>
        <v/>
      </c>
      <c r="N330" s="11" t="n">
        <v>21271.88100299969</v>
      </c>
      <c r="O330" s="11" t="n">
        <v>159923</v>
      </c>
      <c r="P330" s="11" t="n"/>
      <c r="Q330" s="22">
        <f>M330+N330+O330+P330</f>
        <v/>
      </c>
      <c r="R330" s="12" t="n">
        <v>0.01</v>
      </c>
      <c r="S330" s="22">
        <f>M330*R330</f>
        <v/>
      </c>
      <c r="T330" s="22">
        <f>N330*R330</f>
        <v/>
      </c>
      <c r="U330" s="22">
        <f>(O330-V330)*R330</f>
        <v/>
      </c>
      <c r="V330" s="11" t="n">
        <v>35561</v>
      </c>
      <c r="W330" s="11" t="n">
        <v>0</v>
      </c>
      <c r="X330" s="22">
        <f>S330+T330+U330+V330+W330</f>
        <v/>
      </c>
      <c r="Y330" s="11" t="n">
        <v>175325.8373</v>
      </c>
      <c r="Z330" s="22">
        <f>AE330-AB330-AA330-AC330</f>
        <v/>
      </c>
      <c r="AA330" s="22">
        <f>N330-T330-W330</f>
        <v/>
      </c>
      <c r="AB330" s="22">
        <f>O330-V330-U330</f>
        <v/>
      </c>
      <c r="AC330" s="22">
        <f>P330</f>
        <v/>
      </c>
      <c r="AD330" s="23">
        <f>Z330+AA330+AB330+AC330</f>
        <v/>
      </c>
      <c r="AE330" s="11" t="n">
        <v>3088332.67687</v>
      </c>
      <c r="AF330" s="24">
        <f>AD330-AE330</f>
        <v/>
      </c>
      <c r="AG330" s="13">
        <f>IF(OR(B330="",B330=0,M330=""),"",M330/B330*10000)</f>
        <v/>
      </c>
      <c r="AH330" s="13">
        <f>IF(OR(C330="",C330=0),"",N330/C330*10000)</f>
        <v/>
      </c>
      <c r="AI330" s="13">
        <f>IF(OR(D330="",D330=0),"",O330/D330*10000)</f>
        <v/>
      </c>
      <c r="AJ330" s="11" t="n">
        <v>34572.35843598907</v>
      </c>
      <c r="AK330" s="11" t="n">
        <v>0</v>
      </c>
      <c r="AL330" s="22">
        <f>AE330+AJ330+AK330</f>
        <v/>
      </c>
      <c r="AM330" s="22">
        <f>AE330</f>
        <v/>
      </c>
      <c r="AN330" s="14" t="n">
        <v>86754.64999999999</v>
      </c>
      <c r="AO330" s="15" t="n">
        <v>35.59846851863272</v>
      </c>
      <c r="AP330" s="14" t="n">
        <v>33714407.27</v>
      </c>
      <c r="AQ330" s="14" t="n">
        <v>26042.0374</v>
      </c>
      <c r="AR330" s="14" t="n">
        <v>852.7009</v>
      </c>
      <c r="AS330" s="14" t="n"/>
      <c r="AT330" s="16" t="n">
        <v>418.0992026550668</v>
      </c>
      <c r="AU330" s="17" t="n">
        <v>0.0218054609</v>
      </c>
      <c r="AV330" s="14" t="n">
        <v>420245309.2355</v>
      </c>
      <c r="AW330" s="18" t="n">
        <v>60100000</v>
      </c>
      <c r="AX330" s="19" t="n">
        <v>33714407.27</v>
      </c>
      <c r="AY330" s="18" t="n">
        <v>3100000</v>
      </c>
      <c r="AZ330" s="18">
        <f>1000000000-999545220.5981</f>
        <v/>
      </c>
      <c r="BA330" s="20">
        <f>1000000000-AV330-AW330-AX330-AY330-AZ330</f>
        <v/>
      </c>
      <c r="BB330" s="21" t="n">
        <v>244.9</v>
      </c>
      <c r="BC330" s="21">
        <f>BA330/1000000-BB330</f>
        <v/>
      </c>
      <c r="BD330" s="22">
        <f>BA330*34.9</f>
        <v/>
      </c>
    </row>
    <row r="331">
      <c r="A331" s="10" t="n">
        <v>45953</v>
      </c>
      <c r="B331" s="11" t="n">
        <v>8769038403.4027</v>
      </c>
      <c r="C331" s="11" t="n">
        <v>30172561.92289977</v>
      </c>
      <c r="D331" s="11" t="n">
        <v>277126381</v>
      </c>
      <c r="E331" s="11" t="n"/>
      <c r="M331" s="22">
        <f>Z331/(1-R331)</f>
        <v/>
      </c>
      <c r="N331" s="11" t="n">
        <v>18274.67899600028</v>
      </c>
      <c r="O331" s="11" t="n">
        <v>159178</v>
      </c>
      <c r="P331" s="11" t="n"/>
      <c r="Q331" s="22">
        <f>M331+N331+O331+P331</f>
        <v/>
      </c>
      <c r="R331" s="12" t="n">
        <v>0.01</v>
      </c>
      <c r="S331" s="22">
        <f>M331*R331</f>
        <v/>
      </c>
      <c r="T331" s="22">
        <f>N331*R331</f>
        <v/>
      </c>
      <c r="U331" s="22">
        <f>(O331-V331)*R331</f>
        <v/>
      </c>
      <c r="V331" s="11" t="n">
        <v>32383</v>
      </c>
      <c r="W331" s="11" t="n">
        <v>0</v>
      </c>
      <c r="X331" s="22">
        <f>S331+T331+U331+V331+W331</f>
        <v/>
      </c>
      <c r="Y331" s="11" t="n">
        <v>185231.7706</v>
      </c>
      <c r="Z331" s="22">
        <f>AE331-AB331-AA331-AC331</f>
        <v/>
      </c>
      <c r="AA331" s="22">
        <f>N331-T331-W331</f>
        <v/>
      </c>
      <c r="AB331" s="22">
        <f>O331-V331-U331</f>
        <v/>
      </c>
      <c r="AC331" s="22">
        <f>P331</f>
        <v/>
      </c>
      <c r="AD331" s="23">
        <f>Z331+AA331+AB331+AC331</f>
        <v/>
      </c>
      <c r="AE331" s="11" t="n">
        <v>2477734.27137</v>
      </c>
      <c r="AF331" s="24">
        <f>AD331-AE331</f>
        <v/>
      </c>
      <c r="AG331" s="13">
        <f>IF(OR(B331="",B331=0,M331=""),"",M331/B331*10000)</f>
        <v/>
      </c>
      <c r="AH331" s="13">
        <f>IF(OR(C331="",C331=0),"",N331/C331*10000)</f>
        <v/>
      </c>
      <c r="AI331" s="13">
        <f>IF(OR(D331="",D331=0),"",O331/D331*10000)</f>
        <v/>
      </c>
      <c r="AJ331" s="11" t="n">
        <v>119622.5094301594</v>
      </c>
      <c r="AK331" s="11" t="n">
        <v>23638.23</v>
      </c>
      <c r="AL331" s="22">
        <f>AE331+AJ331+AK331</f>
        <v/>
      </c>
      <c r="AM331" s="22">
        <f>AE331</f>
        <v/>
      </c>
      <c r="AN331" s="14" t="n">
        <v>63430.91</v>
      </c>
      <c r="AO331" s="15" t="n">
        <v>39.06193796321069</v>
      </c>
      <c r="AP331" s="14" t="n">
        <v>33798678.78</v>
      </c>
      <c r="AQ331" s="14" t="n">
        <v>26080.1532</v>
      </c>
      <c r="AR331" s="14" t="n">
        <v>2114.4851</v>
      </c>
      <c r="AS331" s="14" t="n"/>
      <c r="AT331" s="16" t="n">
        <v>417.8276510994119</v>
      </c>
      <c r="AU331" s="17" t="n">
        <v>0.0218124624</v>
      </c>
      <c r="AV331" s="14" t="n">
        <v>420219229.0823</v>
      </c>
      <c r="AW331" s="18" t="n">
        <v>60100000</v>
      </c>
      <c r="AX331" s="19" t="n">
        <v>33798678.78</v>
      </c>
      <c r="AY331" s="18" t="n">
        <v>3100000</v>
      </c>
      <c r="AZ331" s="18">
        <f>1000000000-999543106.113</f>
        <v/>
      </c>
      <c r="BA331" s="20">
        <f>1000000000-AV331-AW331-AX331-AY331-AZ331</f>
        <v/>
      </c>
      <c r="BB331" s="21" t="n">
        <v>244.9</v>
      </c>
      <c r="BC331" s="21">
        <f>BA331/1000000-BB331</f>
        <v/>
      </c>
      <c r="BD331" s="22">
        <f>BA331*36.79</f>
        <v/>
      </c>
    </row>
    <row r="332">
      <c r="A332" s="10" t="n">
        <v>45954</v>
      </c>
      <c r="B332" s="11" t="n">
        <v>6772995684.015508</v>
      </c>
      <c r="C332" s="11" t="n">
        <v>27345918.01049982</v>
      </c>
      <c r="D332" s="11" t="n">
        <v>183360265</v>
      </c>
      <c r="E332" s="11" t="n"/>
      <c r="M332" s="22">
        <f>Z332/(1-R332)</f>
        <v/>
      </c>
      <c r="N332" s="11" t="n">
        <v>15456.313191</v>
      </c>
      <c r="O332" s="11" t="n">
        <v>110772</v>
      </c>
      <c r="P332" s="11" t="n"/>
      <c r="Q332" s="22">
        <f>M332+N332+O332+P332</f>
        <v/>
      </c>
      <c r="R332" s="12" t="n">
        <v>0.01</v>
      </c>
      <c r="S332" s="22">
        <f>M332*R332</f>
        <v/>
      </c>
      <c r="T332" s="22">
        <f>N332*R332</f>
        <v/>
      </c>
      <c r="U332" s="22">
        <f>(O332-V332)*R332</f>
        <v/>
      </c>
      <c r="V332" s="11" t="n">
        <v>28876</v>
      </c>
      <c r="W332" s="11" t="n">
        <v>0</v>
      </c>
      <c r="X332" s="22">
        <f>S332+T332+U332+V332+W332</f>
        <v/>
      </c>
      <c r="Y332" s="11" t="n">
        <v>191444.3642</v>
      </c>
      <c r="Z332" s="22">
        <f>AE332-AB332-AA332-AC332</f>
        <v/>
      </c>
      <c r="AA332" s="22">
        <f>N332-T332-W332</f>
        <v/>
      </c>
      <c r="AB332" s="22">
        <f>O332-V332-U332</f>
        <v/>
      </c>
      <c r="AC332" s="22">
        <f>P332</f>
        <v/>
      </c>
      <c r="AD332" s="23">
        <f>Z332+AA332+AB332+AC332</f>
        <v/>
      </c>
      <c r="AE332" s="11" t="n">
        <v>2006758.3182</v>
      </c>
      <c r="AF332" s="24">
        <f>AD332-AE332</f>
        <v/>
      </c>
      <c r="AG332" s="13">
        <f>IF(OR(B332="",B332=0,M332=""),"",M332/B332*10000)</f>
        <v/>
      </c>
      <c r="AH332" s="13">
        <f>IF(OR(C332="",C332=0),"",N332/C332*10000)</f>
        <v/>
      </c>
      <c r="AI332" s="13">
        <f>IF(OR(D332="",D332=0),"",O332/D332*10000)</f>
        <v/>
      </c>
      <c r="AJ332" s="11" t="n">
        <v>16159.27581826643</v>
      </c>
      <c r="AK332" s="11" t="n">
        <v>0</v>
      </c>
      <c r="AL332" s="22">
        <f>AE332+AJ332+AK332</f>
        <v/>
      </c>
      <c r="AM332" s="22">
        <f>AE332</f>
        <v/>
      </c>
      <c r="AN332" s="14" t="n">
        <v>50463.82</v>
      </c>
      <c r="AO332" s="15" t="n">
        <v>39.7662784585075</v>
      </c>
      <c r="AP332" s="14" t="n">
        <v>33858352.09</v>
      </c>
      <c r="AQ332" s="14" t="n">
        <v>26111.7184</v>
      </c>
      <c r="AR332" s="14" t="n">
        <v>1712.4665</v>
      </c>
      <c r="AS332" s="14" t="n"/>
      <c r="AT332" s="16" t="n">
        <v>417.7683751393521</v>
      </c>
      <c r="AU332" s="17" t="n">
        <v>0.0218139916</v>
      </c>
      <c r="AV332" s="14" t="n">
        <v>420193117.3638</v>
      </c>
      <c r="AW332" s="18" t="n">
        <v>60100000</v>
      </c>
      <c r="AX332" s="19" t="n">
        <v>33858352.09</v>
      </c>
      <c r="AY332" s="18" t="n">
        <v>3100000</v>
      </c>
      <c r="AZ332" s="18">
        <f>1000000000-999541393.6465</f>
        <v/>
      </c>
      <c r="BA332" s="20">
        <f>1000000000-AV332-AW332-AX332-AY332-AZ332</f>
        <v/>
      </c>
      <c r="BB332" s="21" t="n">
        <v>244.9</v>
      </c>
      <c r="BC332" s="21">
        <f>BA332/1000000-BB332</f>
        <v/>
      </c>
      <c r="BD332" s="22">
        <f>BA332*40.28</f>
        <v/>
      </c>
    </row>
    <row r="333">
      <c r="A333" s="10" t="n">
        <v>45955</v>
      </c>
      <c r="B333" s="11" t="n">
        <v>3200388896.890441</v>
      </c>
      <c r="C333" s="11" t="n">
        <v>48997606.35120349</v>
      </c>
      <c r="D333" s="11" t="n">
        <v>174559654</v>
      </c>
      <c r="E333" s="11" t="n"/>
      <c r="M333" s="22">
        <f>Z333/(1-R333)</f>
        <v/>
      </c>
      <c r="N333" s="11" t="n">
        <v>26954.7995479992</v>
      </c>
      <c r="O333" s="11" t="n">
        <v>110935</v>
      </c>
      <c r="P333" s="11" t="n"/>
      <c r="Q333" s="22">
        <f>M333+N333+O333+P333</f>
        <v/>
      </c>
      <c r="R333" s="12" t="n">
        <v>0.01</v>
      </c>
      <c r="S333" s="22">
        <f>M333*R333</f>
        <v/>
      </c>
      <c r="T333" s="22">
        <f>N333*R333</f>
        <v/>
      </c>
      <c r="U333" s="22">
        <f>(O333-V333)*R333</f>
        <v/>
      </c>
      <c r="V333" s="11" t="n">
        <v>22961</v>
      </c>
      <c r="W333" s="11" t="n">
        <v>0</v>
      </c>
      <c r="X333" s="22">
        <f>S333+T333+U333+V333+W333</f>
        <v/>
      </c>
      <c r="Y333" s="11" t="n">
        <v>112960.774</v>
      </c>
      <c r="Z333" s="22">
        <f>AE333-AB333-AA333-AC333</f>
        <v/>
      </c>
      <c r="AA333" s="22">
        <f>N333-T333-W333</f>
        <v/>
      </c>
      <c r="AB333" s="22">
        <f>O333-V333-U333</f>
        <v/>
      </c>
      <c r="AC333" s="22">
        <f>P333</f>
        <v/>
      </c>
      <c r="AD333" s="23">
        <f>Z333+AA333+AB333+AC333</f>
        <v/>
      </c>
      <c r="AE333" s="11" t="n">
        <v>989708.01429</v>
      </c>
      <c r="AF333" s="24">
        <f>AD333-AE333</f>
        <v/>
      </c>
      <c r="AG333" s="13">
        <f>IF(OR(B333="",B333=0,M333=""),"",M333/B333*10000)</f>
        <v/>
      </c>
      <c r="AH333" s="13">
        <f>IF(OR(C333="",C333=0),"",N333/C333*10000)</f>
        <v/>
      </c>
      <c r="AI333" s="13">
        <f>IF(OR(D333="",D333=0),"",O333/D333*10000)</f>
        <v/>
      </c>
      <c r="AJ333" s="11" t="n">
        <v>18716.72102899492</v>
      </c>
      <c r="AK333" s="11" t="n">
        <v>28825.64</v>
      </c>
      <c r="AL333" s="22">
        <f>AE333+AJ333+AK333</f>
        <v/>
      </c>
      <c r="AM333" s="22">
        <f>AE333</f>
        <v/>
      </c>
      <c r="AN333" s="14" t="n">
        <v>23900.16</v>
      </c>
      <c r="AO333" s="15" t="n">
        <v>41.4100999445192</v>
      </c>
      <c r="AP333" s="14" t="n">
        <v>33906947.56</v>
      </c>
      <c r="AQ333" s="14" t="n">
        <v>26119.6365</v>
      </c>
      <c r="AR333" s="14" t="n">
        <v>1123.6321</v>
      </c>
      <c r="AS333" s="14" t="n"/>
      <c r="AT333" s="16" t="n">
        <v>417.4827391003871</v>
      </c>
      <c r="AU333" s="17" t="n">
        <v>0.0218213651</v>
      </c>
      <c r="AV333" s="14" t="n">
        <v>420166997.7274</v>
      </c>
      <c r="AW333" s="18" t="n">
        <v>60100000</v>
      </c>
      <c r="AX333" s="19" t="n">
        <v>33906947.56</v>
      </c>
      <c r="AY333" s="18" t="n">
        <v>3100000</v>
      </c>
      <c r="AZ333" s="18">
        <f>1000000000-999540270.0144</f>
        <v/>
      </c>
      <c r="BA333" s="20">
        <f>1000000000-AV333-AW333-AX333-AY333-AZ333</f>
        <v/>
      </c>
      <c r="BB333" s="21" t="n">
        <v>244.9</v>
      </c>
      <c r="BC333" s="21">
        <f>BA333/1000000-BB333</f>
        <v/>
      </c>
      <c r="BD333" s="22">
        <f>BA333*38.98</f>
        <v/>
      </c>
    </row>
    <row r="334">
      <c r="A334" s="10" t="n">
        <v>45956</v>
      </c>
      <c r="B334" s="11" t="n">
        <v>6151365424.5283</v>
      </c>
      <c r="C334" s="11" t="n">
        <v>47016154.69119778</v>
      </c>
      <c r="D334" s="11" t="n">
        <v>250980235</v>
      </c>
      <c r="E334" s="11" t="n"/>
      <c r="M334" s="22">
        <f>Z334/(1-R334)</f>
        <v/>
      </c>
      <c r="N334" s="11" t="n">
        <v>28261.50504499993</v>
      </c>
      <c r="O334" s="11" t="n">
        <v>153309</v>
      </c>
      <c r="P334" s="11" t="n"/>
      <c r="Q334" s="22">
        <f>M334+N334+O334+P334</f>
        <v/>
      </c>
      <c r="R334" s="12" t="n">
        <v>0.01</v>
      </c>
      <c r="S334" s="22">
        <f>M334*R334</f>
        <v/>
      </c>
      <c r="T334" s="22">
        <f>N334*R334</f>
        <v/>
      </c>
      <c r="U334" s="22">
        <f>(O334-V334)*R334</f>
        <v/>
      </c>
      <c r="V334" s="11" t="n">
        <v>26547</v>
      </c>
      <c r="W334" s="11" t="n">
        <v>0</v>
      </c>
      <c r="X334" s="22">
        <f>S334+T334+U334+V334+W334</f>
        <v/>
      </c>
      <c r="Y334" s="11" t="n">
        <v>175760.0794</v>
      </c>
      <c r="Z334" s="22">
        <f>AE334-AB334-AA334-AC334</f>
        <v/>
      </c>
      <c r="AA334" s="22">
        <f>N334-T334-W334</f>
        <v/>
      </c>
      <c r="AB334" s="22">
        <f>O334-V334-U334</f>
        <v/>
      </c>
      <c r="AC334" s="22">
        <f>P334</f>
        <v/>
      </c>
      <c r="AD334" s="23">
        <f>Z334+AA334+AB334+AC334</f>
        <v/>
      </c>
      <c r="AE334" s="11" t="n">
        <v>1881476.25411</v>
      </c>
      <c r="AF334" s="24">
        <f>AD334-AE334</f>
        <v/>
      </c>
      <c r="AG334" s="13">
        <f>IF(OR(B334="",B334=0,M334=""),"",M334/B334*10000)</f>
        <v/>
      </c>
      <c r="AH334" s="13">
        <f>IF(OR(C334="",C334=0),"",N334/C334*10000)</f>
        <v/>
      </c>
      <c r="AI334" s="13">
        <f>IF(OR(D334="",D334=0),"",O334/D334*10000)</f>
        <v/>
      </c>
      <c r="AJ334" s="11" t="n">
        <v>34682.1036159077</v>
      </c>
      <c r="AK334" s="11" t="n">
        <v>42619.88</v>
      </c>
      <c r="AL334" s="22">
        <f>AE334+AJ334+AK334</f>
        <v/>
      </c>
      <c r="AM334" s="22">
        <f>AE334</f>
        <v/>
      </c>
      <c r="AN334" s="14" t="n">
        <v>40200.85</v>
      </c>
      <c r="AO334" s="15" t="n">
        <v>46.80190230082199</v>
      </c>
      <c r="AP334" s="14" t="n">
        <v>33930325.96</v>
      </c>
      <c r="AQ334" s="14" t="n">
        <v>26119.244</v>
      </c>
      <c r="AR334" s="14" t="n">
        <v>1153.0696</v>
      </c>
      <c r="AS334" s="14" t="n"/>
      <c r="AT334" s="16" t="n">
        <v>417.7311095112392</v>
      </c>
      <c r="AU334" s="17" t="n">
        <v>0.0218149532</v>
      </c>
      <c r="AV334" s="14" t="n">
        <v>420140878.4834</v>
      </c>
      <c r="AW334" s="18" t="n">
        <v>60100000</v>
      </c>
      <c r="AX334" s="19" t="n">
        <v>33930325.96</v>
      </c>
      <c r="AY334" s="18" t="n">
        <v>3100000</v>
      </c>
      <c r="AZ334" s="18">
        <f>1000000000-999539116.9448</f>
        <v/>
      </c>
      <c r="BA334" s="20">
        <f>1000000000-AV334-AW334-AX334-AY334-AZ334</f>
        <v/>
      </c>
      <c r="BB334" s="21" t="n">
        <v>244.9</v>
      </c>
      <c r="BC334" s="21">
        <f>BA334/1000000-BB334</f>
        <v/>
      </c>
      <c r="BD334" s="22">
        <f>BA334*44.21</f>
        <v/>
      </c>
    </row>
    <row r="335">
      <c r="A335" s="10" t="n">
        <v>45957</v>
      </c>
      <c r="B335" s="11" t="n">
        <v>8345820952.948956</v>
      </c>
      <c r="C335" s="11" t="n">
        <v>65446643.16519983</v>
      </c>
      <c r="D335" s="11" t="n">
        <v>299657027</v>
      </c>
      <c r="E335" s="11" t="n"/>
      <c r="M335" s="22">
        <f>Z335/(1-R335)</f>
        <v/>
      </c>
      <c r="N335" s="11" t="n">
        <v>36623.41888700041</v>
      </c>
      <c r="O335" s="11" t="n">
        <v>180324</v>
      </c>
      <c r="P335" s="11" t="n"/>
      <c r="Q335" s="22">
        <f>M335+N335+O335+P335</f>
        <v/>
      </c>
      <c r="R335" s="12" t="n">
        <v>0.01</v>
      </c>
      <c r="S335" s="22">
        <f>M335*R335</f>
        <v/>
      </c>
      <c r="T335" s="22">
        <f>N335*R335</f>
        <v/>
      </c>
      <c r="U335" s="22">
        <f>(O335-V335)*R335</f>
        <v/>
      </c>
      <c r="V335" s="11" t="n">
        <v>37087</v>
      </c>
      <c r="W335" s="11" t="n">
        <v>0</v>
      </c>
      <c r="X335" s="22">
        <f>S335+T335+U335+V335+W335</f>
        <v/>
      </c>
      <c r="Y335" s="11" t="n">
        <v>223909.5333</v>
      </c>
      <c r="Z335" s="22">
        <f>AE335-AB335-AA335-AC335</f>
        <v/>
      </c>
      <c r="AA335" s="22">
        <f>N335-T335-W335</f>
        <v/>
      </c>
      <c r="AB335" s="22">
        <f>O335-V335-U335</f>
        <v/>
      </c>
      <c r="AC335" s="22">
        <f>P335</f>
        <v/>
      </c>
      <c r="AD335" s="23">
        <f>Z335+AA335+AB335+AC335</f>
        <v/>
      </c>
      <c r="AE335" s="11" t="n">
        <v>2485119.65814</v>
      </c>
      <c r="AF335" s="24">
        <f>AD335-AE335</f>
        <v/>
      </c>
      <c r="AG335" s="13">
        <f>IF(OR(B335="",B335=0,M335=""),"",M335/B335*10000)</f>
        <v/>
      </c>
      <c r="AH335" s="13">
        <f>IF(OR(C335="",C335=0),"",N335/C335*10000)</f>
        <v/>
      </c>
      <c r="AI335" s="13">
        <f>IF(OR(D335="",D335=0),"",O335/D335*10000)</f>
        <v/>
      </c>
      <c r="AJ335" s="11" t="n">
        <v>53328.08633295985</v>
      </c>
      <c r="AK335" s="11" t="n">
        <v>0</v>
      </c>
      <c r="AL335" s="22">
        <f>AE335+AJ335+AK335</f>
        <v/>
      </c>
      <c r="AM335" s="22">
        <f>AE335</f>
        <v/>
      </c>
      <c r="AN335" s="14" t="n">
        <v>52411.15</v>
      </c>
      <c r="AO335" s="15" t="n">
        <v>47.41585823131147</v>
      </c>
      <c r="AP335" s="14" t="n">
        <v>33981239.81</v>
      </c>
      <c r="AQ335" s="14" t="n">
        <v>30771.3676</v>
      </c>
      <c r="AR335" s="14" t="n">
        <v>1937.3233</v>
      </c>
      <c r="AS335" s="14" t="n"/>
      <c r="AT335" s="16" t="n">
        <v>417.8275312463771</v>
      </c>
      <c r="AU335" s="17" t="n">
        <v>0.0218124655</v>
      </c>
      <c r="AV335" s="14" t="n">
        <v>420110107.1157</v>
      </c>
      <c r="AW335" s="18" t="n">
        <v>60100000</v>
      </c>
      <c r="AX335" s="19" t="n">
        <v>33981239.81</v>
      </c>
      <c r="AY335" s="18" t="n">
        <v>3100000</v>
      </c>
      <c r="AZ335" s="18">
        <f>1000000000-999537179.6215</f>
        <v/>
      </c>
      <c r="BA335" s="20">
        <f>1000000000-AV335-AW335-AX335-AY335-AZ335</f>
        <v/>
      </c>
      <c r="BB335" s="21" t="n">
        <v>244.9</v>
      </c>
      <c r="BC335" s="21">
        <f>BA335/1000000-BB335</f>
        <v/>
      </c>
      <c r="BD335" s="22">
        <f>BA335*49.16</f>
        <v/>
      </c>
    </row>
    <row r="336">
      <c r="A336" s="10" t="n">
        <v>45958</v>
      </c>
      <c r="B336" s="11" t="n">
        <v>9720215500.325792</v>
      </c>
      <c r="C336" s="11" t="n">
        <v>80478854.34780145</v>
      </c>
      <c r="D336" s="11" t="n">
        <v>309914355</v>
      </c>
      <c r="E336" s="11" t="n"/>
      <c r="M336" s="22">
        <f>Z336/(1-R336)</f>
        <v/>
      </c>
      <c r="N336" s="11" t="n">
        <v>43462.10859500091</v>
      </c>
      <c r="O336" s="11" t="n">
        <v>195777</v>
      </c>
      <c r="P336" s="11" t="n"/>
      <c r="Q336" s="22">
        <f>M336+N336+O336+P336</f>
        <v/>
      </c>
      <c r="R336" s="12" t="n">
        <v>0.01</v>
      </c>
      <c r="S336" s="22">
        <f>M336*R336</f>
        <v/>
      </c>
      <c r="T336" s="22">
        <f>N336*R336</f>
        <v/>
      </c>
      <c r="U336" s="22">
        <f>(O336-V336)*R336</f>
        <v/>
      </c>
      <c r="V336" s="11" t="n">
        <v>46845</v>
      </c>
      <c r="W336" s="11" t="n">
        <v>0</v>
      </c>
      <c r="X336" s="22">
        <f>S336+T336+U336+V336+W336</f>
        <v/>
      </c>
      <c r="Y336" s="11" t="n">
        <v>282229.5419</v>
      </c>
      <c r="Z336" s="22">
        <f>AE336-AB336-AA336-AC336</f>
        <v/>
      </c>
      <c r="AA336" s="22">
        <f>N336-T336-W336</f>
        <v/>
      </c>
      <c r="AB336" s="22">
        <f>O336-V336-U336</f>
        <v/>
      </c>
      <c r="AC336" s="22">
        <f>P336</f>
        <v/>
      </c>
      <c r="AD336" s="23">
        <f>Z336+AA336+AB336+AC336</f>
        <v/>
      </c>
      <c r="AE336" s="11" t="n">
        <v>2746596.55191</v>
      </c>
      <c r="AF336" s="24">
        <f>AD336-AE336</f>
        <v/>
      </c>
      <c r="AG336" s="13">
        <f>IF(OR(B336="",B336=0,M336=""),"",M336/B336*10000)</f>
        <v/>
      </c>
      <c r="AH336" s="13">
        <f>IF(OR(C336="",C336=0),"",N336/C336*10000)</f>
        <v/>
      </c>
      <c r="AI336" s="13">
        <f>IF(OR(D336="",D336=0),"",O336/D336*10000)</f>
        <v/>
      </c>
      <c r="AJ336" s="11" t="n">
        <v>41219.04381132711</v>
      </c>
      <c r="AK336" s="11" t="n">
        <v>0</v>
      </c>
      <c r="AL336" s="22">
        <f>AE336+AJ336+AK336</f>
        <v/>
      </c>
      <c r="AM336" s="22">
        <f>AE336</f>
        <v/>
      </c>
      <c r="AN336" s="14" t="n">
        <v>57848.3</v>
      </c>
      <c r="AO336" s="15" t="n">
        <v>47.47929588095069</v>
      </c>
      <c r="AP336" s="14" t="n">
        <v>34026899.08</v>
      </c>
      <c r="AQ336" s="14" t="n">
        <v>21505.2152</v>
      </c>
      <c r="AR336" s="14" t="n">
        <v>2987.1464</v>
      </c>
      <c r="AS336" s="14" t="n"/>
      <c r="AT336" s="16" t="n">
        <v>417.6905724916415</v>
      </c>
      <c r="AU336" s="17" t="n">
        <v>0.0218159993</v>
      </c>
      <c r="AV336" s="14" t="n">
        <v>420088601.9005</v>
      </c>
      <c r="AW336" s="18" t="n">
        <v>60100000</v>
      </c>
      <c r="AX336" s="19" t="n">
        <v>34026899.08</v>
      </c>
      <c r="AY336" s="18" t="n">
        <v>3100000</v>
      </c>
      <c r="AZ336" s="18">
        <f>1000000000-999534192.4751</f>
        <v/>
      </c>
      <c r="BA336" s="20">
        <f>1000000000-AV336-AW336-AX336-AY336-AZ336</f>
        <v/>
      </c>
      <c r="BB336" s="21" t="n">
        <v>244.9</v>
      </c>
      <c r="BC336" s="21">
        <f>BA336/1000000-BB336</f>
        <v/>
      </c>
      <c r="BD336" s="22">
        <f>BA336*46.81</f>
        <v/>
      </c>
    </row>
    <row r="337">
      <c r="A337" s="10" t="n">
        <v>45959</v>
      </c>
      <c r="B337" s="11" t="n">
        <v>10927307056.36539</v>
      </c>
      <c r="C337" s="11" t="n">
        <v>94293417.73779911</v>
      </c>
      <c r="D337" s="11" t="n">
        <v>299660704</v>
      </c>
      <c r="E337" s="11" t="n"/>
      <c r="M337" s="22">
        <f>Z337/(1-R337)</f>
        <v/>
      </c>
      <c r="N337" s="11" t="n">
        <v>49570.21452799978</v>
      </c>
      <c r="O337" s="11" t="n">
        <v>180724</v>
      </c>
      <c r="P337" s="11" t="n"/>
      <c r="Q337" s="22">
        <f>M337+N337+O337+P337</f>
        <v/>
      </c>
      <c r="R337" s="12" t="n">
        <v>0.01</v>
      </c>
      <c r="S337" s="22">
        <f>M337*R337</f>
        <v/>
      </c>
      <c r="T337" s="22">
        <f>N337*R337</f>
        <v/>
      </c>
      <c r="U337" s="22">
        <f>(O337-V337)*R337</f>
        <v/>
      </c>
      <c r="V337" s="11" t="n">
        <v>36992</v>
      </c>
      <c r="W337" s="11" t="n">
        <v>0</v>
      </c>
      <c r="X337" s="22">
        <f>S337+T337+U337+V337+W337</f>
        <v/>
      </c>
      <c r="Y337" s="11" t="n">
        <v>273926.6648</v>
      </c>
      <c r="Z337" s="22">
        <f>AE337-AB337-AA337-AC337</f>
        <v/>
      </c>
      <c r="AA337" s="22">
        <f>N337-T337-W337</f>
        <v/>
      </c>
      <c r="AB337" s="22">
        <f>O337-V337-U337</f>
        <v/>
      </c>
      <c r="AC337" s="22">
        <f>P337</f>
        <v/>
      </c>
      <c r="AD337" s="23">
        <f>Z337+AA337+AB337+AC337</f>
        <v/>
      </c>
      <c r="AE337" s="11" t="n">
        <v>3030139.75</v>
      </c>
      <c r="AF337" s="24">
        <f>AD337-AE337</f>
        <v/>
      </c>
      <c r="AG337" s="13">
        <f>IF(OR(B337="",B337=0,M337=""),"",M337/B337*10000)</f>
        <v/>
      </c>
      <c r="AH337" s="13">
        <f>IF(OR(C337="",C337=0),"",N337/C337*10000)</f>
        <v/>
      </c>
      <c r="AI337" s="13">
        <f>IF(OR(D337="",D337=0),"",O337/D337*10000)</f>
        <v/>
      </c>
      <c r="AJ337" s="11" t="n">
        <v>64687.93868420767</v>
      </c>
      <c r="AK337" s="11" t="n">
        <v>0</v>
      </c>
      <c r="AL337" s="22">
        <f>AE337+AJ337+AK337</f>
        <v/>
      </c>
      <c r="AM337" s="22">
        <f>AE337</f>
        <v/>
      </c>
      <c r="AN337" s="14" t="n">
        <v>63421.84</v>
      </c>
      <c r="AO337" s="15" t="n">
        <v>47.777544</v>
      </c>
      <c r="AP337" s="14" t="n">
        <v>34136793.69</v>
      </c>
      <c r="AQ337" s="14" t="n">
        <v>26132.4928</v>
      </c>
      <c r="AR337" s="14" t="n">
        <v>643.3239</v>
      </c>
      <c r="AS337" s="14" t="n"/>
      <c r="AT337" s="16" t="n">
        <v>417.4678485374287</v>
      </c>
      <c r="AU337" s="17" t="n">
        <v>0.0218217497</v>
      </c>
      <c r="AV337" s="14" t="n">
        <v>420062469.4077</v>
      </c>
      <c r="AW337" s="18" t="n">
        <v>60100000</v>
      </c>
      <c r="AX337" s="19" t="n">
        <v>34136793.69</v>
      </c>
      <c r="AY337" s="18" t="n">
        <v>3100000</v>
      </c>
      <c r="AZ337" s="18">
        <f>1000000000-999533549.1512</f>
        <v/>
      </c>
      <c r="BA337" s="20">
        <f>1000000000-AV337-AW337-AX337-AY337-AZ337</f>
        <v/>
      </c>
      <c r="BB337" s="21" t="n">
        <v>244.9</v>
      </c>
      <c r="BC337" s="21">
        <f>BA337/1000000-BB337</f>
        <v/>
      </c>
      <c r="BD337" s="22">
        <f>BA337*47.54</f>
        <v/>
      </c>
    </row>
    <row r="338">
      <c r="A338" s="10" t="n">
        <v>45960</v>
      </c>
      <c r="B338" s="11" t="n">
        <v>12135402445.88161</v>
      </c>
      <c r="C338" s="11" t="n">
        <v>116073044.0421007</v>
      </c>
      <c r="D338" s="11" t="n">
        <v>433695347</v>
      </c>
      <c r="E338" s="11" t="n"/>
      <c r="M338" s="22">
        <f>Z338/(1-R338)</f>
        <v/>
      </c>
      <c r="N338" s="11" t="n">
        <v>53747.16261600033</v>
      </c>
      <c r="O338" s="11" t="n">
        <v>249350</v>
      </c>
      <c r="P338" s="11" t="n"/>
      <c r="Q338" s="22">
        <f>M338+N338+O338+P338</f>
        <v/>
      </c>
      <c r="R338" s="12" t="n">
        <v>0.01</v>
      </c>
      <c r="S338" s="22">
        <f>M338*R338</f>
        <v/>
      </c>
      <c r="T338" s="22">
        <f>N338*R338</f>
        <v/>
      </c>
      <c r="U338" s="22">
        <f>(O338-V338)*R338</f>
        <v/>
      </c>
      <c r="V338" s="11" t="n">
        <v>44406</v>
      </c>
      <c r="W338" s="11" t="n">
        <v>0</v>
      </c>
      <c r="X338" s="22">
        <f>S338+T338+U338+V338+W338</f>
        <v/>
      </c>
      <c r="Y338" s="11" t="n">
        <v>317220.8975</v>
      </c>
      <c r="Z338" s="22">
        <f>AE338-AB338-AA338-AC338</f>
        <v/>
      </c>
      <c r="AA338" s="22">
        <f>N338-T338-W338</f>
        <v/>
      </c>
      <c r="AB338" s="22">
        <f>O338-V338-U338</f>
        <v/>
      </c>
      <c r="AC338" s="22">
        <f>P338</f>
        <v/>
      </c>
      <c r="AD338" s="23">
        <f>Z338+AA338+AB338+AC338</f>
        <v/>
      </c>
      <c r="AE338" s="11" t="n">
        <v>3350689.9</v>
      </c>
      <c r="AF338" s="24">
        <f>AD338-AE338</f>
        <v/>
      </c>
      <c r="AG338" s="13">
        <f>IF(OR(B338="",B338=0,M338=""),"",M338/B338*10000)</f>
        <v/>
      </c>
      <c r="AH338" s="13">
        <f>IF(OR(C338="",C338=0),"",N338/C338*10000)</f>
        <v/>
      </c>
      <c r="AI338" s="13">
        <f>IF(OR(D338="",D338=0),"",O338/D338*10000)</f>
        <v/>
      </c>
      <c r="AJ338" s="11" t="n">
        <v>77902.03054013163</v>
      </c>
      <c r="AK338" s="11" t="n">
        <v>49040.85</v>
      </c>
      <c r="AL338" s="22">
        <f>AE338+AJ338+AK338</f>
        <v/>
      </c>
      <c r="AM338" s="22">
        <f>AE338</f>
        <v/>
      </c>
      <c r="AN338" s="14" t="n">
        <v>72418.74000000001</v>
      </c>
      <c r="AO338" s="15" t="n">
        <v>46.268271</v>
      </c>
      <c r="AP338" s="14" t="n">
        <v>34207883.32</v>
      </c>
      <c r="AQ338" s="14" t="n">
        <v>25584.5234</v>
      </c>
      <c r="AR338" s="14" t="n">
        <v>777.1475</v>
      </c>
      <c r="AS338" s="14" t="n"/>
      <c r="AT338" s="16" t="n">
        <v>417.9138046767949</v>
      </c>
      <c r="AU338" s="17" t="n">
        <v>0.0218102403</v>
      </c>
      <c r="AV338" s="14" t="n">
        <v>420036884.8843</v>
      </c>
      <c r="AW338" s="18" t="n">
        <v>60100000</v>
      </c>
      <c r="AX338" s="19" t="n">
        <v>34207883.32</v>
      </c>
      <c r="AY338" s="18" t="n">
        <v>3100000</v>
      </c>
      <c r="AZ338" s="18">
        <f>1000000000-999532772.0037</f>
        <v/>
      </c>
      <c r="BA338" s="20">
        <f>1000000000-AV338-AW338-AX338-AY338-AZ338</f>
        <v/>
      </c>
      <c r="BB338" s="21" t="n">
        <v>244.9</v>
      </c>
      <c r="BC338" s="21">
        <f>BA338/1000000-BB338</f>
        <v/>
      </c>
      <c r="BD338" s="22">
        <f>BA338*47.76</f>
        <v/>
      </c>
    </row>
    <row r="339">
      <c r="A339" s="10" t="n">
        <v>45961</v>
      </c>
      <c r="B339" s="11" t="n">
        <v>7139251375.998603</v>
      </c>
      <c r="C339" s="11" t="n">
        <v>60260347.58210013</v>
      </c>
      <c r="D339" s="11" t="n">
        <v>271790520</v>
      </c>
      <c r="E339" s="11" t="n"/>
      <c r="M339" s="22">
        <f>Z339/(1-R339)</f>
        <v/>
      </c>
      <c r="N339" s="11" t="n">
        <v>30785.29770299964</v>
      </c>
      <c r="O339" s="11" t="n">
        <v>153519</v>
      </c>
      <c r="P339" s="11" t="n"/>
      <c r="Q339" s="22">
        <f>M339+N339+O339+P339</f>
        <v/>
      </c>
      <c r="R339" s="12" t="n">
        <v>0.01</v>
      </c>
      <c r="S339" s="22">
        <f>M339*R339</f>
        <v/>
      </c>
      <c r="T339" s="22">
        <f>N339*R339</f>
        <v/>
      </c>
      <c r="U339" s="22">
        <f>(O339-V339)*R339</f>
        <v/>
      </c>
      <c r="V339" s="11" t="n">
        <v>28242</v>
      </c>
      <c r="W339" s="11" t="n">
        <v>0</v>
      </c>
      <c r="X339" s="22">
        <f>S339+T339+U339+V339+W339</f>
        <v/>
      </c>
      <c r="Y339" s="11" t="n">
        <v>206207.6213</v>
      </c>
      <c r="Z339" s="22">
        <f>AE339-AB339-AA339-AC339</f>
        <v/>
      </c>
      <c r="AA339" s="22">
        <f>N339-T339-W339</f>
        <v/>
      </c>
      <c r="AB339" s="22">
        <f>O339-V339-U339</f>
        <v/>
      </c>
      <c r="AC339" s="22">
        <f>P339</f>
        <v/>
      </c>
      <c r="AD339" s="23">
        <f>Z339+AA339+AB339+AC339</f>
        <v/>
      </c>
      <c r="AE339" s="11" t="n">
        <v>2259013.3</v>
      </c>
      <c r="AF339" s="24">
        <f>AD339-AE339</f>
        <v/>
      </c>
      <c r="AG339" s="13">
        <f>IF(OR(B339="",B339=0,M339=""),"",M339/B339*10000)</f>
        <v/>
      </c>
      <c r="AH339" s="13">
        <f>IF(OR(C339="",C339=0),"",N339/C339*10000)</f>
        <v/>
      </c>
      <c r="AI339" s="13">
        <f>IF(OR(D339="",D339=0),"",O339/D339*10000)</f>
        <v/>
      </c>
      <c r="AJ339" s="11" t="n">
        <v>40723.51198512119</v>
      </c>
      <c r="AK339" s="11" t="n">
        <v>29694.07</v>
      </c>
      <c r="AL339" s="22">
        <f>AE339+AJ339+AK339</f>
        <v/>
      </c>
      <c r="AM339" s="22">
        <f>AE339</f>
        <v/>
      </c>
      <c r="AN339" s="14" t="n">
        <v>50976.52</v>
      </c>
      <c r="AO339" s="15" t="n">
        <v>44.314781</v>
      </c>
      <c r="AP339" s="14" t="n">
        <v>34259513.44</v>
      </c>
      <c r="AQ339" s="14" t="n">
        <v>26132.0917</v>
      </c>
      <c r="AR339" s="14" t="n">
        <v>2710.6255</v>
      </c>
      <c r="AS339" s="14" t="n"/>
      <c r="AT339" s="16" t="n">
        <v>417.6769943968747</v>
      </c>
      <c r="AU339" s="17" t="n">
        <v>0.0218163497</v>
      </c>
      <c r="AV339" s="14" t="n">
        <v>420010752.7926</v>
      </c>
      <c r="AW339" s="18" t="n">
        <v>60100000</v>
      </c>
      <c r="AX339" s="19" t="n">
        <v>34259513.44</v>
      </c>
      <c r="AY339" s="18" t="n">
        <v>3100000</v>
      </c>
      <c r="AZ339" s="18">
        <f>1000000000-999530061.3782</f>
        <v/>
      </c>
      <c r="BA339" s="20">
        <f>1000000000-AV339-AW339-AX339-AY339-AZ339</f>
        <v/>
      </c>
      <c r="BB339" s="21" t="n">
        <v>244.9</v>
      </c>
      <c r="BC339" s="21">
        <f>BA339/1000000-BB339</f>
        <v/>
      </c>
      <c r="BD339" s="22">
        <f>BA339*45.53</f>
        <v/>
      </c>
    </row>
    <row r="340">
      <c r="A340" s="10" t="n">
        <v>45962</v>
      </c>
      <c r="B340" s="11" t="n">
        <v>2920744110.786374</v>
      </c>
      <c r="C340" s="11" t="n">
        <v>44942140.68449949</v>
      </c>
      <c r="D340" s="11" t="n">
        <v>160757118</v>
      </c>
      <c r="E340" s="11" t="n"/>
      <c r="M340" s="22">
        <f>Z340/(1-R340)</f>
        <v/>
      </c>
      <c r="N340" s="11" t="n">
        <v>24402.38314599987</v>
      </c>
      <c r="O340" s="11" t="n">
        <v>97376</v>
      </c>
      <c r="P340" s="11" t="n"/>
      <c r="Q340" s="22">
        <f>M340+N340+O340+P340</f>
        <v/>
      </c>
      <c r="R340" s="12" t="n">
        <v>0.01</v>
      </c>
      <c r="S340" s="22">
        <f>M340*R340</f>
        <v/>
      </c>
      <c r="T340" s="22">
        <f>N340*R340</f>
        <v/>
      </c>
      <c r="U340" s="22">
        <f>(O340-V340)*R340</f>
        <v/>
      </c>
      <c r="V340" s="11" t="n">
        <v>17570</v>
      </c>
      <c r="W340" s="11" t="n">
        <v>0</v>
      </c>
      <c r="X340" s="22">
        <f>S340+T340+U340+V340+W340</f>
        <v/>
      </c>
      <c r="Y340" s="11" t="n">
        <v>133458.9975</v>
      </c>
      <c r="Z340" s="22">
        <f>AE340-AB340-AA340-AC340</f>
        <v/>
      </c>
      <c r="AA340" s="22">
        <f>N340-T340-W340</f>
        <v/>
      </c>
      <c r="AB340" s="22">
        <f>O340-V340-U340</f>
        <v/>
      </c>
      <c r="AC340" s="22">
        <f>P340</f>
        <v/>
      </c>
      <c r="AD340" s="23">
        <f>Z340+AA340+AB340+AC340</f>
        <v/>
      </c>
      <c r="AE340" s="11" t="n">
        <v>905975.09</v>
      </c>
      <c r="AF340" s="24">
        <f>AD340-AE340</f>
        <v/>
      </c>
      <c r="AG340" s="13">
        <f>IF(OR(B340="",B340=0,M340=""),"",M340/B340*10000)</f>
        <v/>
      </c>
      <c r="AH340" s="13">
        <f>IF(OR(C340="",C340=0),"",N340/C340*10000)</f>
        <v/>
      </c>
      <c r="AI340" s="13">
        <f>IF(OR(D340="",D340=0),"",O340/D340*10000)</f>
        <v/>
      </c>
      <c r="AJ340" s="11" t="n">
        <v>20884.86685340288</v>
      </c>
      <c r="AK340" s="11" t="n">
        <v>27250.43</v>
      </c>
      <c r="AL340" s="22">
        <f>AE340+AJ340+AK340</f>
        <v/>
      </c>
      <c r="AM340" s="22">
        <f>AE340</f>
        <v/>
      </c>
      <c r="AN340" s="14" t="n">
        <v>20798.35</v>
      </c>
      <c r="AO340" s="15" t="n">
        <v>43.55995</v>
      </c>
      <c r="AP340" s="14" t="n">
        <v>34280139.13</v>
      </c>
      <c r="AQ340" s="14" t="n">
        <v>26112.4247</v>
      </c>
      <c r="AR340" s="14" t="n">
        <v>1407.0012</v>
      </c>
      <c r="AS340" s="14" t="n"/>
      <c r="AT340" s="16" t="n">
        <v>418.4444318237478</v>
      </c>
      <c r="AU340" s="17" t="n">
        <v>0.0217965695</v>
      </c>
      <c r="AV340" s="14" t="n">
        <v>419984640.3678</v>
      </c>
      <c r="AW340" s="18" t="n">
        <v>60100000</v>
      </c>
      <c r="AX340" s="19" t="n">
        <v>34280139.13</v>
      </c>
      <c r="AY340" s="18" t="n">
        <v>3100000</v>
      </c>
      <c r="AZ340" s="18">
        <f>1000000000-999528654.377</f>
        <v/>
      </c>
      <c r="BA340" s="20">
        <f>1000000000-AV340-AW340-AX340-AY340-AZ340</f>
        <v/>
      </c>
      <c r="BB340" s="21" t="n">
        <v>244.9</v>
      </c>
      <c r="BC340" s="21">
        <f>BA340/1000000-BB340</f>
        <v/>
      </c>
      <c r="BD340" s="22">
        <f>BA340*43.43</f>
        <v/>
      </c>
    </row>
    <row r="341">
      <c r="A341" s="10" t="n">
        <v>45963</v>
      </c>
      <c r="B341" s="11" t="n">
        <v>4077024836.034765</v>
      </c>
      <c r="C341" s="11" t="n">
        <v>32898300.22479947</v>
      </c>
      <c r="D341" s="11" t="n">
        <v>182378150</v>
      </c>
      <c r="E341" s="11" t="n"/>
      <c r="M341" s="22">
        <f>Z341/(1-R341)</f>
        <v/>
      </c>
      <c r="N341" s="11" t="n">
        <v>18559.70747499991</v>
      </c>
      <c r="O341" s="11" t="n">
        <v>117319</v>
      </c>
      <c r="P341" s="11" t="n"/>
      <c r="Q341" s="22">
        <f>M341+N341+O341+P341</f>
        <v/>
      </c>
      <c r="R341" s="12" t="n">
        <v>0.01</v>
      </c>
      <c r="S341" s="22">
        <f>M341*R341</f>
        <v/>
      </c>
      <c r="T341" s="22">
        <f>N341*R341</f>
        <v/>
      </c>
      <c r="U341" s="22">
        <f>(O341-V341)*R341</f>
        <v/>
      </c>
      <c r="V341" s="11" t="n">
        <v>25889</v>
      </c>
      <c r="W341" s="11" t="n">
        <v>0</v>
      </c>
      <c r="X341" s="22">
        <f>S341+T341+U341+V341+W341</f>
        <v/>
      </c>
      <c r="Y341" s="11" t="n">
        <v>157349.3785</v>
      </c>
      <c r="Z341" s="22">
        <f>AE341-AB341-AA341-AC341</f>
        <v/>
      </c>
      <c r="AA341" s="22">
        <f>N341-T341-W341</f>
        <v/>
      </c>
      <c r="AB341" s="22">
        <f>O341-V341-U341</f>
        <v/>
      </c>
      <c r="AC341" s="22">
        <f>P341</f>
        <v/>
      </c>
      <c r="AD341" s="23">
        <f>Z341+AA341+AB341+AC341</f>
        <v/>
      </c>
      <c r="AE341" s="11" t="n">
        <v>1131973.02</v>
      </c>
      <c r="AF341" s="24">
        <f>AD341-AE341</f>
        <v/>
      </c>
      <c r="AG341" s="13">
        <f>IF(OR(B341="",B341=0,M341=""),"",M341/B341*10000)</f>
        <v/>
      </c>
      <c r="AH341" s="13">
        <f>IF(OR(C341="",C341=0),"",N341/C341*10000)</f>
        <v/>
      </c>
      <c r="AI341" s="13">
        <f>IF(OR(D341="",D341=0),"",O341/D341*10000)</f>
        <v/>
      </c>
      <c r="AJ341" s="11" t="n">
        <v>21561.40035412544</v>
      </c>
      <c r="AK341" s="11" t="n">
        <v>0</v>
      </c>
      <c r="AL341" s="22">
        <f>AE341+AJ341+AK341</f>
        <v/>
      </c>
      <c r="AM341" s="22">
        <f>AE341</f>
        <v/>
      </c>
      <c r="AN341" s="14" t="n">
        <v>26840.13</v>
      </c>
      <c r="AO341" s="15" t="n">
        <v>42.174647</v>
      </c>
      <c r="AP341" s="14" t="n">
        <v>34310312.42</v>
      </c>
      <c r="AQ341" s="14" t="n">
        <v>26085.2116</v>
      </c>
      <c r="AR341" s="14" t="n">
        <v>1000.5355</v>
      </c>
      <c r="AS341" s="14" t="n"/>
      <c r="AT341" s="16" t="n">
        <v>418.082104497409</v>
      </c>
      <c r="AU341" s="17" t="n">
        <v>0.0218059015</v>
      </c>
      <c r="AV341" s="14" t="n">
        <v>419958555.1562</v>
      </c>
      <c r="AW341" s="18" t="n">
        <v>60100000</v>
      </c>
      <c r="AX341" s="19" t="n">
        <v>34310312.42</v>
      </c>
      <c r="AY341" s="18" t="n">
        <v>3100000</v>
      </c>
      <c r="AZ341" s="18">
        <f>1000000000-999527653.8415</f>
        <v/>
      </c>
      <c r="BA341" s="20">
        <f>1000000000-AV341-AW341-AX341-AY341-AZ341</f>
        <v/>
      </c>
      <c r="BB341" s="21" t="n">
        <v>244.9</v>
      </c>
      <c r="BC341" s="21">
        <f>BA341/1000000-BB341</f>
        <v/>
      </c>
      <c r="BD341" s="22">
        <f>BA341*42.59</f>
        <v/>
      </c>
    </row>
    <row r="342">
      <c r="A342" s="10" t="n">
        <v>45964</v>
      </c>
      <c r="B342" s="11" t="n">
        <v>12318327460.88457</v>
      </c>
      <c r="C342" s="11" t="n">
        <v>76786337.40209974</v>
      </c>
      <c r="D342" s="11" t="n">
        <v>372136175</v>
      </c>
      <c r="E342" s="11" t="n"/>
      <c r="M342" s="22">
        <f>Z342/(1-R342)</f>
        <v/>
      </c>
      <c r="N342" s="11" t="n">
        <v>34561.19848999962</v>
      </c>
      <c r="O342" s="11" t="n">
        <v>205746</v>
      </c>
      <c r="P342" s="11" t="n"/>
      <c r="Q342" s="22">
        <f>M342+N342+O342+P342</f>
        <v/>
      </c>
      <c r="R342" s="12" t="n">
        <v>0.01</v>
      </c>
      <c r="S342" s="22">
        <f>M342*R342</f>
        <v/>
      </c>
      <c r="T342" s="22">
        <f>N342*R342</f>
        <v/>
      </c>
      <c r="U342" s="22">
        <f>(O342-V342)*R342</f>
        <v/>
      </c>
      <c r="V342" s="11" t="n">
        <v>51490</v>
      </c>
      <c r="W342" s="11" t="n">
        <v>0</v>
      </c>
      <c r="X342" s="22">
        <f>S342+T342+U342+V342+W342</f>
        <v/>
      </c>
      <c r="Y342" s="11" t="n">
        <v>328361.6911999999</v>
      </c>
      <c r="Z342" s="22">
        <f>AE342-AB342-AA342-AC342</f>
        <v/>
      </c>
      <c r="AA342" s="22">
        <f>N342-T342-W342</f>
        <v/>
      </c>
      <c r="AB342" s="22">
        <f>O342-V342-U342</f>
        <v/>
      </c>
      <c r="AC342" s="22">
        <f>P342</f>
        <v/>
      </c>
      <c r="AD342" s="23">
        <f>Z342+AA342+AB342+AC342</f>
        <v/>
      </c>
      <c r="AE342" s="11" t="n">
        <v>3442991.47</v>
      </c>
      <c r="AF342" s="24">
        <f>AD342-AE342</f>
        <v/>
      </c>
      <c r="AG342" s="13">
        <f>IF(OR(B342="",B342=0,M342=""),"",M342/B342*10000)</f>
        <v/>
      </c>
      <c r="AH342" s="13">
        <f>IF(OR(C342="",C342=0),"",N342/C342*10000)</f>
        <v/>
      </c>
      <c r="AI342" s="13">
        <f>IF(OR(D342="",D342=0),"",O342/D342*10000)</f>
        <v/>
      </c>
      <c r="AJ342" s="11" t="n">
        <v>45857.57870453568</v>
      </c>
      <c r="AK342" s="11" t="n">
        <v>23979.5</v>
      </c>
      <c r="AL342" s="22">
        <f>AE342+AJ342+AK342</f>
        <v/>
      </c>
      <c r="AM342" s="22">
        <f>AE342</f>
        <v/>
      </c>
      <c r="AN342" s="14" t="n">
        <v>84946.33</v>
      </c>
      <c r="AO342" s="15" t="n">
        <v>40.531374</v>
      </c>
      <c r="AP342" s="14" t="n">
        <v>34393309.46</v>
      </c>
      <c r="AQ342" s="14" t="n">
        <v>26120.7791</v>
      </c>
      <c r="AR342" s="14" t="n">
        <v>838.5616</v>
      </c>
      <c r="AS342" s="14" t="n"/>
      <c r="AT342" s="16" t="n">
        <v>418.2953305740895</v>
      </c>
      <c r="AU342" s="17" t="n">
        <v>0.0218004082</v>
      </c>
      <c r="AV342" s="14" t="n">
        <v>419932434.3771</v>
      </c>
      <c r="AW342" s="18" t="n">
        <v>60100000</v>
      </c>
      <c r="AX342" s="19" t="n">
        <v>34393309.46</v>
      </c>
      <c r="AY342" s="18" t="n">
        <v>3100000</v>
      </c>
      <c r="AZ342" s="18">
        <f>1000000000-999526815.2799</f>
        <v/>
      </c>
      <c r="BA342" s="20">
        <f>1000000000-AV342-AW342-AX342-AY342-AZ342</f>
        <v/>
      </c>
      <c r="BB342" s="21" t="n">
        <v>244.9</v>
      </c>
      <c r="BC342" s="21">
        <f>BA342/1000000-BB342</f>
        <v/>
      </c>
      <c r="BD342" s="22">
        <f>BA342*42.3</f>
        <v/>
      </c>
    </row>
    <row r="343">
      <c r="A343" s="10" t="n">
        <v>45965</v>
      </c>
      <c r="B343" s="11" t="n">
        <v>18678012855.41735</v>
      </c>
      <c r="C343" s="11" t="n">
        <v>76973279.47639924</v>
      </c>
      <c r="D343" s="11" t="n">
        <v>621682800</v>
      </c>
      <c r="E343" s="11" t="n"/>
      <c r="M343" s="22">
        <f>Z343/(1-R343)</f>
        <v/>
      </c>
      <c r="N343" s="11" t="n">
        <v>30207.43311000014</v>
      </c>
      <c r="O343" s="11" t="n">
        <v>327482</v>
      </c>
      <c r="P343" s="11" t="n"/>
      <c r="Q343" s="22">
        <f>M343+N343+O343+P343</f>
        <v/>
      </c>
      <c r="R343" s="12" t="n">
        <v>0.01</v>
      </c>
      <c r="S343" s="22">
        <f>M343*R343</f>
        <v/>
      </c>
      <c r="T343" s="22">
        <f>N343*R343</f>
        <v/>
      </c>
      <c r="U343" s="22">
        <f>(O343-V343)*R343</f>
        <v/>
      </c>
      <c r="V343" s="11" t="n">
        <v>75239</v>
      </c>
      <c r="W343" s="11" t="n">
        <v>0</v>
      </c>
      <c r="X343" s="22">
        <f>S343+T343+U343+V343+W343</f>
        <v/>
      </c>
      <c r="Y343" s="11" t="n">
        <v>333368.5648</v>
      </c>
      <c r="Z343" s="22">
        <f>AE343-AB343-AA343-AC343</f>
        <v/>
      </c>
      <c r="AA343" s="22">
        <f>N343-T343-W343</f>
        <v/>
      </c>
      <c r="AB343" s="22">
        <f>O343-V343-U343</f>
        <v/>
      </c>
      <c r="AC343" s="22">
        <f>P343</f>
        <v/>
      </c>
      <c r="AD343" s="23">
        <f>Z343+AA343+AB343+AC343</f>
        <v/>
      </c>
      <c r="AE343" s="11" t="n">
        <v>4842096.4</v>
      </c>
      <c r="AF343" s="24">
        <f>AD343-AE343</f>
        <v/>
      </c>
      <c r="AG343" s="13">
        <f>IF(OR(B343="",B343=0,M343=""),"",M343/B343*10000)</f>
        <v/>
      </c>
      <c r="AH343" s="13">
        <f>IF(OR(C343="",C343=0),"",N343/C343*10000)</f>
        <v/>
      </c>
      <c r="AI343" s="13">
        <f>IF(OR(D343="",D343=0),"",O343/D343*10000)</f>
        <v/>
      </c>
      <c r="AJ343" s="11" t="n">
        <v>86012.91274979358</v>
      </c>
      <c r="AK343" s="11" t="n">
        <v>22271.87</v>
      </c>
      <c r="AL343" s="22">
        <f>AE343+AJ343+AK343</f>
        <v/>
      </c>
      <c r="AM343" s="22">
        <f>AE343</f>
        <v/>
      </c>
      <c r="AN343" s="14" t="n">
        <v>128295.39</v>
      </c>
      <c r="AO343" s="15" t="n">
        <v>37.74178</v>
      </c>
      <c r="AP343" s="14" t="n">
        <v>34530179.1</v>
      </c>
      <c r="AQ343" s="14" t="n">
        <v>26102.2179</v>
      </c>
      <c r="AR343" s="14" t="n">
        <v>1420.4197</v>
      </c>
      <c r="AS343" s="14" t="n"/>
      <c r="AT343" s="16" t="n">
        <v>416.9440736240272</v>
      </c>
      <c r="AU343" s="17" t="n">
        <v>0.0218352909</v>
      </c>
      <c r="AV343" s="14" t="n">
        <v>419906332.1592</v>
      </c>
      <c r="AW343" s="18" t="n">
        <v>60100000</v>
      </c>
      <c r="AX343" s="19" t="n">
        <v>34530179.1</v>
      </c>
      <c r="AY343" s="18" t="n">
        <v>3100000</v>
      </c>
      <c r="AZ343" s="18">
        <f>1000000000-999525394.8602</f>
        <v/>
      </c>
      <c r="BA343" s="20">
        <f>1000000000-AV343-AW343-AX343-AY343-AZ343</f>
        <v/>
      </c>
      <c r="BB343" s="21" t="n">
        <v>244.9</v>
      </c>
      <c r="BC343" s="21">
        <f>BA343/1000000-BB343</f>
        <v/>
      </c>
      <c r="BD343" s="22">
        <f>BA343*39.25</f>
        <v/>
      </c>
    </row>
    <row r="344">
      <c r="A344" s="10" t="n">
        <v>45966</v>
      </c>
      <c r="B344" s="11" t="n">
        <v>8975471677.092789</v>
      </c>
      <c r="C344" s="11" t="n">
        <v>74172105.78020063</v>
      </c>
      <c r="D344" s="11" t="n">
        <v>297872465</v>
      </c>
      <c r="E344" s="11" t="n"/>
      <c r="M344" s="22">
        <f>Z344/(1-R344)</f>
        <v/>
      </c>
      <c r="N344" s="11" t="n">
        <v>33812.13230499998</v>
      </c>
      <c r="O344" s="11" t="n">
        <v>162518</v>
      </c>
      <c r="P344" s="11" t="n"/>
      <c r="Q344" s="22">
        <f>M344+N344+O344+P344</f>
        <v/>
      </c>
      <c r="R344" s="12" t="n">
        <v>0.01</v>
      </c>
      <c r="S344" s="22">
        <f>M344*R344</f>
        <v/>
      </c>
      <c r="T344" s="22">
        <f>N344*R344</f>
        <v/>
      </c>
      <c r="U344" s="22">
        <f>(O344-V344)*R344</f>
        <v/>
      </c>
      <c r="V344" s="11" t="n">
        <v>42393</v>
      </c>
      <c r="W344" s="11" t="n">
        <v>0</v>
      </c>
      <c r="X344" s="22">
        <f>S344+T344+U344+V344+W344</f>
        <v/>
      </c>
      <c r="Y344" s="11" t="n">
        <v>242899.9701</v>
      </c>
      <c r="Z344" s="22">
        <f>AE344-AB344-AA344-AC344</f>
        <v/>
      </c>
      <c r="AA344" s="22">
        <f>N344-T344-W344</f>
        <v/>
      </c>
      <c r="AB344" s="22">
        <f>O344-V344-U344</f>
        <v/>
      </c>
      <c r="AC344" s="22">
        <f>P344</f>
        <v/>
      </c>
      <c r="AD344" s="23">
        <f>Z344+AA344+AB344+AC344</f>
        <v/>
      </c>
      <c r="AE344" s="11" t="n">
        <v>3095161.4</v>
      </c>
      <c r="AF344" s="24">
        <f>AD344-AE344</f>
        <v/>
      </c>
      <c r="AG344" s="13">
        <f>IF(OR(B344="",B344=0,M344=""),"",M344/B344*10000)</f>
        <v/>
      </c>
      <c r="AH344" s="13">
        <f>IF(OR(C344="",C344=0),"",N344/C344*10000)</f>
        <v/>
      </c>
      <c r="AI344" s="13">
        <f>IF(OR(D344="",D344=0),"",O344/D344*10000)</f>
        <v/>
      </c>
      <c r="AJ344" s="11" t="n">
        <v>36274.73347561946</v>
      </c>
      <c r="AK344" s="11" t="n">
        <v>37178.92</v>
      </c>
      <c r="AL344" s="22">
        <f>AE344+AJ344+AK344</f>
        <v/>
      </c>
      <c r="AM344" s="22">
        <f>AE344</f>
        <v/>
      </c>
      <c r="AN344" s="14" t="n">
        <v>76813.03</v>
      </c>
      <c r="AO344" s="15" t="n">
        <v>40.294744</v>
      </c>
      <c r="AP344" s="14" t="n">
        <v>34598550</v>
      </c>
      <c r="AQ344" s="14" t="n">
        <v>25985.3347</v>
      </c>
      <c r="AR344" s="14" t="n">
        <v>2903.9061</v>
      </c>
      <c r="AS344" s="14" t="n"/>
      <c r="AT344" s="16" t="n">
        <v>413.6015838953354</v>
      </c>
      <c r="AU344" s="17" t="n">
        <v>0.0219223046</v>
      </c>
      <c r="AV344" s="14" t="n">
        <v>419880346.8245</v>
      </c>
      <c r="AW344" s="18" t="n">
        <v>60100000</v>
      </c>
      <c r="AX344" s="19" t="n">
        <v>34598550</v>
      </c>
      <c r="AY344" s="18" t="n">
        <v>3100000</v>
      </c>
      <c r="AZ344" s="18">
        <f>1000000000-999522490.9541</f>
        <v/>
      </c>
      <c r="BA344" s="20">
        <f>1000000000-AV344-AW344-AX344-AY344-AZ344</f>
        <v/>
      </c>
      <c r="BB344" s="21" t="n">
        <v>244.9</v>
      </c>
      <c r="BC344" s="21">
        <f>BA344/1000000-BB344</f>
        <v/>
      </c>
      <c r="BD344" s="22">
        <f>BA344*39.09</f>
        <v/>
      </c>
    </row>
    <row r="345">
      <c r="A345" s="10" t="n">
        <v>45967</v>
      </c>
      <c r="B345" s="11" t="n">
        <v>9953102218.168243</v>
      </c>
      <c r="C345" s="11" t="n">
        <v>72408906.09410045</v>
      </c>
      <c r="D345" s="11" t="n">
        <v>307467328</v>
      </c>
      <c r="E345" s="11" t="n"/>
      <c r="M345" s="22">
        <f>Z345/(1-R345)</f>
        <v/>
      </c>
      <c r="N345" s="11" t="n">
        <v>32091.0577210001</v>
      </c>
      <c r="O345" s="11" t="n">
        <v>179457</v>
      </c>
      <c r="P345" s="11" t="n"/>
      <c r="Q345" s="22">
        <f>M345+N345+O345+P345</f>
        <v/>
      </c>
      <c r="R345" s="12" t="n">
        <v>0.01</v>
      </c>
      <c r="S345" s="22">
        <f>M345*R345</f>
        <v/>
      </c>
      <c r="T345" s="22">
        <f>N345*R345</f>
        <v/>
      </c>
      <c r="U345" s="22">
        <f>(O345-V345)*R345</f>
        <v/>
      </c>
      <c r="V345" s="11" t="n">
        <v>45181</v>
      </c>
      <c r="W345" s="11" t="n">
        <v>0</v>
      </c>
      <c r="X345" s="22">
        <f>S345+T345+U345+V345+W345</f>
        <v/>
      </c>
      <c r="Y345" s="11" t="n">
        <v>281533.4171999999</v>
      </c>
      <c r="Z345" s="22">
        <f>AE345-AB345-AA345-AC345</f>
        <v/>
      </c>
      <c r="AA345" s="22">
        <f>N345-T345-W345</f>
        <v/>
      </c>
      <c r="AB345" s="22">
        <f>O345-V345-U345</f>
        <v/>
      </c>
      <c r="AC345" s="22">
        <f>P345</f>
        <v/>
      </c>
      <c r="AD345" s="23">
        <f>Z345+AA345+AB345+AC345</f>
        <v/>
      </c>
      <c r="AE345" s="11" t="n">
        <v>2820403.43</v>
      </c>
      <c r="AF345" s="24">
        <f>AD345-AE345</f>
        <v/>
      </c>
      <c r="AG345" s="13">
        <f>IF(OR(B345="",B345=0,M345=""),"",M345/B345*10000)</f>
        <v/>
      </c>
      <c r="AH345" s="13">
        <f>IF(OR(C345="",C345=0),"",N345/C345*10000)</f>
        <v/>
      </c>
      <c r="AI345" s="13">
        <f>IF(OR(D345="",D345=0),"",O345/D345*10000)</f>
        <v/>
      </c>
      <c r="AJ345" s="11" t="n">
        <v>28589.39459381691</v>
      </c>
      <c r="AK345" s="11" t="n">
        <v>0</v>
      </c>
      <c r="AL345" s="22">
        <f>AE345+AJ345+AK345</f>
        <v/>
      </c>
      <c r="AM345" s="22">
        <f>AE345</f>
        <v/>
      </c>
      <c r="AN345" s="14" t="n">
        <v>71839.50999999999</v>
      </c>
      <c r="AO345" s="15" t="n">
        <v>39.259781</v>
      </c>
      <c r="AP345" s="14" t="n">
        <v>34669690.21</v>
      </c>
      <c r="AQ345" s="14" t="n">
        <v>25961.9492</v>
      </c>
      <c r="AR345" s="14" t="n">
        <v>1791.5839</v>
      </c>
      <c r="AS345" s="14" t="n">
        <v>1745746</v>
      </c>
      <c r="AT345" s="16" t="n">
        <v>412.2916416449427</v>
      </c>
      <c r="AU345" s="17" t="n">
        <v>0.0219566917</v>
      </c>
      <c r="AV345" s="14" t="n">
        <v>419854384.8753</v>
      </c>
      <c r="AW345" s="18" t="n">
        <v>60100000</v>
      </c>
      <c r="AX345" s="19" t="n">
        <v>34669690.21</v>
      </c>
      <c r="AY345" s="18" t="n">
        <v>3100000</v>
      </c>
      <c r="AZ345" s="18">
        <f>1000000000-999520699.3702</f>
        <v/>
      </c>
      <c r="BA345" s="20">
        <f>1000000000-AV345-AW345-AX345-AY345-AZ345</f>
        <v/>
      </c>
      <c r="BB345" s="21" t="n">
        <v>243.154254</v>
      </c>
      <c r="BC345" s="21">
        <f>BA345/1000000-BB345</f>
        <v/>
      </c>
      <c r="BD345" s="22">
        <f>BA345*41.04</f>
        <v/>
      </c>
    </row>
    <row r="346">
      <c r="A346" s="10" t="n">
        <v>45968</v>
      </c>
      <c r="B346" s="11" t="n">
        <v>11366527523.85927</v>
      </c>
      <c r="C346" s="11" t="n">
        <v>86339593.20370054</v>
      </c>
      <c r="D346" s="11" t="n">
        <v>269387178</v>
      </c>
      <c r="E346" s="11" t="n"/>
      <c r="M346" s="22">
        <f>Z346/(1-R346)</f>
        <v/>
      </c>
      <c r="N346" s="11" t="n">
        <v>36941.22218200037</v>
      </c>
      <c r="O346" s="11" t="n">
        <v>158063</v>
      </c>
      <c r="P346" s="11" t="n"/>
      <c r="Q346" s="22">
        <f>M346+N346+O346+P346</f>
        <v/>
      </c>
      <c r="R346" s="12" t="n">
        <v>0.01</v>
      </c>
      <c r="S346" s="22">
        <f>M346*R346</f>
        <v/>
      </c>
      <c r="T346" s="22">
        <f>N346*R346</f>
        <v/>
      </c>
      <c r="U346" s="22">
        <f>(O346-V346)*R346</f>
        <v/>
      </c>
      <c r="V346" s="11" t="n">
        <v>37085</v>
      </c>
      <c r="W346" s="11" t="n">
        <v>0</v>
      </c>
      <c r="X346" s="22">
        <f>S346+T346+U346+V346+W346</f>
        <v/>
      </c>
      <c r="Y346" s="11" t="n">
        <v>232792.3189</v>
      </c>
      <c r="Z346" s="22">
        <f>AE346-AB346-AA346-AC346</f>
        <v/>
      </c>
      <c r="AA346" s="22">
        <f>N346-T346-W346</f>
        <v/>
      </c>
      <c r="AB346" s="22">
        <f>O346-V346-U346</f>
        <v/>
      </c>
      <c r="AC346" s="22">
        <f>P346</f>
        <v/>
      </c>
      <c r="AD346" s="23">
        <f>Z346+AA346+AB346+AC346</f>
        <v/>
      </c>
      <c r="AE346" s="11" t="n">
        <v>3221804.45</v>
      </c>
      <c r="AF346" s="24">
        <f>AD346-AE346</f>
        <v/>
      </c>
      <c r="AG346" s="13">
        <f>IF(OR(B346="",B346=0,M346=""),"",M346/B346*10000)</f>
        <v/>
      </c>
      <c r="AH346" s="13">
        <f>IF(OR(C346="",C346=0),"",N346/C346*10000)</f>
        <v/>
      </c>
      <c r="AI346" s="13">
        <f>IF(OR(D346="",D346=0),"",O346/D346*10000)</f>
        <v/>
      </c>
      <c r="AJ346" s="11" t="n">
        <v>44091.6878996825</v>
      </c>
      <c r="AK346" s="11" t="n">
        <v>23132.01</v>
      </c>
      <c r="AL346" s="22">
        <f>AE346+AJ346+AK346</f>
        <v/>
      </c>
      <c r="AM346" s="22">
        <f>AE346</f>
        <v/>
      </c>
      <c r="AN346" s="14" t="n">
        <v>79550.84</v>
      </c>
      <c r="AO346" s="15" t="n">
        <v>40.499943</v>
      </c>
      <c r="AP346" s="14" t="n">
        <v>34749096.65</v>
      </c>
      <c r="AQ346" s="14" t="n">
        <v>25933.0357</v>
      </c>
      <c r="AR346" s="14" t="n">
        <v>769.2206</v>
      </c>
      <c r="AS346" s="14" t="n"/>
      <c r="AT346" s="16" t="n">
        <v>412.380673958282</v>
      </c>
      <c r="AU346" s="17" t="n">
        <v>0.0219543494</v>
      </c>
      <c r="AV346" s="14" t="n">
        <v>419828451.8396</v>
      </c>
      <c r="AW346" s="18" t="n">
        <v>60100000</v>
      </c>
      <c r="AX346" s="19" t="n">
        <v>34749096.65</v>
      </c>
      <c r="AY346" s="18" t="n">
        <v>3100000</v>
      </c>
      <c r="AZ346" s="18">
        <f>1000000000-999519930.1496</f>
        <v/>
      </c>
      <c r="BA346" s="20">
        <f>1000000000-AV346-AW346-AX346-AY346-AZ346</f>
        <v/>
      </c>
      <c r="BB346" s="21" t="n">
        <v>243.154254</v>
      </c>
      <c r="BC346" s="21">
        <f>BA346/1000000-BB346</f>
        <v/>
      </c>
      <c r="BD346" s="22">
        <f>BA346*38.44</f>
        <v/>
      </c>
    </row>
    <row r="347">
      <c r="A347" s="10" t="n">
        <v>45969</v>
      </c>
      <c r="B347" s="11" t="n">
        <v>5581481770.076849</v>
      </c>
      <c r="C347" s="11" t="n">
        <v>17353200.40389998</v>
      </c>
      <c r="D347" s="11" t="n">
        <v>269222630</v>
      </c>
      <c r="E347" s="11" t="n"/>
      <c r="M347" s="22">
        <f>Z347/(1-R347)</f>
        <v/>
      </c>
      <c r="N347" s="11" t="n">
        <v>9415.469062999897</v>
      </c>
      <c r="O347" s="11" t="n">
        <v>192732</v>
      </c>
      <c r="P347" s="11" t="n"/>
      <c r="Q347" s="22">
        <f>M347+N347+O347+P347</f>
        <v/>
      </c>
      <c r="R347" s="12" t="n">
        <v>0.01</v>
      </c>
      <c r="S347" s="22">
        <f>M347*R347</f>
        <v/>
      </c>
      <c r="T347" s="22">
        <f>N347*R347</f>
        <v/>
      </c>
      <c r="U347" s="22">
        <f>(O347-V347)*R347</f>
        <v/>
      </c>
      <c r="V347" s="11" t="n">
        <v>44458</v>
      </c>
      <c r="W347" s="11" t="n">
        <v>0</v>
      </c>
      <c r="X347" s="22">
        <f>S347+T347+U347+V347+W347</f>
        <v/>
      </c>
      <c r="Y347" s="11" t="n">
        <v>246509.0123</v>
      </c>
      <c r="Z347" s="22">
        <f>AE347-AB347-AA347-AC347</f>
        <v/>
      </c>
      <c r="AA347" s="22">
        <f>N347-T347-W347</f>
        <v/>
      </c>
      <c r="AB347" s="22">
        <f>O347-V347-U347</f>
        <v/>
      </c>
      <c r="AC347" s="22">
        <f>P347</f>
        <v/>
      </c>
      <c r="AD347" s="23">
        <f>Z347+AA347+AB347+AC347</f>
        <v/>
      </c>
      <c r="AE347" s="11" t="n">
        <v>1626720.04</v>
      </c>
      <c r="AF347" s="24">
        <f>AD347-AE347</f>
        <v/>
      </c>
      <c r="AG347" s="13">
        <f>IF(OR(B347="",B347=0,M347=""),"",M347/B347*10000)</f>
        <v/>
      </c>
      <c r="AH347" s="13">
        <f>IF(OR(C347="",C347=0),"",N347/C347*10000)</f>
        <v/>
      </c>
      <c r="AI347" s="13">
        <f>IF(OR(D347="",D347=0),"",O347/D347*10000)</f>
        <v/>
      </c>
      <c r="AJ347" s="11" t="n">
        <v>17413.29662651659</v>
      </c>
      <c r="AK347" s="11" t="n">
        <v>21168.53</v>
      </c>
      <c r="AL347" s="22">
        <f>AE347+AJ347+AK347</f>
        <v/>
      </c>
      <c r="AM347" s="22">
        <f>AE347</f>
        <v/>
      </c>
      <c r="AN347" s="14" t="n">
        <v>39496.34</v>
      </c>
      <c r="AO347" s="15" t="n">
        <v>41.186602</v>
      </c>
      <c r="AP347" s="14" t="n">
        <v>34788699.69</v>
      </c>
      <c r="AQ347" s="14" t="n">
        <v>25923.3665</v>
      </c>
      <c r="AR347" s="14" t="n">
        <v>2190.7271</v>
      </c>
      <c r="AS347" s="14" t="n"/>
      <c r="AT347" s="16" t="n">
        <v>412.4567551438001</v>
      </c>
      <c r="AU347" s="17" t="n">
        <v>0.0219523484</v>
      </c>
      <c r="AV347" s="14" t="n">
        <v>419802528.4731</v>
      </c>
      <c r="AW347" s="18" t="n">
        <v>60100000</v>
      </c>
      <c r="AX347" s="19" t="n">
        <v>34788699.69</v>
      </c>
      <c r="AY347" s="18" t="n">
        <v>3100000</v>
      </c>
      <c r="AZ347" s="18">
        <f>1000000000-999517739.4225</f>
        <v/>
      </c>
      <c r="BA347" s="20">
        <f>1000000000-AV347-AW347-AX347-AY347-AZ347</f>
        <v/>
      </c>
      <c r="BB347" s="21" t="n">
        <v>243.154254</v>
      </c>
      <c r="BC347" s="21">
        <f>BA347/1000000-BB347</f>
        <v/>
      </c>
      <c r="BD347" s="22">
        <f>BA347*42.09</f>
        <v/>
      </c>
    </row>
    <row r="348">
      <c r="A348" s="10" t="n">
        <v>45970</v>
      </c>
      <c r="B348" s="11" t="n">
        <v>6082538036.847844</v>
      </c>
      <c r="C348" s="11" t="n">
        <v>35940774.9233996</v>
      </c>
      <c r="D348" s="11" t="n">
        <v>199150822</v>
      </c>
      <c r="E348" s="11" t="n"/>
      <c r="M348" s="22">
        <f>Z348/(1-R348)</f>
        <v/>
      </c>
      <c r="N348" s="11" t="n">
        <v>18794.43082500006</v>
      </c>
      <c r="O348" s="11" t="n">
        <v>109079</v>
      </c>
      <c r="P348" s="11" t="n"/>
      <c r="Q348" s="22">
        <f>M348+N348+O348+P348</f>
        <v/>
      </c>
      <c r="R348" s="12" t="n">
        <v>0.01</v>
      </c>
      <c r="S348" s="22">
        <f>M348*R348</f>
        <v/>
      </c>
      <c r="T348" s="22">
        <f>N348*R348</f>
        <v/>
      </c>
      <c r="U348" s="22">
        <f>(O348-V348)*R348</f>
        <v/>
      </c>
      <c r="V348" s="11" t="n">
        <v>27470</v>
      </c>
      <c r="W348" s="11" t="n">
        <v>0</v>
      </c>
      <c r="X348" s="22">
        <f>S348+T348+U348+V348+W348</f>
        <v/>
      </c>
      <c r="Y348" s="11" t="n">
        <v>206304.4173</v>
      </c>
      <c r="Z348" s="22">
        <f>AE348-AB348-AA348-AC348</f>
        <v/>
      </c>
      <c r="AA348" s="22">
        <f>N348-T348-W348</f>
        <v/>
      </c>
      <c r="AB348" s="22">
        <f>O348-V348-U348</f>
        <v/>
      </c>
      <c r="AC348" s="22">
        <f>P348</f>
        <v/>
      </c>
      <c r="AD348" s="23">
        <f>Z348+AA348+AB348+AC348</f>
        <v/>
      </c>
      <c r="AE348" s="11" t="n">
        <v>1728449.96</v>
      </c>
      <c r="AF348" s="24">
        <f>AD348-AE348</f>
        <v/>
      </c>
      <c r="AG348" s="13">
        <f>IF(OR(B348="",B348=0,M348=""),"",M348/B348*10000)</f>
        <v/>
      </c>
      <c r="AH348" s="13">
        <f>IF(OR(C348="",C348=0),"",N348/C348*10000)</f>
        <v/>
      </c>
      <c r="AI348" s="13">
        <f>IF(OR(D348="",D348=0),"",O348/D348*10000)</f>
        <v/>
      </c>
      <c r="AJ348" s="11" t="n">
        <v>17823.69843861972</v>
      </c>
      <c r="AK348" s="11" t="n">
        <v>0</v>
      </c>
      <c r="AL348" s="22">
        <f>AE348+AJ348+AK348</f>
        <v/>
      </c>
      <c r="AM348" s="22">
        <f>AE348</f>
        <v/>
      </c>
      <c r="AN348" s="14" t="n">
        <v>42278.57</v>
      </c>
      <c r="AO348" s="15" t="n">
        <v>40.882413</v>
      </c>
      <c r="AP348" s="14" t="n">
        <v>34831432.51</v>
      </c>
      <c r="AQ348" s="14" t="n">
        <v>25894.7721</v>
      </c>
      <c r="AR348" s="14" t="n">
        <v>972.6213</v>
      </c>
      <c r="AS348" s="14" t="n"/>
      <c r="AT348" s="16" t="n">
        <v>411.8896649509837</v>
      </c>
      <c r="AU348" s="17" t="n">
        <v>0.02196727659999999</v>
      </c>
      <c r="AV348" s="14" t="n">
        <v>419776633.701</v>
      </c>
      <c r="AW348" s="18" t="n">
        <v>60100000</v>
      </c>
      <c r="AX348" s="19" t="n">
        <v>34831432.51</v>
      </c>
      <c r="AY348" s="18" t="n">
        <v>3100000</v>
      </c>
      <c r="AZ348" s="18">
        <f>1000000000-999516766.8012</f>
        <v/>
      </c>
      <c r="BA348" s="20">
        <f>1000000000-AV348-AW348-AX348-AY348-AZ348</f>
        <v/>
      </c>
      <c r="BB348" s="21" t="n">
        <v>243.154254</v>
      </c>
      <c r="BC348" s="21">
        <f>BA348/1000000-BB348</f>
        <v/>
      </c>
      <c r="BD348" s="22">
        <f>BA348*40.06</f>
        <v/>
      </c>
    </row>
    <row r="349">
      <c r="A349" s="10" t="n">
        <v>45971</v>
      </c>
      <c r="B349" s="11" t="n">
        <v>8757485495.588236</v>
      </c>
      <c r="C349" s="11" t="n">
        <v>48277276.46619984</v>
      </c>
      <c r="D349" s="11" t="n">
        <v>260437127</v>
      </c>
      <c r="E349" s="11" t="n"/>
      <c r="M349" s="22">
        <f>Z349/(1-R349)</f>
        <v/>
      </c>
      <c r="N349" s="11" t="n">
        <v>22199.57154600039</v>
      </c>
      <c r="O349" s="11" t="n">
        <v>138356</v>
      </c>
      <c r="P349" s="11" t="n"/>
      <c r="Q349" s="22">
        <f>M349+N349+O349+P349</f>
        <v/>
      </c>
      <c r="R349" s="12" t="n">
        <v>0.01</v>
      </c>
      <c r="S349" s="22">
        <f>M349*R349</f>
        <v/>
      </c>
      <c r="T349" s="22">
        <f>N349*R349</f>
        <v/>
      </c>
      <c r="U349" s="22">
        <f>(O349-V349)*R349</f>
        <v/>
      </c>
      <c r="V349" s="11" t="n">
        <v>36975</v>
      </c>
      <c r="W349" s="11" t="n">
        <v>0</v>
      </c>
      <c r="X349" s="22">
        <f>S349+T349+U349+V349+W349</f>
        <v/>
      </c>
      <c r="Y349" s="11" t="n">
        <v>253266.9706</v>
      </c>
      <c r="Z349" s="22">
        <f>AE349-AB349-AA349-AC349</f>
        <v/>
      </c>
      <c r="AA349" s="22">
        <f>N349-T349-W349</f>
        <v/>
      </c>
      <c r="AB349" s="22">
        <f>O349-V349-U349</f>
        <v/>
      </c>
      <c r="AC349" s="22">
        <f>P349</f>
        <v/>
      </c>
      <c r="AD349" s="23">
        <f>Z349+AA349+AB349+AC349</f>
        <v/>
      </c>
      <c r="AE349" s="11" t="n">
        <v>2462236.88</v>
      </c>
      <c r="AF349" s="24">
        <f>AD349-AE349</f>
        <v/>
      </c>
      <c r="AG349" s="13">
        <f>IF(OR(B349="",B349=0,M349=""),"",M349/B349*10000)</f>
        <v/>
      </c>
      <c r="AH349" s="13">
        <f>IF(OR(C349="",C349=0),"",N349/C349*10000)</f>
        <v/>
      </c>
      <c r="AI349" s="13">
        <f>IF(OR(D349="",D349=0),"",O349/D349*10000)</f>
        <v/>
      </c>
      <c r="AJ349" s="11" t="n">
        <v>21912.36709961436</v>
      </c>
      <c r="AK349" s="11" t="n">
        <v>28674.71</v>
      </c>
      <c r="AL349" s="22">
        <f>AE349+AJ349+AK349</f>
        <v/>
      </c>
      <c r="AM349" s="22">
        <f>AE349</f>
        <v/>
      </c>
      <c r="AN349" s="14" t="n">
        <v>58760.44</v>
      </c>
      <c r="AO349" s="15" t="n">
        <v>41.902969</v>
      </c>
      <c r="AP349" s="14" t="n">
        <v>34889688.91</v>
      </c>
      <c r="AQ349" s="14" t="n">
        <v>25893.8588</v>
      </c>
      <c r="AR349" s="14" t="n">
        <v>1115.504</v>
      </c>
      <c r="AS349" s="14" t="n"/>
      <c r="AT349" s="16" t="n">
        <v>411.540995850104</v>
      </c>
      <c r="AU349" s="17" t="n">
        <v>0.0219764702</v>
      </c>
      <c r="AV349" s="14" t="n">
        <v>419750739.8422</v>
      </c>
      <c r="AW349" s="18" t="n">
        <v>60100000</v>
      </c>
      <c r="AX349" s="19" t="n">
        <v>34889688.91</v>
      </c>
      <c r="AY349" s="18" t="n">
        <v>3100000</v>
      </c>
      <c r="AZ349" s="18">
        <f>1000000000-999515651.2972</f>
        <v/>
      </c>
      <c r="BA349" s="20">
        <f>1000000000-AV349-AW349-AX349-AY349-AZ349</f>
        <v/>
      </c>
      <c r="BB349" s="21" t="n">
        <v>243.154254</v>
      </c>
      <c r="BC349" s="21">
        <f>BA349/1000000-BB349</f>
        <v/>
      </c>
      <c r="BD349" s="22">
        <f>BA349*41.98</f>
        <v/>
      </c>
    </row>
    <row r="350">
      <c r="A350" s="10" t="n">
        <v>45972</v>
      </c>
      <c r="B350" s="11" t="n">
        <v>9325609988.587311</v>
      </c>
      <c r="C350" s="11" t="n">
        <v>51882733.27409999</v>
      </c>
      <c r="D350" s="11" t="n">
        <v>295414773</v>
      </c>
      <c r="E350" s="11" t="n"/>
      <c r="M350" s="22">
        <f>Z350/(1-R350)</f>
        <v/>
      </c>
      <c r="N350" s="11" t="n">
        <v>21096.44858700003</v>
      </c>
      <c r="O350" s="11" t="n">
        <v>176605</v>
      </c>
      <c r="P350" s="11" t="n"/>
      <c r="Q350" s="22">
        <f>M350+N350+O350+P350</f>
        <v/>
      </c>
      <c r="R350" s="12" t="n">
        <v>0.01</v>
      </c>
      <c r="S350" s="22">
        <f>M350*R350</f>
        <v/>
      </c>
      <c r="T350" s="22">
        <f>N350*R350</f>
        <v/>
      </c>
      <c r="U350" s="22">
        <f>(O350-V350)*R350</f>
        <v/>
      </c>
      <c r="V350" s="11" t="n">
        <v>35710</v>
      </c>
      <c r="W350" s="11" t="n">
        <v>0</v>
      </c>
      <c r="X350" s="22">
        <f>S350+T350+U350+V350+W350</f>
        <v/>
      </c>
      <c r="Y350" s="11" t="n">
        <v>239391.8543</v>
      </c>
      <c r="Z350" s="22">
        <f>AE350-AB350-AA350-AC350</f>
        <v/>
      </c>
      <c r="AA350" s="22">
        <f>N350-T350-W350</f>
        <v/>
      </c>
      <c r="AB350" s="22">
        <f>O350-V350-U350</f>
        <v/>
      </c>
      <c r="AC350" s="22">
        <f>P350</f>
        <v/>
      </c>
      <c r="AD350" s="23">
        <f>Z350+AA350+AB350+AC350</f>
        <v/>
      </c>
      <c r="AE350" s="11" t="n">
        <v>2630949.04</v>
      </c>
      <c r="AF350" s="24">
        <f>AD350-AE350</f>
        <v/>
      </c>
      <c r="AG350" s="13">
        <f>IF(OR(B350="",B350=0,M350=""),"",M350/B350*10000)</f>
        <v/>
      </c>
      <c r="AH350" s="13">
        <f>IF(OR(C350="",C350=0),"",N350/C350*10000)</f>
        <v/>
      </c>
      <c r="AI350" s="13">
        <f>IF(OR(D350="",D350=0),"",O350/D350*10000)</f>
        <v/>
      </c>
      <c r="AJ350" s="11" t="n">
        <v>21951.803370227</v>
      </c>
      <c r="AK350" s="11" t="n">
        <v>0</v>
      </c>
      <c r="AL350" s="22">
        <f>AE350+AJ350+AK350</f>
        <v/>
      </c>
      <c r="AM350" s="22">
        <f>AE350</f>
        <v/>
      </c>
      <c r="AN350" s="14" t="n">
        <v>65665.92999999999</v>
      </c>
      <c r="AO350" s="15" t="n">
        <v>40.065663</v>
      </c>
      <c r="AP350" s="14" t="n">
        <v>34955480.73</v>
      </c>
      <c r="AQ350" s="14" t="n">
        <v>25897.845</v>
      </c>
      <c r="AR350" s="14" t="n">
        <v>1227.8531</v>
      </c>
      <c r="AS350" s="14" t="n"/>
      <c r="AT350" s="16" t="n">
        <v>413.4302438469636</v>
      </c>
      <c r="AU350" s="17" t="n">
        <v>0.0219267932</v>
      </c>
      <c r="AV350" s="14" t="n">
        <v>419724841.9973</v>
      </c>
      <c r="AW350" s="18" t="n">
        <v>60100000</v>
      </c>
      <c r="AX350" s="19" t="n">
        <v>34955480.73</v>
      </c>
      <c r="AY350" s="18" t="n">
        <v>3100000</v>
      </c>
      <c r="AZ350" s="18">
        <f>1000000000-999514423.4441</f>
        <v/>
      </c>
      <c r="BA350" s="20">
        <f>1000000000-AV350-AW350-AX350-AY350-AZ350</f>
        <v/>
      </c>
      <c r="BB350" s="21" t="n">
        <v>243.154254</v>
      </c>
      <c r="BC350" s="21">
        <f>BA350/1000000-BB350</f>
        <v/>
      </c>
      <c r="BD350" s="22">
        <f>BA350*40.99</f>
        <v/>
      </c>
    </row>
    <row r="351">
      <c r="A351" s="10" t="n">
        <v>45973</v>
      </c>
      <c r="B351" s="11" t="n">
        <v>7815297388.628652</v>
      </c>
      <c r="C351" s="11" t="n">
        <v>55323533.46027003</v>
      </c>
      <c r="D351" s="11" t="n">
        <v>245114219</v>
      </c>
      <c r="E351" s="11" t="n"/>
      <c r="M351" s="22">
        <f>Z351/(1-R351)</f>
        <v/>
      </c>
      <c r="N351" s="11" t="n">
        <v>25159.56575899998</v>
      </c>
      <c r="O351" s="11" t="n">
        <v>140400</v>
      </c>
      <c r="P351" s="11" t="n"/>
      <c r="Q351" s="22">
        <f>M351+N351+O351+P351</f>
        <v/>
      </c>
      <c r="R351" s="12" t="n">
        <v>0.01</v>
      </c>
      <c r="S351" s="22">
        <f>M351*R351</f>
        <v/>
      </c>
      <c r="T351" s="22">
        <f>N351*R351</f>
        <v/>
      </c>
      <c r="U351" s="22">
        <f>(O351-V351)*R351</f>
        <v/>
      </c>
      <c r="V351" s="11" t="n">
        <v>32435</v>
      </c>
      <c r="W351" s="11" t="n">
        <v>0</v>
      </c>
      <c r="X351" s="22">
        <f>S351+T351+U351+V351+W351</f>
        <v/>
      </c>
      <c r="Y351" s="11" t="n">
        <v>212202.5705</v>
      </c>
      <c r="Z351" s="22">
        <f>AE351-AB351-AA351-AC351</f>
        <v/>
      </c>
      <c r="AA351" s="22">
        <f>N351-T351-W351</f>
        <v/>
      </c>
      <c r="AB351" s="22">
        <f>O351-V351-U351</f>
        <v/>
      </c>
      <c r="AC351" s="22">
        <f>P351</f>
        <v/>
      </c>
      <c r="AD351" s="23">
        <f>Z351+AA351+AB351+AC351</f>
        <v/>
      </c>
      <c r="AE351" s="11" t="n">
        <v>2222071.34</v>
      </c>
      <c r="AF351" s="24">
        <f>AD351-AE351</f>
        <v/>
      </c>
      <c r="AG351" s="13">
        <f>IF(OR(B351="",B351=0,M351=""),"",M351/B351*10000)</f>
        <v/>
      </c>
      <c r="AH351" s="13">
        <f>IF(OR(C351="",C351=0),"",N351/C351*10000)</f>
        <v/>
      </c>
      <c r="AI351" s="13">
        <f>IF(OR(D351="",D351=0),"",O351/D351*10000)</f>
        <v/>
      </c>
      <c r="AJ351" s="11" t="n">
        <v>23955.71629433637</v>
      </c>
      <c r="AK351" s="11" t="n">
        <v>19345.2</v>
      </c>
      <c r="AL351" s="22">
        <f>AE351+AJ351+AK351</f>
        <v/>
      </c>
      <c r="AM351" s="22">
        <f>AE351</f>
        <v/>
      </c>
      <c r="AN351" s="14" t="n">
        <v>57050.12</v>
      </c>
      <c r="AO351" s="15" t="n">
        <v>38.94946</v>
      </c>
      <c r="AP351" s="14" t="n">
        <v>35011836.54</v>
      </c>
      <c r="AQ351" s="14" t="n">
        <v>25950.145</v>
      </c>
      <c r="AR351" s="14" t="n">
        <v>1130.4074</v>
      </c>
      <c r="AS351" s="14" t="n"/>
      <c r="AT351" s="16" t="n">
        <v>413.269868349044</v>
      </c>
      <c r="AU351" s="17" t="n">
        <v>0.021930997</v>
      </c>
      <c r="AV351" s="14" t="n">
        <v>419698891.8523</v>
      </c>
      <c r="AW351" s="18" t="n">
        <v>60100000</v>
      </c>
      <c r="AX351" s="19" t="n">
        <v>35011836.54</v>
      </c>
      <c r="AY351" s="18" t="n">
        <v>3100000</v>
      </c>
      <c r="AZ351" s="18">
        <f>1000000000-999513293.0366</f>
        <v/>
      </c>
      <c r="BA351" s="20">
        <f>1000000000-AV351-AW351-AX351-AY351-AZ351</f>
        <v/>
      </c>
      <c r="BB351" s="21" t="n">
        <v>243.154254</v>
      </c>
      <c r="BC351" s="21">
        <f>BA351/1000000-BB351</f>
        <v/>
      </c>
      <c r="BD351" s="22">
        <f>BA351*38.76</f>
        <v/>
      </c>
    </row>
    <row r="352">
      <c r="A352" s="10" t="n">
        <v>45974</v>
      </c>
      <c r="B352" s="11" t="n">
        <v>13091674916.82615</v>
      </c>
      <c r="C352" s="11" t="n">
        <v>77882779.6252794</v>
      </c>
      <c r="D352" s="11" t="n">
        <v>265738556</v>
      </c>
      <c r="E352" s="11" t="n"/>
      <c r="M352" s="22">
        <f>Z352/(1-R352)</f>
        <v/>
      </c>
      <c r="N352" s="11" t="n">
        <v>34594.73443800005</v>
      </c>
      <c r="O352" s="11" t="n">
        <v>143873</v>
      </c>
      <c r="P352" s="11" t="n"/>
      <c r="Q352" s="22">
        <f>M352+N352+O352+P352</f>
        <v/>
      </c>
      <c r="R352" s="12" t="n">
        <v>0.01</v>
      </c>
      <c r="S352" s="22">
        <f>M352*R352</f>
        <v/>
      </c>
      <c r="T352" s="22">
        <f>N352*R352</f>
        <v/>
      </c>
      <c r="U352" s="22">
        <f>(O352-V352)*R352</f>
        <v/>
      </c>
      <c r="V352" s="11" t="n">
        <v>34740</v>
      </c>
      <c r="W352" s="11" t="n">
        <v>0</v>
      </c>
      <c r="X352" s="22">
        <f>S352+T352+U352+V352+W352</f>
        <v/>
      </c>
      <c r="Y352" s="11" t="n">
        <v>280334.8551999999</v>
      </c>
      <c r="Z352" s="22">
        <f>AE352-AB352-AA352-AC352</f>
        <v/>
      </c>
      <c r="AA352" s="22">
        <f>N352-T352-W352</f>
        <v/>
      </c>
      <c r="AB352" s="22">
        <f>O352-V352-U352</f>
        <v/>
      </c>
      <c r="AC352" s="22">
        <f>P352</f>
        <v/>
      </c>
      <c r="AD352" s="23">
        <f>Z352+AA352+AB352+AC352</f>
        <v/>
      </c>
      <c r="AE352" s="11" t="n">
        <v>3637329.07</v>
      </c>
      <c r="AF352" s="24">
        <f>AD352-AE352</f>
        <v/>
      </c>
      <c r="AG352" s="13">
        <f>IF(OR(B352="",B352=0,M352=""),"",M352/B352*10000)</f>
        <v/>
      </c>
      <c r="AH352" s="13">
        <f>IF(OR(C352="",C352=0),"",N352/C352*10000)</f>
        <v/>
      </c>
      <c r="AI352" s="13">
        <f>IF(OR(D352="",D352=0),"",O352/D352*10000)</f>
        <v/>
      </c>
      <c r="AJ352" s="11" t="n">
        <v>24421.98486641538</v>
      </c>
      <c r="AK352" s="11" t="n">
        <v>0</v>
      </c>
      <c r="AL352" s="22">
        <f>AE352+AJ352+AK352</f>
        <v/>
      </c>
      <c r="AM352" s="22">
        <f>AE352</f>
        <v/>
      </c>
      <c r="AN352" s="14" t="n">
        <v>95270.13</v>
      </c>
      <c r="AO352" s="15" t="n">
        <v>38.179113</v>
      </c>
      <c r="AP352" s="14" t="n">
        <v>35109691.56</v>
      </c>
      <c r="AQ352" s="14" t="n">
        <v>25638.1525</v>
      </c>
      <c r="AR352" s="14" t="n">
        <v>1508.7648</v>
      </c>
      <c r="AS352" s="14" t="n"/>
      <c r="AT352" s="16" t="n">
        <v>426.4963239929122</v>
      </c>
      <c r="AU352" s="17" t="n">
        <v>0.0215922406</v>
      </c>
      <c r="AV352" s="14" t="n">
        <v>419673253.6997</v>
      </c>
      <c r="AW352" s="18" t="n">
        <v>60100000</v>
      </c>
      <c r="AX352" s="19" t="n">
        <v>35109691.56</v>
      </c>
      <c r="AY352" s="18" t="n">
        <v>3100000</v>
      </c>
      <c r="AZ352" s="18">
        <f>1000000000-999511784.2719</f>
        <v/>
      </c>
      <c r="BA352" s="20">
        <f>1000000000-AV352-AW352-AX352-AY352-AZ352</f>
        <v/>
      </c>
      <c r="BB352" s="21" t="n">
        <v>243.154254</v>
      </c>
      <c r="BC352" s="21">
        <f>BA352/1000000-BB352</f>
        <v/>
      </c>
      <c r="BD352" s="22">
        <f>BA352*38.17</f>
        <v/>
      </c>
    </row>
    <row r="353">
      <c r="A353" s="10" t="n">
        <v>45975</v>
      </c>
      <c r="B353" s="11" t="n">
        <v>13531077985.66444</v>
      </c>
      <c r="C353" s="11" t="n">
        <v>82876658.81841035</v>
      </c>
      <c r="D353" s="11" t="n">
        <v>351021796</v>
      </c>
      <c r="E353" s="11" t="n"/>
      <c r="M353" s="22">
        <f>Z353/(1-R353)</f>
        <v/>
      </c>
      <c r="N353" s="11" t="n">
        <v>35409.58449499978</v>
      </c>
      <c r="O353" s="11" t="n">
        <v>195412</v>
      </c>
      <c r="P353" s="11" t="n"/>
      <c r="Q353" s="22">
        <f>M353+N353+O353+P353</f>
        <v/>
      </c>
      <c r="R353" s="12" t="n">
        <v>0.01</v>
      </c>
      <c r="S353" s="22">
        <f>M353*R353</f>
        <v/>
      </c>
      <c r="T353" s="22">
        <f>N353*R353</f>
        <v/>
      </c>
      <c r="U353" s="22">
        <f>(O353-V353)*R353</f>
        <v/>
      </c>
      <c r="V353" s="11" t="n">
        <v>41807</v>
      </c>
      <c r="W353" s="11" t="n">
        <v>0</v>
      </c>
      <c r="X353" s="22">
        <f>S353+T353+U353+V353+W353</f>
        <v/>
      </c>
      <c r="Y353" s="11" t="n">
        <v>277650.5477000001</v>
      </c>
      <c r="Z353" s="22">
        <f>AE353-AB353-AA353-AC353</f>
        <v/>
      </c>
      <c r="AA353" s="22">
        <f>N353-T353-W353</f>
        <v/>
      </c>
      <c r="AB353" s="22">
        <f>O353-V353-U353</f>
        <v/>
      </c>
      <c r="AC353" s="22">
        <f>P353</f>
        <v/>
      </c>
      <c r="AD353" s="23">
        <f>Z353+AA353+AB353+AC353</f>
        <v/>
      </c>
      <c r="AE353" s="11" t="n">
        <v>3778626.52</v>
      </c>
      <c r="AF353" s="24">
        <f>AD353-AE353</f>
        <v/>
      </c>
      <c r="AG353" s="13">
        <f>IF(OR(B353="",B353=0,M353=""),"",M353/B353*10000)</f>
        <v/>
      </c>
      <c r="AH353" s="13">
        <f>IF(OR(C353="",C353=0),"",N353/C353*10000)</f>
        <v/>
      </c>
      <c r="AI353" s="13">
        <f>IF(OR(D353="",D353=0),"",O353/D353*10000)</f>
        <v/>
      </c>
      <c r="AJ353" s="11" t="n">
        <v>27479.26514730756</v>
      </c>
      <c r="AK353" s="11" t="n">
        <v>20142.14</v>
      </c>
      <c r="AL353" s="22">
        <f>AE353+AJ353+AK353</f>
        <v/>
      </c>
      <c r="AM353" s="22">
        <f>AE353</f>
        <v/>
      </c>
      <c r="AN353" s="14" t="n">
        <v>101425.41</v>
      </c>
      <c r="AO353" s="15" t="n">
        <v>37.255225</v>
      </c>
      <c r="AP353" s="14" t="n">
        <v>35207988.45</v>
      </c>
      <c r="AQ353" s="14" t="n">
        <v>25446.1864</v>
      </c>
      <c r="AR353" s="14" t="n">
        <v>705.1372</v>
      </c>
      <c r="AS353" s="14" t="n"/>
      <c r="AT353" s="16" t="n">
        <v>425.5258769824754</v>
      </c>
      <c r="AU353" s="17" t="n">
        <v>0.0216165619</v>
      </c>
      <c r="AV353" s="14" t="n">
        <v>419647807.5133</v>
      </c>
      <c r="AW353" s="18" t="n">
        <v>60100000</v>
      </c>
      <c r="AX353" s="19" t="n">
        <v>35207988.45</v>
      </c>
      <c r="AY353" s="18" t="n">
        <v>3100000</v>
      </c>
      <c r="AZ353" s="18">
        <f>1000000000-999511079.1346</f>
        <v/>
      </c>
      <c r="BA353" s="20">
        <f>1000000000-AV353-AW353-AX353-AY353-AZ353</f>
        <v/>
      </c>
      <c r="BB353" s="21" t="n">
        <v>243.154254</v>
      </c>
      <c r="BC353" s="21">
        <f>BA353/1000000-BB353</f>
        <v/>
      </c>
      <c r="BD353" s="22">
        <f>BA353*38.24</f>
        <v/>
      </c>
    </row>
    <row r="354">
      <c r="A354" s="10" t="n">
        <v>45976</v>
      </c>
      <c r="B354" s="11" t="n">
        <v>4597021082.465628</v>
      </c>
      <c r="C354" s="11" t="n">
        <v>28938454.95013965</v>
      </c>
      <c r="D354" s="11" t="n">
        <v>162637502</v>
      </c>
      <c r="E354" s="11" t="n"/>
      <c r="M354" s="22">
        <f>Z354/(1-R354)</f>
        <v/>
      </c>
      <c r="N354" s="11" t="n">
        <v>18494.72617400061</v>
      </c>
      <c r="O354" s="11" t="n">
        <v>101061</v>
      </c>
      <c r="P354" s="11" t="n"/>
      <c r="Q354" s="22">
        <f>M354+N354+O354+P354</f>
        <v/>
      </c>
      <c r="R354" s="12" t="n">
        <v>0.01</v>
      </c>
      <c r="S354" s="22">
        <f>M354*R354</f>
        <v/>
      </c>
      <c r="T354" s="22">
        <f>N354*R354</f>
        <v/>
      </c>
      <c r="U354" s="22">
        <f>(O354-V354)*R354</f>
        <v/>
      </c>
      <c r="V354" s="11" t="n">
        <v>23707</v>
      </c>
      <c r="W354" s="11" t="n">
        <v>0</v>
      </c>
      <c r="X354" s="22">
        <f>S354+T354+U354+V354+W354</f>
        <v/>
      </c>
      <c r="Y354" s="11" t="n">
        <v>148238.2306</v>
      </c>
      <c r="Z354" s="22">
        <f>AE354-AB354-AA354-AC354</f>
        <v/>
      </c>
      <c r="AA354" s="22">
        <f>N354-T354-W354</f>
        <v/>
      </c>
      <c r="AB354" s="22">
        <f>O354-V354-U354</f>
        <v/>
      </c>
      <c r="AC354" s="22">
        <f>P354</f>
        <v/>
      </c>
      <c r="AD354" s="23">
        <f>Z354+AA354+AB354+AC354</f>
        <v/>
      </c>
      <c r="AE354" s="11" t="n">
        <v>1346765.12</v>
      </c>
      <c r="AF354" s="24">
        <f>AD354-AE354</f>
        <v/>
      </c>
      <c r="AG354" s="13">
        <f>IF(OR(B354="",B354=0,M354=""),"",M354/B354*10000)</f>
        <v/>
      </c>
      <c r="AH354" s="13">
        <f>IF(OR(C354="",C354=0),"",N354/C354*10000)</f>
        <v/>
      </c>
      <c r="AI354" s="13">
        <f>IF(OR(D354="",D354=0),"",O354/D354*10000)</f>
        <v/>
      </c>
      <c r="AJ354" s="11" t="n">
        <v>9172.038954276788</v>
      </c>
      <c r="AK354" s="11" t="n">
        <v>0</v>
      </c>
      <c r="AL354" s="22">
        <f>AE354+AJ354+AK354</f>
        <v/>
      </c>
      <c r="AM354" s="22">
        <f>AE354</f>
        <v/>
      </c>
      <c r="AN354" s="14" t="n">
        <v>34839.66</v>
      </c>
      <c r="AO354" s="15" t="n">
        <v>38.656093</v>
      </c>
      <c r="AP354" s="14" t="n">
        <v>35243905.51</v>
      </c>
      <c r="AQ354" s="14" t="n">
        <v>25324.6023</v>
      </c>
      <c r="AR354" s="14" t="n">
        <v>2028.2638</v>
      </c>
      <c r="AS354" s="14" t="n"/>
      <c r="AT354" s="16" t="n">
        <v>422.865432834103</v>
      </c>
      <c r="AU354" s="17" t="n">
        <v>0.021683663</v>
      </c>
      <c r="AV354" s="14" t="n">
        <v>419622482.911</v>
      </c>
      <c r="AW354" s="18" t="n">
        <v>60100000</v>
      </c>
      <c r="AX354" s="19" t="n">
        <v>35243905.51</v>
      </c>
      <c r="AY354" s="18" t="n">
        <v>3100000</v>
      </c>
      <c r="AZ354" s="18">
        <f>1000000000-999509050.8708</f>
        <v/>
      </c>
      <c r="BA354" s="20">
        <f>1000000000-AV354-AW354-AX354-AY354-AZ354</f>
        <v/>
      </c>
      <c r="BB354" s="21" t="n">
        <v>243.154254</v>
      </c>
      <c r="BC354" s="21">
        <f>BA354/1000000-BB354</f>
        <v/>
      </c>
      <c r="BD354" s="22">
        <f>BA354*37.67</f>
        <v/>
      </c>
    </row>
    <row r="355">
      <c r="A355" s="10" t="n">
        <v>45977</v>
      </c>
      <c r="B355" s="11" t="n">
        <v>7009397014.579354</v>
      </c>
      <c r="C355" s="11" t="n">
        <v>39021394.02559034</v>
      </c>
      <c r="D355" s="11" t="n">
        <v>221753668</v>
      </c>
      <c r="E355" s="11" t="n"/>
      <c r="M355" s="22">
        <f>Z355/(1-R355)</f>
        <v/>
      </c>
      <c r="N355" s="11" t="n">
        <v>22746.7838630002</v>
      </c>
      <c r="O355" s="11" t="n">
        <v>127467</v>
      </c>
      <c r="P355" s="11" t="n"/>
      <c r="Q355" s="22">
        <f>M355+N355+O355+P355</f>
        <v/>
      </c>
      <c r="R355" s="12" t="n">
        <v>0.01</v>
      </c>
      <c r="S355" s="22">
        <f>M355*R355</f>
        <v/>
      </c>
      <c r="T355" s="22">
        <f>N355*R355</f>
        <v/>
      </c>
      <c r="U355" s="22">
        <f>(O355-V355)*R355</f>
        <v/>
      </c>
      <c r="V355" s="11" t="n">
        <v>28087</v>
      </c>
      <c r="W355" s="11" t="n">
        <v>0</v>
      </c>
      <c r="X355" s="22">
        <f>S355+T355+U355+V355+W355</f>
        <v/>
      </c>
      <c r="Y355" s="11" t="n">
        <v>220160.1609</v>
      </c>
      <c r="Z355" s="22">
        <f>AE355-AB355-AA355-AC355</f>
        <v/>
      </c>
      <c r="AA355" s="22">
        <f>N355-T355-W355</f>
        <v/>
      </c>
      <c r="AB355" s="22">
        <f>O355-V355-U355</f>
        <v/>
      </c>
      <c r="AC355" s="22">
        <f>P355</f>
        <v/>
      </c>
      <c r="AD355" s="23">
        <f>Z355+AA355+AB355+AC355</f>
        <v/>
      </c>
      <c r="AE355" s="11" t="n">
        <v>1936066.5</v>
      </c>
      <c r="AF355" s="24">
        <f>AD355-AE355</f>
        <v/>
      </c>
      <c r="AG355" s="13">
        <f>IF(OR(B355="",B355=0,M355=""),"",M355/B355*10000)</f>
        <v/>
      </c>
      <c r="AH355" s="13">
        <f>IF(OR(C355="",C355=0),"",N355/C355*10000)</f>
        <v/>
      </c>
      <c r="AI355" s="13">
        <f>IF(OR(D355="",D355=0),"",O355/D355*10000)</f>
        <v/>
      </c>
      <c r="AJ355" s="11" t="n">
        <v>17703.58209622724</v>
      </c>
      <c r="AK355" s="11" t="n">
        <v>0</v>
      </c>
      <c r="AL355" s="22">
        <f>AE355+AJ355+AK355</f>
        <v/>
      </c>
      <c r="AM355" s="22">
        <f>AE355</f>
        <v/>
      </c>
      <c r="AN355" s="14" t="n">
        <v>50364.81</v>
      </c>
      <c r="AO355" s="15" t="n">
        <v>38.440858</v>
      </c>
      <c r="AP355" s="14" t="n">
        <v>35296567.11</v>
      </c>
      <c r="AQ355" s="14" t="n">
        <v>25348.0065</v>
      </c>
      <c r="AR355" s="14" t="n">
        <v>368.3821</v>
      </c>
      <c r="AS355" s="14" t="n"/>
      <c r="AT355" s="16" t="n">
        <v>422.6932145493237</v>
      </c>
      <c r="AU355" s="17" t="n">
        <v>0.0216880283</v>
      </c>
      <c r="AV355" s="14" t="n">
        <v>419597134.9045</v>
      </c>
      <c r="AW355" s="18" t="n">
        <v>60100000</v>
      </c>
      <c r="AX355" s="19" t="n">
        <v>35296567.11</v>
      </c>
      <c r="AY355" s="18" t="n">
        <v>3100000</v>
      </c>
      <c r="AZ355" s="18">
        <f>1000000000-999508682.4887</f>
        <v/>
      </c>
      <c r="BA355" s="20">
        <f>1000000000-AV355-AW355-AX355-AY355-AZ355</f>
        <v/>
      </c>
      <c r="BB355" s="21" t="n">
        <v>243.154254</v>
      </c>
      <c r="BC355" s="21">
        <f>BA355/1000000-BB355</f>
        <v/>
      </c>
      <c r="BD355" s="22">
        <f>BA355*38.39</f>
        <v/>
      </c>
    </row>
    <row r="356">
      <c r="A356" s="10" t="n">
        <v>45978</v>
      </c>
      <c r="B356" s="11" t="n">
        <v>9665779077.316828</v>
      </c>
      <c r="C356" s="11" t="n">
        <v>124865202.2452617</v>
      </c>
      <c r="D356" s="11" t="n">
        <v>291667475</v>
      </c>
      <c r="E356" s="11" t="n"/>
      <c r="M356" s="22">
        <f>Z356/(1-R356)</f>
        <v/>
      </c>
      <c r="N356" s="11" t="n">
        <v>55479.06407199962</v>
      </c>
      <c r="O356" s="11" t="n">
        <v>153294</v>
      </c>
      <c r="P356" s="11" t="n"/>
      <c r="Q356" s="22">
        <f>M356+N356+O356+P356</f>
        <v/>
      </c>
      <c r="R356" s="12" t="n">
        <v>0.01</v>
      </c>
      <c r="S356" s="22">
        <f>M356*R356</f>
        <v/>
      </c>
      <c r="T356" s="22">
        <f>N356*R356</f>
        <v/>
      </c>
      <c r="U356" s="22">
        <f>(O356-V356)*R356</f>
        <v/>
      </c>
      <c r="V356" s="11" t="n">
        <v>37890</v>
      </c>
      <c r="W356" s="11" t="n">
        <v>0</v>
      </c>
      <c r="X356" s="22">
        <f>S356+T356+U356+V356+W356</f>
        <v/>
      </c>
      <c r="Y356" s="11" t="n">
        <v>267779.5672</v>
      </c>
      <c r="Z356" s="22">
        <f>AE356-AB356-AA356-AC356</f>
        <v/>
      </c>
      <c r="AA356" s="22">
        <f>N356-T356-W356</f>
        <v/>
      </c>
      <c r="AB356" s="22">
        <f>O356-V356-U356</f>
        <v/>
      </c>
      <c r="AC356" s="22">
        <f>P356</f>
        <v/>
      </c>
      <c r="AD356" s="23">
        <f>Z356+AA356+AB356+AC356</f>
        <v/>
      </c>
      <c r="AE356" s="11" t="n">
        <v>2814222.59</v>
      </c>
      <c r="AF356" s="24">
        <f>AD356-AE356</f>
        <v/>
      </c>
      <c r="AG356" s="13">
        <f>IF(OR(B356="",B356=0,M356=""),"",M356/B356*10000)</f>
        <v/>
      </c>
      <c r="AH356" s="13">
        <f>IF(OR(C356="",C356=0),"",N356/C356*10000)</f>
        <v/>
      </c>
      <c r="AI356" s="13">
        <f>IF(OR(D356="",D356=0),"",O356/D356*10000)</f>
        <v/>
      </c>
      <c r="AJ356" s="11" t="n">
        <v>25585.71163847729</v>
      </c>
      <c r="AK356" s="11" t="n">
        <v>0</v>
      </c>
      <c r="AL356" s="22">
        <f>AE356+AJ356+AK356</f>
        <v/>
      </c>
      <c r="AM356" s="22">
        <f>AE356</f>
        <v/>
      </c>
      <c r="AN356" s="14" t="n">
        <v>73999.24000000001</v>
      </c>
      <c r="AO356" s="15" t="n">
        <v>38.030426</v>
      </c>
      <c r="AP356" s="14" t="n">
        <v>35367094.07</v>
      </c>
      <c r="AQ356" s="14" t="n">
        <v>25332.2468</v>
      </c>
      <c r="AR356" s="14" t="n">
        <v>1015.1872</v>
      </c>
      <c r="AS356" s="14" t="n"/>
      <c r="AT356" s="16" t="n">
        <v>421.8867933030559</v>
      </c>
      <c r="AU356" s="17" t="n">
        <v>0.0217085044</v>
      </c>
      <c r="AV356" s="14" t="n">
        <v>419571802.6578</v>
      </c>
      <c r="AW356" s="18" t="n">
        <v>60100000</v>
      </c>
      <c r="AX356" s="19" t="n">
        <v>35367094.07</v>
      </c>
      <c r="AY356" s="18" t="n">
        <v>3100000</v>
      </c>
      <c r="AZ356" s="18">
        <f>1000000000-999507667.3015</f>
        <v/>
      </c>
      <c r="BA356" s="20">
        <f>1000000000-AV356-AW356-AX356-AY356-AZ356</f>
        <v/>
      </c>
      <c r="BB356" s="21" t="n">
        <v>243.154254</v>
      </c>
      <c r="BC356" s="21">
        <f>BA356/1000000-BB356</f>
        <v/>
      </c>
      <c r="BD356" s="22">
        <f>BA356*38.69</f>
        <v/>
      </c>
    </row>
    <row r="357">
      <c r="A357" s="10" t="n">
        <v>45979</v>
      </c>
      <c r="B357" s="11" t="n">
        <v>9683709927.051897</v>
      </c>
      <c r="C357" s="11" t="n">
        <v>143664862.0557365</v>
      </c>
      <c r="D357" s="11" t="n">
        <v>249683320</v>
      </c>
      <c r="E357" s="11" t="n"/>
      <c r="M357" s="22">
        <f>Z357/(1-R357)</f>
        <v/>
      </c>
      <c r="N357" s="11" t="n">
        <v>63228.34860499989</v>
      </c>
      <c r="O357" s="11" t="n">
        <v>134082</v>
      </c>
      <c r="P357" s="11" t="n"/>
      <c r="Q357" s="22">
        <f>M357+N357+O357+P357</f>
        <v/>
      </c>
      <c r="R357" s="12" t="n">
        <v>0.01</v>
      </c>
      <c r="S357" s="22">
        <f>M357*R357</f>
        <v/>
      </c>
      <c r="T357" s="22">
        <f>N357*R357</f>
        <v/>
      </c>
      <c r="U357" s="22">
        <f>(O357-V357)*R357</f>
        <v/>
      </c>
      <c r="V357" s="11" t="n">
        <v>30894</v>
      </c>
      <c r="W357" s="11" t="n">
        <v>0</v>
      </c>
      <c r="X357" s="22">
        <f>S357+T357+U357+V357+W357</f>
        <v/>
      </c>
      <c r="Y357" s="11" t="n">
        <v>256189.4671</v>
      </c>
      <c r="Z357" s="22">
        <f>AE357-AB357-AA357-AC357</f>
        <v/>
      </c>
      <c r="AA357" s="22">
        <f>N357-T357-W357</f>
        <v/>
      </c>
      <c r="AB357" s="22">
        <f>O357-V357-U357</f>
        <v/>
      </c>
      <c r="AC357" s="22">
        <f>P357</f>
        <v/>
      </c>
      <c r="AD357" s="23">
        <f>Z357+AA357+AB357+AC357</f>
        <v/>
      </c>
      <c r="AE357" s="11" t="n">
        <v>2891591.59</v>
      </c>
      <c r="AF357" s="24">
        <f>AD357-AE357</f>
        <v/>
      </c>
      <c r="AG357" s="13">
        <f>IF(OR(B357="",B357=0,M357=""),"",M357/B357*10000)</f>
        <v/>
      </c>
      <c r="AH357" s="13">
        <f>IF(OR(C357="",C357=0),"",N357/C357*10000)</f>
        <v/>
      </c>
      <c r="AI357" s="13">
        <f>IF(OR(D357="",D357=0),"",O357/D357*10000)</f>
        <v/>
      </c>
      <c r="AJ357" s="11" t="n">
        <v>48591.65624382608</v>
      </c>
      <c r="AK357" s="11" t="n">
        <v>19431.37</v>
      </c>
      <c r="AL357" s="22">
        <f>AE357+AJ357+AK357</f>
        <v/>
      </c>
      <c r="AM357" s="22">
        <f>AE357</f>
        <v/>
      </c>
      <c r="AN357" s="14" t="n">
        <v>73038.41</v>
      </c>
      <c r="AO357" s="15" t="n">
        <v>39.590013</v>
      </c>
      <c r="AP357" s="14" t="n">
        <v>35441466.6</v>
      </c>
      <c r="AQ357" s="14" t="n">
        <v>25303.9953</v>
      </c>
      <c r="AR357" s="14" t="n">
        <v>689.8976</v>
      </c>
      <c r="AS357" s="14" t="n"/>
      <c r="AT357" s="16" t="n">
        <v>420.3440008971314</v>
      </c>
      <c r="AU357" s="17" t="n">
        <v>0.0217478405</v>
      </c>
      <c r="AV357" s="14" t="n">
        <v>419546498.6625</v>
      </c>
      <c r="AW357" s="18" t="n">
        <v>60100000</v>
      </c>
      <c r="AX357" s="19" t="n">
        <v>35441466.6</v>
      </c>
      <c r="AY357" s="18" t="n">
        <v>3100000</v>
      </c>
      <c r="AZ357" s="18">
        <f>1000000000-999506977.4039</f>
        <v/>
      </c>
      <c r="BA357" s="20">
        <f>1000000000-AV357-AW357-AX357-AY357-AZ357</f>
        <v/>
      </c>
      <c r="BB357" s="21" t="n">
        <v>243.154254</v>
      </c>
      <c r="BC357" s="21">
        <f>BA357/1000000-BB357</f>
        <v/>
      </c>
      <c r="BD357" s="22">
        <f>BA357*39.07</f>
        <v/>
      </c>
    </row>
    <row r="358">
      <c r="A358" s="10" t="n">
        <v>45980</v>
      </c>
      <c r="B358" s="11" t="n">
        <v>9510479677.637615</v>
      </c>
      <c r="C358" s="11" t="n">
        <v>230705184.9538402</v>
      </c>
      <c r="D358" s="11" t="n">
        <v>289563221</v>
      </c>
      <c r="E358" s="11" t="n"/>
      <c r="M358" s="22">
        <f>Z358/(1-R358)</f>
        <v/>
      </c>
      <c r="N358" s="11" t="n">
        <v>110542.7219160002</v>
      </c>
      <c r="O358" s="11" t="n">
        <v>152868</v>
      </c>
      <c r="P358" s="11" t="n"/>
      <c r="Q358" s="22">
        <f>M358+N358+O358+P358</f>
        <v/>
      </c>
      <c r="R358" s="12" t="n">
        <v>0.01</v>
      </c>
      <c r="S358" s="22">
        <f>M358*R358</f>
        <v/>
      </c>
      <c r="T358" s="22">
        <f>N358*R358</f>
        <v/>
      </c>
      <c r="U358" s="22">
        <f>(O358-V358)*R358</f>
        <v/>
      </c>
      <c r="V358" s="11" t="n">
        <v>44625</v>
      </c>
      <c r="W358" s="11" t="n">
        <v>0</v>
      </c>
      <c r="X358" s="22">
        <f>S358+T358+U358+V358+W358</f>
        <v/>
      </c>
      <c r="Y358" s="11" t="n">
        <v>300293.3346</v>
      </c>
      <c r="Z358" s="22">
        <f>AE358-AB358-AA358-AC358</f>
        <v/>
      </c>
      <c r="AA358" s="22">
        <f>N358-T358-W358</f>
        <v/>
      </c>
      <c r="AB358" s="22">
        <f>O358-V358-U358</f>
        <v/>
      </c>
      <c r="AC358" s="22">
        <f>P358</f>
        <v/>
      </c>
      <c r="AD358" s="23">
        <f>Z358+AA358+AB358+AC358</f>
        <v/>
      </c>
      <c r="AE358" s="11" t="n">
        <v>2713751.03</v>
      </c>
      <c r="AF358" s="24">
        <f>AD358-AE358</f>
        <v/>
      </c>
      <c r="AG358" s="13">
        <f>IF(OR(B358="",B358=0,M358=""),"",M358/B358*10000)</f>
        <v/>
      </c>
      <c r="AH358" s="13">
        <f>IF(OR(C358="",C358=0),"",N358/C358*10000)</f>
        <v/>
      </c>
      <c r="AI358" s="13">
        <f>IF(OR(D358="",D358=0),"",O358/D358*10000)</f>
        <v/>
      </c>
      <c r="AJ358" s="11" t="n">
        <v>26710.85823632487</v>
      </c>
      <c r="AK358" s="11" t="n">
        <v>0</v>
      </c>
      <c r="AL358" s="22">
        <f>AE358+AJ358+AK358</f>
        <v/>
      </c>
      <c r="AM358" s="22">
        <f>AE358</f>
        <v/>
      </c>
      <c r="AN358" s="14" t="n">
        <v>71425.92999999999</v>
      </c>
      <c r="AO358" s="15" t="n">
        <v>37.993919</v>
      </c>
      <c r="AP358" s="14" t="n">
        <v>35515086.06</v>
      </c>
      <c r="AQ358" s="14" t="n">
        <v>25266.5099</v>
      </c>
      <c r="AR358" s="14" t="n">
        <v>1970.3837</v>
      </c>
      <c r="AS358" s="14" t="n"/>
      <c r="AT358" s="16" t="n">
        <v>420.3240872434221</v>
      </c>
      <c r="AU358" s="17" t="n">
        <v>0.0217483497</v>
      </c>
      <c r="AV358" s="14" t="n">
        <v>419521232.1526</v>
      </c>
      <c r="AW358" s="18" t="n">
        <v>60100000</v>
      </c>
      <c r="AX358" s="19" t="n">
        <v>35515086.06</v>
      </c>
      <c r="AY358" s="18" t="n">
        <v>3100000</v>
      </c>
      <c r="AZ358" s="18">
        <f>1000000000-999505007.0202</f>
        <v/>
      </c>
      <c r="BA358" s="20">
        <f>1000000000-AV358-AW358-AX358-AY358-AZ358</f>
        <v/>
      </c>
      <c r="BB358" s="21" t="n">
        <v>243.154254</v>
      </c>
      <c r="BC358" s="21">
        <f>BA358/1000000-BB358</f>
        <v/>
      </c>
      <c r="BD358" s="22">
        <f>BA358*38.46</f>
        <v/>
      </c>
    </row>
    <row r="359">
      <c r="A359" s="10" t="n">
        <v>45981</v>
      </c>
      <c r="B359" s="11" t="n">
        <v>10589259330.00319</v>
      </c>
      <c r="C359" s="11" t="n">
        <v>316335677.3177428</v>
      </c>
      <c r="D359" s="11" t="n">
        <v>314646044</v>
      </c>
      <c r="E359" s="11" t="n"/>
      <c r="M359" s="22">
        <f>Z359/(1-R359)</f>
        <v/>
      </c>
      <c r="N359" s="11" t="n">
        <v>140566.8799120011</v>
      </c>
      <c r="O359" s="11" t="n">
        <v>191643</v>
      </c>
      <c r="P359" s="11" t="n"/>
      <c r="Q359" s="22">
        <f>M359+N359+O359+P359</f>
        <v/>
      </c>
      <c r="R359" s="12" t="n">
        <v>0.01</v>
      </c>
      <c r="S359" s="22">
        <f>M359*R359</f>
        <v/>
      </c>
      <c r="T359" s="22">
        <f>N359*R359</f>
        <v/>
      </c>
      <c r="U359" s="22">
        <f>(O359-V359)*R359</f>
        <v/>
      </c>
      <c r="V359" s="11" t="n">
        <v>52112</v>
      </c>
      <c r="W359" s="11" t="n">
        <v>0</v>
      </c>
      <c r="X359" s="22">
        <f>S359+T359+U359+V359+W359</f>
        <v/>
      </c>
      <c r="Y359" s="11" t="n">
        <v>312210.4587</v>
      </c>
      <c r="Z359" s="22">
        <f>AE359-AB359-AA359-AC359</f>
        <v/>
      </c>
      <c r="AA359" s="22">
        <f>N359-T359-W359</f>
        <v/>
      </c>
      <c r="AB359" s="22">
        <f>O359-V359-U359</f>
        <v/>
      </c>
      <c r="AC359" s="22">
        <f>P359</f>
        <v/>
      </c>
      <c r="AD359" s="23">
        <f>Z359+AA359+AB359+AC359</f>
        <v/>
      </c>
      <c r="AE359" s="11" t="n">
        <v>3297836.79</v>
      </c>
      <c r="AF359" s="24">
        <f>AD359-AE359</f>
        <v/>
      </c>
      <c r="AG359" s="13">
        <f>IF(OR(B359="",B359=0,M359=""),"",M359/B359*10000)</f>
        <v/>
      </c>
      <c r="AH359" s="13">
        <f>IF(OR(C359="",C359=0),"",N359/C359*10000)</f>
        <v/>
      </c>
      <c r="AI359" s="13">
        <f>IF(OR(D359="",D359=0),"",O359/D359*10000)</f>
        <v/>
      </c>
      <c r="AJ359" s="11" t="n">
        <v>21755.97247248714</v>
      </c>
      <c r="AK359" s="11" t="n">
        <v>19301.42</v>
      </c>
      <c r="AL359" s="22">
        <f>AE359+AJ359+AK359</f>
        <v/>
      </c>
      <c r="AM359" s="22">
        <f>AE359</f>
        <v/>
      </c>
      <c r="AN359" s="14" t="n">
        <v>86002.89</v>
      </c>
      <c r="AO359" s="15" t="n">
        <v>38.345651</v>
      </c>
      <c r="AP359" s="14" t="n">
        <v>35598549</v>
      </c>
      <c r="AQ359" s="14" t="n">
        <v>25302.0351</v>
      </c>
      <c r="AR359" s="14" t="n">
        <v>746.9853000000001</v>
      </c>
      <c r="AS359" s="14" t="n"/>
      <c r="AT359" s="16" t="n">
        <v>420.1003872280333</v>
      </c>
      <c r="AU359" s="17" t="n">
        <v>0.0217540715</v>
      </c>
      <c r="AV359" s="14" t="n">
        <v>419495930.1175</v>
      </c>
      <c r="AW359" s="18" t="n">
        <v>60100000</v>
      </c>
      <c r="AX359" s="19" t="n">
        <v>35598549</v>
      </c>
      <c r="AY359" s="18" t="n">
        <v>3100000</v>
      </c>
      <c r="AZ359" s="18">
        <f>1000000000-999504260.0349</f>
        <v/>
      </c>
      <c r="BA359" s="20">
        <f>1000000000-AV359-AW359-AX359-AY359-AZ359</f>
        <v/>
      </c>
      <c r="BB359" s="21" t="n">
        <v>243.154254</v>
      </c>
      <c r="BC359" s="21">
        <f>BA359/1000000-BB359</f>
        <v/>
      </c>
      <c r="BD359" s="22">
        <f>BA359*38.76</f>
        <v/>
      </c>
    </row>
    <row r="360">
      <c r="A360" s="10" t="n">
        <v>45982</v>
      </c>
      <c r="B360" s="11" t="n">
        <v>15549099301.33407</v>
      </c>
      <c r="C360" s="11" t="n">
        <v>320977744.761822</v>
      </c>
      <c r="D360" s="11" t="n">
        <v>433843212</v>
      </c>
      <c r="E360" s="11" t="n"/>
      <c r="M360" s="22">
        <f>Z360/(1-R360)</f>
        <v/>
      </c>
      <c r="N360" s="11" t="n">
        <v>127980.5800030001</v>
      </c>
      <c r="O360" s="11" t="n">
        <v>220169</v>
      </c>
      <c r="P360" s="11" t="n"/>
      <c r="Q360" s="22">
        <f>M360+N360+O360+P360</f>
        <v/>
      </c>
      <c r="R360" s="12" t="n">
        <v>0.01</v>
      </c>
      <c r="S360" s="22">
        <f>M360*R360</f>
        <v/>
      </c>
      <c r="T360" s="22">
        <f>N360*R360</f>
        <v/>
      </c>
      <c r="U360" s="22">
        <f>(O360-V360)*R360</f>
        <v/>
      </c>
      <c r="V360" s="11" t="n">
        <v>48421</v>
      </c>
      <c r="W360" s="11" t="n">
        <v>0</v>
      </c>
      <c r="X360" s="22">
        <f>S360+T360+U360+V360+W360</f>
        <v/>
      </c>
      <c r="Y360" s="11" t="n">
        <v>354913.0466</v>
      </c>
      <c r="Z360" s="22">
        <f>AE360-AB360-AA360-AC360</f>
        <v/>
      </c>
      <c r="AA360" s="22">
        <f>N360-T360-W360</f>
        <v/>
      </c>
      <c r="AB360" s="22">
        <f>O360-V360-U360</f>
        <v/>
      </c>
      <c r="AC360" s="22">
        <f>P360</f>
        <v/>
      </c>
      <c r="AD360" s="23">
        <f>Z360+AA360+AB360+AC360</f>
        <v/>
      </c>
      <c r="AE360" s="11" t="n">
        <v>4477366.02</v>
      </c>
      <c r="AF360" s="24">
        <f>AD360-AE360</f>
        <v/>
      </c>
      <c r="AG360" s="13">
        <f>IF(OR(B360="",B360=0,M360=""),"",M360/B360*10000)</f>
        <v/>
      </c>
      <c r="AH360" s="13">
        <f>IF(OR(C360="",C360=0),"",N360/C360*10000)</f>
        <v/>
      </c>
      <c r="AI360" s="13">
        <f>IF(OR(D360="",D360=0),"",O360/D360*10000)</f>
        <v/>
      </c>
      <c r="AJ360" s="11" t="n">
        <v>139853.1428343788</v>
      </c>
      <c r="AK360" s="11" t="n">
        <v>0</v>
      </c>
      <c r="AL360" s="22">
        <f>AE360+AJ360+AK360</f>
        <v/>
      </c>
      <c r="AM360" s="22">
        <f>AE360</f>
        <v/>
      </c>
      <c r="AN360" s="14" t="n">
        <v>131495.54</v>
      </c>
      <c r="AO360" s="15" t="n">
        <v>34.049566</v>
      </c>
      <c r="AP360" s="14" t="n">
        <v>35732484.14</v>
      </c>
      <c r="AQ360" s="14" t="n">
        <v>25458.281</v>
      </c>
      <c r="AR360" s="14" t="n">
        <v>1603.7265</v>
      </c>
      <c r="AS360" s="14" t="n"/>
      <c r="AT360" s="16" t="n">
        <v>420.0590312974541</v>
      </c>
      <c r="AU360" s="17" t="n">
        <v>0.0217551298</v>
      </c>
      <c r="AV360" s="14" t="n">
        <v>419470471.8364</v>
      </c>
      <c r="AW360" s="18" t="n">
        <v>60100000</v>
      </c>
      <c r="AX360" s="19" t="n">
        <v>35732484.14</v>
      </c>
      <c r="AY360" s="18" t="n">
        <v>3100000</v>
      </c>
      <c r="AZ360" s="18">
        <f>1000000000-999502656.3083</f>
        <v/>
      </c>
      <c r="BA360" s="20">
        <f>1000000000-AV360-AW360-AX360-AY360-AZ360</f>
        <v/>
      </c>
      <c r="BB360" s="21" t="n">
        <v>243.154254</v>
      </c>
      <c r="BC360" s="21">
        <f>BA360/1000000-BB360</f>
        <v/>
      </c>
      <c r="BD360" s="22">
        <f>BA360*38.16</f>
        <v/>
      </c>
    </row>
    <row r="361">
      <c r="A361" s="10" t="n">
        <v>45983</v>
      </c>
      <c r="B361" s="11" t="n">
        <v>4560198166.311033</v>
      </c>
      <c r="C361" s="11" t="n">
        <v>56501925.46959406</v>
      </c>
      <c r="D361" s="11" t="n">
        <v>235858539</v>
      </c>
      <c r="E361" s="11" t="n"/>
      <c r="M361" s="22">
        <f>Z361/(1-R361)</f>
        <v/>
      </c>
      <c r="N361" s="11" t="n">
        <v>33202.4849989865</v>
      </c>
      <c r="O361" s="11" t="n">
        <v>118691</v>
      </c>
      <c r="P361" s="11" t="n"/>
      <c r="Q361" s="22">
        <f>M361+N361+O361+P361</f>
        <v/>
      </c>
      <c r="R361" s="12" t="n">
        <v>0.01</v>
      </c>
      <c r="S361" s="22">
        <f>M361*R361</f>
        <v/>
      </c>
      <c r="T361" s="22">
        <f>N361*R361</f>
        <v/>
      </c>
      <c r="U361" s="22">
        <f>(O361-V361)*R361</f>
        <v/>
      </c>
      <c r="V361" s="11" t="n">
        <v>18481</v>
      </c>
      <c r="W361" s="11" t="n">
        <v>0</v>
      </c>
      <c r="X361" s="22">
        <f>S361+T361+U361+V361+W361</f>
        <v/>
      </c>
      <c r="Y361" s="11" t="n">
        <v>133807.9443</v>
      </c>
      <c r="Z361" s="22">
        <f>AE361-AB361-AA361-AC361</f>
        <v/>
      </c>
      <c r="AA361" s="22">
        <f>N361-T361-W361</f>
        <v/>
      </c>
      <c r="AB361" s="22">
        <f>O361-V361-U361</f>
        <v/>
      </c>
      <c r="AC361" s="22">
        <f>P361</f>
        <v/>
      </c>
      <c r="AD361" s="23">
        <f>Z361+AA361+AB361+AC361</f>
        <v/>
      </c>
      <c r="AE361" s="11" t="n">
        <v>1463002.28</v>
      </c>
      <c r="AF361" s="24">
        <f>AD361-AE361</f>
        <v/>
      </c>
      <c r="AG361" s="13">
        <f>IF(OR(B361="",B361=0,M361=""),"",M361/B361*10000)</f>
        <v/>
      </c>
      <c r="AH361" s="13">
        <f>IF(OR(C361="",C361=0),"",N361/C361*10000)</f>
        <v/>
      </c>
      <c r="AI361" s="13">
        <f>IF(OR(D361="",D361=0),"",O361/D361*10000)</f>
        <v/>
      </c>
      <c r="AJ361" s="11" t="n">
        <v>61625.82517037715</v>
      </c>
      <c r="AK361" s="11" t="n">
        <v>0</v>
      </c>
      <c r="AL361" s="22">
        <f>AE361+AJ361+AK361</f>
        <v/>
      </c>
      <c r="AM361" s="22">
        <f>AE361</f>
        <v/>
      </c>
      <c r="AN361" s="14" t="n">
        <v>45248.9</v>
      </c>
      <c r="AO361" s="15" t="n">
        <v>32.332328</v>
      </c>
      <c r="AP361" s="14" t="n">
        <v>35775635.35</v>
      </c>
      <c r="AQ361" s="14" t="n">
        <v>26093.2751</v>
      </c>
      <c r="AR361" s="14" t="n">
        <v>1923.115</v>
      </c>
      <c r="AS361" s="14" t="n"/>
      <c r="AT361" s="16" t="n">
        <v>420.6418449110163</v>
      </c>
      <c r="AU361" s="17" t="n">
        <v>0.0217402298</v>
      </c>
      <c r="AV361" s="14" t="n">
        <v>419444378.5613</v>
      </c>
      <c r="AW361" s="18" t="n">
        <v>60100000</v>
      </c>
      <c r="AX361" s="19" t="n">
        <v>35775635.35</v>
      </c>
      <c r="AY361" s="18" t="n">
        <v>3100000</v>
      </c>
      <c r="AZ361" s="18">
        <f>1000000000-999500733.1934</f>
        <v/>
      </c>
      <c r="BA361" s="20">
        <f>1000000000-AV361-AW361-AX361-AY361-AZ361</f>
        <v/>
      </c>
      <c r="BB361" s="21" t="n">
        <v>243.154254</v>
      </c>
      <c r="BC361" s="21">
        <f>BA361/1000000-BB361</f>
        <v/>
      </c>
      <c r="BD361" s="22">
        <f>BA361*33.53</f>
        <v/>
      </c>
    </row>
    <row r="362">
      <c r="A362" s="10" t="n">
        <v>45984</v>
      </c>
      <c r="B362" s="11" t="n">
        <v>6218050516.127139</v>
      </c>
      <c r="C362" s="11" t="n">
        <v>54397552.03241678</v>
      </c>
      <c r="D362" s="11" t="n">
        <v>207505994</v>
      </c>
      <c r="E362" s="11" t="n"/>
      <c r="M362" s="22">
        <f>Z362/(1-R362)</f>
        <v/>
      </c>
      <c r="N362" s="11" t="n">
        <v>19317.48070599861</v>
      </c>
      <c r="O362" s="11" t="n">
        <v>116277</v>
      </c>
      <c r="P362" s="11" t="n"/>
      <c r="Q362" s="22">
        <f>M362+N362+O362+P362</f>
        <v/>
      </c>
      <c r="R362" s="12" t="n">
        <v>0.01</v>
      </c>
      <c r="S362" s="22">
        <f>M362*R362</f>
        <v/>
      </c>
      <c r="T362" s="22">
        <f>N362*R362</f>
        <v/>
      </c>
      <c r="U362" s="22">
        <f>(O362-V362)*R362</f>
        <v/>
      </c>
      <c r="V362" s="11" t="n">
        <v>24661</v>
      </c>
      <c r="W362" s="11" t="n">
        <v>0</v>
      </c>
      <c r="X362" s="22">
        <f>S362+T362+U362+V362+W362</f>
        <v/>
      </c>
      <c r="Y362" s="11" t="n">
        <v>155957.6496</v>
      </c>
      <c r="Z362" s="22">
        <f>AE362-AB362-AA362-AC362</f>
        <v/>
      </c>
      <c r="AA362" s="22">
        <f>N362-T362-W362</f>
        <v/>
      </c>
      <c r="AB362" s="22">
        <f>O362-V362-U362</f>
        <v/>
      </c>
      <c r="AC362" s="22">
        <f>P362</f>
        <v/>
      </c>
      <c r="AD362" s="23">
        <f>Z362+AA362+AB362+AC362</f>
        <v/>
      </c>
      <c r="AE362" s="11" t="n">
        <v>1788087.04</v>
      </c>
      <c r="AF362" s="24">
        <f>AD362-AE362</f>
        <v/>
      </c>
      <c r="AG362" s="13">
        <f>IF(OR(B362="",B362=0,M362=""),"",M362/B362*10000)</f>
        <v/>
      </c>
      <c r="AH362" s="13">
        <f>IF(OR(C362="",C362=0),"",N362/C362*10000)</f>
        <v/>
      </c>
      <c r="AI362" s="13">
        <f>IF(OR(D362="",D362=0),"",O362/D362*10000)</f>
        <v/>
      </c>
      <c r="AJ362" s="11" t="n">
        <v>32712.50387890688</v>
      </c>
      <c r="AK362" s="11" t="n">
        <v>0</v>
      </c>
      <c r="AL362" s="22">
        <f>AE362+AJ362+AK362</f>
        <v/>
      </c>
      <c r="AM362" s="22">
        <f>AE362</f>
        <v/>
      </c>
      <c r="AN362" s="14" t="n">
        <v>57272.67</v>
      </c>
      <c r="AO362" s="15" t="n">
        <v>31.220599</v>
      </c>
      <c r="AP362" s="14" t="n">
        <v>35834603.26</v>
      </c>
      <c r="AQ362" s="14" t="n">
        <v>25985.4196</v>
      </c>
      <c r="AR362" s="14" t="n">
        <v>996.9057</v>
      </c>
      <c r="AS362" s="14" t="n"/>
      <c r="AT362" s="16" t="n">
        <v>414.9092066622703</v>
      </c>
      <c r="AU362" s="17" t="n">
        <v>0.0218881396</v>
      </c>
      <c r="AV362" s="14" t="n">
        <v>419418393.1417</v>
      </c>
      <c r="AW362" s="18" t="n">
        <v>60100000</v>
      </c>
      <c r="AX362" s="19" t="n">
        <v>35834603.26</v>
      </c>
      <c r="AY362" s="18" t="n">
        <v>3100000</v>
      </c>
      <c r="AZ362" s="18">
        <f>1000000000-999499736.2876</f>
        <v/>
      </c>
      <c r="BA362" s="20">
        <f>1000000000-AV362-AW362-AX362-AY362-AZ362</f>
        <v/>
      </c>
      <c r="BB362" s="21" t="n">
        <v>243.154254</v>
      </c>
      <c r="BC362" s="21">
        <f>BA362/1000000-BB362</f>
        <v/>
      </c>
      <c r="BD362" s="22">
        <f>BA362*29.81</f>
        <v/>
      </c>
    </row>
    <row r="363">
      <c r="A363" s="10" t="n">
        <v>45985</v>
      </c>
      <c r="B363" s="11" t="n">
        <v>9386347676.866636</v>
      </c>
      <c r="C363" s="11" t="n">
        <v>446733399.0956792</v>
      </c>
      <c r="D363" s="11" t="n">
        <v>279378464</v>
      </c>
      <c r="E363" s="11" t="n"/>
      <c r="M363" s="22">
        <f>Z363/(1-R363)</f>
        <v/>
      </c>
      <c r="N363" s="11" t="n">
        <v>31677.69918599966</v>
      </c>
      <c r="O363" s="11" t="n">
        <v>128678</v>
      </c>
      <c r="P363" s="11" t="n"/>
      <c r="Q363" s="22">
        <f>M363+N363+O363+P363</f>
        <v/>
      </c>
      <c r="R363" s="12" t="n">
        <v>0.01</v>
      </c>
      <c r="S363" s="22">
        <f>M363*R363</f>
        <v/>
      </c>
      <c r="T363" s="22">
        <f>N363*R363</f>
        <v/>
      </c>
      <c r="U363" s="22">
        <f>(O363-V363)*R363</f>
        <v/>
      </c>
      <c r="V363" s="11" t="n">
        <v>25659</v>
      </c>
      <c r="W363" s="11" t="n">
        <v>0</v>
      </c>
      <c r="X363" s="22">
        <f>S363+T363+U363+V363+W363</f>
        <v/>
      </c>
      <c r="Y363" s="11" t="n">
        <v>201400.4417</v>
      </c>
      <c r="Z363" s="22">
        <f>AE363-AB363-AA363-AC363</f>
        <v/>
      </c>
      <c r="AA363" s="22">
        <f>N363-T363-W363</f>
        <v/>
      </c>
      <c r="AB363" s="22">
        <f>O363-V363-U363</f>
        <v/>
      </c>
      <c r="AC363" s="22">
        <f>P363</f>
        <v/>
      </c>
      <c r="AD363" s="23">
        <f>Z363+AA363+AB363+AC363</f>
        <v/>
      </c>
      <c r="AE363" s="11" t="n">
        <v>2548486.51</v>
      </c>
      <c r="AF363" s="24">
        <f>AD363-AE363</f>
        <v/>
      </c>
      <c r="AG363" s="13">
        <f>IF(OR(B363="",B363=0,M363=""),"",M363/B363*10000)</f>
        <v/>
      </c>
      <c r="AH363" s="13">
        <f>IF(OR(C363="",C363=0),"",N363/C363*10000)</f>
        <v/>
      </c>
      <c r="AI363" s="13">
        <f>IF(OR(D363="",D363=0),"",O363/D363*10000)</f>
        <v/>
      </c>
      <c r="AJ363" s="11" t="n">
        <v>29059.74762739233</v>
      </c>
      <c r="AK363" s="11" t="n">
        <v>0</v>
      </c>
      <c r="AL363" s="22">
        <f>AE363+AJ363+AK363</f>
        <v/>
      </c>
      <c r="AM363" s="22">
        <f>AE363</f>
        <v/>
      </c>
      <c r="AN363" s="14" t="n">
        <v>79513.28</v>
      </c>
      <c r="AO363" s="15" t="n">
        <v>32.05108</v>
      </c>
      <c r="AP363" s="14" t="n">
        <v>35912351.16</v>
      </c>
      <c r="AQ363" s="14" t="n">
        <v>25930.868</v>
      </c>
      <c r="AR363" s="14" t="n">
        <v>781.6647</v>
      </c>
      <c r="AS363" s="14" t="n"/>
      <c r="AT363" s="16" t="n">
        <v>414.0071139445824</v>
      </c>
      <c r="AU363" s="17" t="n">
        <v>0.0219116919</v>
      </c>
      <c r="AV363" s="14" t="n">
        <v>419392462.2737</v>
      </c>
      <c r="AW363" s="18" t="n">
        <v>60100000</v>
      </c>
      <c r="AX363" s="19" t="n">
        <v>35912351.16</v>
      </c>
      <c r="AY363" s="18" t="n">
        <v>3100000</v>
      </c>
      <c r="AZ363" s="18">
        <f>1000000000-999498954.623</f>
        <v/>
      </c>
      <c r="BA363" s="20">
        <f>1000000000-AV363-AW363-AX363-AY363-AZ363</f>
        <v/>
      </c>
      <c r="BB363" s="21" t="n">
        <v>243.154254</v>
      </c>
      <c r="BC363" s="21">
        <f>BA363/1000000-BB363</f>
        <v/>
      </c>
      <c r="BD363" s="22">
        <f>BA363*31.85</f>
        <v/>
      </c>
    </row>
    <row r="364">
      <c r="A364" s="10" t="n">
        <v>45986</v>
      </c>
      <c r="B364" s="11" t="n">
        <v>7521459433.160912</v>
      </c>
      <c r="C364" s="11" t="n">
        <v>525535455.495028</v>
      </c>
      <c r="D364" s="11" t="n">
        <v>253234221</v>
      </c>
      <c r="E364" s="11" t="n"/>
      <c r="M364" s="22">
        <f>Z364/(1-R364)</f>
        <v/>
      </c>
      <c r="N364" s="11" t="n">
        <v>36924.37441099706</v>
      </c>
      <c r="O364" s="11" t="n">
        <v>125607</v>
      </c>
      <c r="P364" s="11" t="n"/>
      <c r="Q364" s="22">
        <f>M364+N364+O364+P364</f>
        <v/>
      </c>
      <c r="R364" s="12" t="n">
        <v>0.01</v>
      </c>
      <c r="S364" s="22">
        <f>M364*R364</f>
        <v/>
      </c>
      <c r="T364" s="22">
        <f>N364*R364</f>
        <v/>
      </c>
      <c r="U364" s="22">
        <f>(O364-V364)*R364</f>
        <v/>
      </c>
      <c r="V364" s="11" t="n">
        <v>25432</v>
      </c>
      <c r="W364" s="11" t="n">
        <v>0</v>
      </c>
      <c r="X364" s="22">
        <f>S364+T364+U364+V364+W364</f>
        <v/>
      </c>
      <c r="Y364" s="11" t="n">
        <v>174724.0167</v>
      </c>
      <c r="Z364" s="22">
        <f>AE364-AB364-AA364-AC364</f>
        <v/>
      </c>
      <c r="AA364" s="22">
        <f>N364-T364-W364</f>
        <v/>
      </c>
      <c r="AB364" s="22">
        <f>O364-V364-U364</f>
        <v/>
      </c>
      <c r="AC364" s="22">
        <f>P364</f>
        <v/>
      </c>
      <c r="AD364" s="23">
        <f>Z364+AA364+AB364+AC364</f>
        <v/>
      </c>
      <c r="AE364" s="11" t="n">
        <v>1965765.79</v>
      </c>
      <c r="AF364" s="24">
        <f>AD364-AE364</f>
        <v/>
      </c>
      <c r="AG364" s="13">
        <f>IF(OR(B364="",B364=0,M364=""),"",M364/B364*10000)</f>
        <v/>
      </c>
      <c r="AH364" s="13">
        <f>IF(OR(C364="",C364=0),"",N364/C364*10000)</f>
        <v/>
      </c>
      <c r="AI364" s="13">
        <f>IF(OR(D364="",D364=0),"",O364/D364*10000)</f>
        <v/>
      </c>
      <c r="AJ364" s="11" t="n">
        <v>40906.31853622154</v>
      </c>
      <c r="AK364" s="11" t="n">
        <v>0</v>
      </c>
      <c r="AL364" s="22">
        <f>AE364+AJ364+AK364</f>
        <v/>
      </c>
      <c r="AM364" s="22">
        <f>AE364</f>
        <v/>
      </c>
      <c r="AN364" s="14" t="n">
        <v>60402.47</v>
      </c>
      <c r="AO364" s="15" t="n">
        <v>32.54446</v>
      </c>
      <c r="AP364" s="14" t="n">
        <v>35971494.16</v>
      </c>
      <c r="AQ364" s="14" t="n">
        <v>25908.1004</v>
      </c>
      <c r="AR364" s="14" t="n">
        <v>1412.2144</v>
      </c>
      <c r="AS364" s="14" t="n"/>
      <c r="AT364" s="16" t="n">
        <v>414.5299331685525</v>
      </c>
      <c r="AU364" s="17" t="n">
        <v>0.0218980325</v>
      </c>
      <c r="AV364" s="14" t="n">
        <v>419366554.1733</v>
      </c>
      <c r="AW364" s="18" t="n">
        <v>60100000</v>
      </c>
      <c r="AX364" s="19" t="n">
        <v>35971494.16</v>
      </c>
      <c r="AY364" s="18" t="n">
        <v>3100000</v>
      </c>
      <c r="AZ364" s="18">
        <f>1000000000-999497542.4085</f>
        <v/>
      </c>
      <c r="BA364" s="20">
        <f>1000000000-AV364-AW364-AX364-AY364-AZ364</f>
        <v/>
      </c>
      <c r="BB364" s="21" t="n">
        <v>243.154254</v>
      </c>
      <c r="BC364" s="21">
        <f>BA364/1000000-BB364</f>
        <v/>
      </c>
      <c r="BD364" s="22">
        <f>BA364*33.15</f>
        <v/>
      </c>
    </row>
    <row r="365">
      <c r="A365" s="10" t="n">
        <v>45987</v>
      </c>
      <c r="B365" s="11" t="n">
        <v>6817439620.032985</v>
      </c>
      <c r="C365" s="11" t="n">
        <v>398953789.8342741</v>
      </c>
      <c r="D365" s="11" t="n">
        <v>238109466</v>
      </c>
      <c r="E365" s="11" t="n"/>
      <c r="M365" s="22">
        <f>Z365/(1-R365)</f>
        <v/>
      </c>
      <c r="N365" s="11" t="n">
        <v>31208.65201100025</v>
      </c>
      <c r="O365" s="11" t="n">
        <v>129077</v>
      </c>
      <c r="P365" s="11" t="n"/>
      <c r="Q365" s="22">
        <f>M365+N365+O365+P365</f>
        <v/>
      </c>
      <c r="R365" s="12" t="n">
        <v>0.01</v>
      </c>
      <c r="S365" s="22">
        <f>M365*R365</f>
        <v/>
      </c>
      <c r="T365" s="22">
        <f>N365*R365</f>
        <v/>
      </c>
      <c r="U365" s="22">
        <f>(O365-V365)*R365</f>
        <v/>
      </c>
      <c r="V365" s="11" t="n">
        <v>29206</v>
      </c>
      <c r="W365" s="11" t="n">
        <v>0</v>
      </c>
      <c r="X365" s="22">
        <f>S365+T365+U365+V365+W365</f>
        <v/>
      </c>
      <c r="Y365" s="11" t="n">
        <v>181989.3844</v>
      </c>
      <c r="Z365" s="22">
        <f>AE365-AB365-AA365-AC365</f>
        <v/>
      </c>
      <c r="AA365" s="22">
        <f>N365-T365-W365</f>
        <v/>
      </c>
      <c r="AB365" s="22">
        <f>O365-V365-U365</f>
        <v/>
      </c>
      <c r="AC365" s="22">
        <f>P365</f>
        <v/>
      </c>
      <c r="AD365" s="23">
        <f>Z365+AA365+AB365+AC365</f>
        <v/>
      </c>
      <c r="AE365" s="11" t="n">
        <v>2161625.93</v>
      </c>
      <c r="AF365" s="24">
        <f>AD365-AE365</f>
        <v/>
      </c>
      <c r="AG365" s="13">
        <f>IF(OR(B365="",B365=0,M365=""),"",M365/B365*10000)</f>
        <v/>
      </c>
      <c r="AH365" s="13">
        <f>IF(OR(C365="",C365=0),"",N365/C365*10000)</f>
        <v/>
      </c>
      <c r="AI365" s="13">
        <f>IF(OR(D365="",D365=0),"",O365/D365*10000)</f>
        <v/>
      </c>
      <c r="AJ365" s="11" t="n">
        <v>23744.54884645989</v>
      </c>
      <c r="AK365" s="11" t="n">
        <v>0</v>
      </c>
      <c r="AL365" s="22">
        <f>AE365+AJ365+AK365</f>
        <v/>
      </c>
      <c r="AM365" s="22">
        <f>AE365</f>
        <v/>
      </c>
      <c r="AN365" s="14" t="n">
        <v>62475.15</v>
      </c>
      <c r="AO365" s="15" t="n">
        <v>34.599772</v>
      </c>
      <c r="AP365" s="14" t="n">
        <v>36035251.03</v>
      </c>
      <c r="AQ365" s="14" t="n">
        <v>25927.2734</v>
      </c>
      <c r="AR365" s="14" t="n">
        <v>1074.1511</v>
      </c>
      <c r="AS365" s="14" t="n"/>
      <c r="AT365" s="16" t="n">
        <v>414.6593505939679</v>
      </c>
      <c r="AU365" s="17" t="n">
        <v>0.0218946553</v>
      </c>
      <c r="AV365" s="14" t="n">
        <v>419340626.8999</v>
      </c>
      <c r="AW365" s="18" t="n">
        <v>60100000</v>
      </c>
      <c r="AX365" s="19" t="n">
        <v>36035251.03</v>
      </c>
      <c r="AY365" s="18" t="n">
        <v>3100000</v>
      </c>
      <c r="AZ365" s="18">
        <f>1000000000-999496468.2574</f>
        <v/>
      </c>
      <c r="BA365" s="20">
        <f>1000000000-AV365-AW365-AX365-AY365-AZ365</f>
        <v/>
      </c>
      <c r="BB365" s="21" t="n">
        <v>243.154254</v>
      </c>
      <c r="BC365" s="21">
        <f>BA365/1000000-BB365</f>
        <v/>
      </c>
      <c r="BD365" s="22">
        <f>BA365*33.94</f>
        <v/>
      </c>
    </row>
    <row r="366">
      <c r="A366" s="10" t="n">
        <v>45988</v>
      </c>
      <c r="B366" s="11" t="n">
        <v>4537222247.818578</v>
      </c>
      <c r="C366" s="11" t="n">
        <v>188922824.7789231</v>
      </c>
      <c r="D366" s="11" t="n">
        <v>247442973</v>
      </c>
      <c r="E366" s="11" t="n"/>
      <c r="F366" s="24" t="n">
        <v>0</v>
      </c>
      <c r="G366" s="24" t="n">
        <v>0</v>
      </c>
      <c r="H366" s="24" t="n">
        <v>0</v>
      </c>
      <c r="I366" s="24" t="n">
        <v>139577306.3096377</v>
      </c>
      <c r="J366" s="24" t="n">
        <v>2660949.112686798</v>
      </c>
      <c r="K366" s="24" t="n">
        <v>46684569.35659865</v>
      </c>
      <c r="L366" s="22">
        <f>SUM(F366:K366)</f>
        <v/>
      </c>
      <c r="M366" s="22">
        <f>Z366/(1-R366)</f>
        <v/>
      </c>
      <c r="N366" s="11" t="n">
        <v>24745.203507002</v>
      </c>
      <c r="O366" s="11" t="n">
        <v>125247</v>
      </c>
      <c r="P366" s="11" t="n"/>
      <c r="Q366" s="22">
        <f>M366+N366+O366+P366</f>
        <v/>
      </c>
      <c r="R366" s="12" t="n">
        <v>0.01</v>
      </c>
      <c r="S366" s="22">
        <f>M366*R366</f>
        <v/>
      </c>
      <c r="T366" s="22">
        <f>N366*R366</f>
        <v/>
      </c>
      <c r="U366" s="22">
        <f>(O366-V366)*R366</f>
        <v/>
      </c>
      <c r="V366" s="11" t="n">
        <v>22090</v>
      </c>
      <c r="W366" s="11" t="n">
        <v>0</v>
      </c>
      <c r="X366" s="22">
        <f>S366+T366+U366+V366+W366</f>
        <v/>
      </c>
      <c r="Y366" s="11" t="n">
        <v>162877.0724</v>
      </c>
      <c r="Z366" s="22">
        <f>AE366-AB366-AA366-AC366</f>
        <v/>
      </c>
      <c r="AA366" s="22">
        <f>N366-T366-W366</f>
        <v/>
      </c>
      <c r="AB366" s="22">
        <f>O366-V366-U366</f>
        <v/>
      </c>
      <c r="AC366" s="22">
        <f>P366</f>
        <v/>
      </c>
      <c r="AD366" s="23">
        <f>Z366+AA366+AB366+AC366</f>
        <v/>
      </c>
      <c r="AE366" s="11" t="n">
        <v>1351706.04</v>
      </c>
      <c r="AF366" s="24">
        <f>AD366-AE366</f>
        <v/>
      </c>
      <c r="AG366" s="13">
        <f>IF(OR(B366="",B366=0,M366=""),"",M366/B366*10000)</f>
        <v/>
      </c>
      <c r="AH366" s="13">
        <f>IF(OR(C366="",C366=0),"",N366/C366*10000)</f>
        <v/>
      </c>
      <c r="AI366" s="13">
        <f>IF(OR(D366="",D366=0),"",O366/D366*10000)</f>
        <v/>
      </c>
      <c r="AJ366" s="11" t="n">
        <v>15709.05536838143</v>
      </c>
      <c r="AK366" s="11" t="n">
        <v>0</v>
      </c>
      <c r="AL366" s="22">
        <f>AE366+AJ366+AK366</f>
        <v/>
      </c>
      <c r="AM366" s="22">
        <f>AE366</f>
        <v/>
      </c>
      <c r="AN366" s="14" t="n">
        <v>38174.87</v>
      </c>
      <c r="AO366" s="15" t="n">
        <v>35.408268</v>
      </c>
      <c r="AP366" s="14" t="n">
        <v>36078643.78</v>
      </c>
      <c r="AQ366" s="14" t="n">
        <v>25939.7711</v>
      </c>
      <c r="AR366" s="14" t="n">
        <v>1501.4621</v>
      </c>
      <c r="AS366" s="14" t="n"/>
      <c r="AT366" s="16" t="n">
        <v>415.7185117560388</v>
      </c>
      <c r="AU366" s="17" t="n">
        <v>0.0218670745</v>
      </c>
      <c r="AV366" s="14" t="n">
        <v>419314687.1288</v>
      </c>
      <c r="AW366" s="18" t="n">
        <v>60100000</v>
      </c>
      <c r="AX366" s="19" t="n">
        <v>36078643.78</v>
      </c>
      <c r="AY366" s="18" t="n">
        <v>3100000</v>
      </c>
      <c r="AZ366" s="18">
        <f>1000000000-999494966.7953</f>
        <v/>
      </c>
      <c r="BA366" s="20">
        <f>1000000000-AV366-AW366-AX366-AY366-AZ366</f>
        <v/>
      </c>
      <c r="BB366" s="21" t="n">
        <v>243.154254</v>
      </c>
      <c r="BC366" s="21">
        <f>BA366/1000000-BB366</f>
        <v/>
      </c>
      <c r="BD366" s="22">
        <f>BA366*35.86</f>
        <v/>
      </c>
    </row>
    <row r="367">
      <c r="A367" s="10" t="n">
        <v>45989</v>
      </c>
      <c r="B367" s="11" t="n">
        <v>5255066421.880589</v>
      </c>
      <c r="C367" s="11" t="n">
        <v>258786550.6356761</v>
      </c>
      <c r="D367" s="11" t="n">
        <v>239864451</v>
      </c>
      <c r="E367" s="11" t="n"/>
      <c r="F367" s="24" t="n">
        <v>0</v>
      </c>
      <c r="G367" s="24" t="n">
        <v>0</v>
      </c>
      <c r="H367" s="24" t="n">
        <v>0</v>
      </c>
      <c r="I367" s="24" t="n">
        <v>157816332.3524465</v>
      </c>
      <c r="J367" s="24" t="n">
        <v>1444253.227845801</v>
      </c>
      <c r="K367" s="24" t="n">
        <v>99525965.0553838</v>
      </c>
      <c r="L367" s="22">
        <f>SUM(F367:K367)</f>
        <v/>
      </c>
      <c r="M367" s="22">
        <f>Z367/(1-R367)</f>
        <v/>
      </c>
      <c r="N367" s="11" t="n">
        <v>29576.23576100059</v>
      </c>
      <c r="O367" s="11" t="n">
        <v>135613</v>
      </c>
      <c r="P367" s="11" t="n"/>
      <c r="Q367" s="22">
        <f>M367+N367+O367+P367</f>
        <v/>
      </c>
      <c r="R367" s="12" t="n">
        <v>0.01</v>
      </c>
      <c r="S367" s="22">
        <f>M367*R367</f>
        <v/>
      </c>
      <c r="T367" s="22">
        <f>N367*R367</f>
        <v/>
      </c>
      <c r="U367" s="22">
        <f>(O367-V367)*R367</f>
        <v/>
      </c>
      <c r="V367" s="11" t="n">
        <v>28014</v>
      </c>
      <c r="W367" s="11" t="n">
        <v>0</v>
      </c>
      <c r="X367" s="22">
        <f>S367+T367+U367+V367+W367</f>
        <v/>
      </c>
      <c r="Y367" s="11" t="n">
        <v>205315.7418</v>
      </c>
      <c r="Z367" s="22">
        <f>AE367-AB367-AA367-AC367</f>
        <v/>
      </c>
      <c r="AA367" s="22">
        <f>N367-T367-W367</f>
        <v/>
      </c>
      <c r="AB367" s="22">
        <f>O367-V367-U367</f>
        <v/>
      </c>
      <c r="AC367" s="22">
        <f>P367</f>
        <v/>
      </c>
      <c r="AD367" s="23">
        <f>Z367+AA367+AB367+AC367</f>
        <v/>
      </c>
      <c r="AE367" s="11" t="n">
        <v>1510697.17</v>
      </c>
      <c r="AF367" s="24">
        <f>AD367-AE367</f>
        <v/>
      </c>
      <c r="AG367" s="13">
        <f>IF(OR(B367="",B367=0,M367=""),"",M367/B367*10000)</f>
        <v/>
      </c>
      <c r="AH367" s="13">
        <f>IF(OR(C367="",C367=0),"",N367/C367*10000)</f>
        <v/>
      </c>
      <c r="AI367" s="13">
        <f>IF(OR(D367="",D367=0),"",O367/D367*10000)</f>
        <v/>
      </c>
      <c r="AJ367" s="11" t="n">
        <v>26450.57931753064</v>
      </c>
      <c r="AK367" s="11" t="n">
        <v>0</v>
      </c>
      <c r="AL367" s="22">
        <f>AE367+AJ367+AK367</f>
        <v/>
      </c>
      <c r="AM367" s="22">
        <f>AE367</f>
        <v/>
      </c>
      <c r="AN367" s="14" t="n">
        <v>42843.73</v>
      </c>
      <c r="AO367" s="15" t="n">
        <v>35.260636</v>
      </c>
      <c r="AP367" s="14" t="n">
        <v>36115330.7</v>
      </c>
      <c r="AQ367" s="14" t="n">
        <v>31338.8428</v>
      </c>
      <c r="AR367" s="14" t="n">
        <v>1305.9098</v>
      </c>
      <c r="AS367" s="14" t="n"/>
      <c r="AT367" s="16" t="n">
        <v>416.0542391155838</v>
      </c>
      <c r="AU367" s="17" t="n">
        <v>0.021858354</v>
      </c>
      <c r="AV367" s="14" t="n">
        <v>419283348.286</v>
      </c>
      <c r="AW367" s="18" t="n">
        <v>60100000</v>
      </c>
      <c r="AX367" s="19" t="n">
        <v>36115330.7</v>
      </c>
      <c r="AY367" s="18" t="n">
        <v>3100000</v>
      </c>
      <c r="AZ367" s="18">
        <f>1000000000-999493660.8855</f>
        <v/>
      </c>
      <c r="BA367" s="20">
        <f>1000000000-AV367-AW367-AX367-AY367-AZ367</f>
        <v/>
      </c>
      <c r="BB367" s="21" t="n">
        <v>243.154254</v>
      </c>
      <c r="BC367" s="21">
        <f>BA367/1000000-BB367</f>
        <v/>
      </c>
      <c r="BD367" s="22">
        <f>BA367*35.15</f>
        <v/>
      </c>
    </row>
    <row r="368">
      <c r="A368" s="10" t="n">
        <v>45990</v>
      </c>
      <c r="B368" s="11" t="n">
        <v>2751887587.224637</v>
      </c>
      <c r="C368" s="11" t="n">
        <v>138182239.0135195</v>
      </c>
      <c r="D368" s="11" t="n">
        <v>169134928</v>
      </c>
      <c r="E368" s="11" t="n"/>
      <c r="F368" s="24" t="n">
        <v>0</v>
      </c>
      <c r="G368" s="24" t="n">
        <v>0</v>
      </c>
      <c r="H368" s="24" t="n">
        <v>0</v>
      </c>
      <c r="I368" s="24" t="n">
        <v>116333696.130429</v>
      </c>
      <c r="J368" s="24" t="n">
        <v>1834014.051412552</v>
      </c>
      <c r="K368" s="24" t="n">
        <v>20014528.83167795</v>
      </c>
      <c r="L368" s="22">
        <f>SUM(F368:K368)</f>
        <v/>
      </c>
      <c r="M368" s="22">
        <f>Z368/(1-R368)</f>
        <v/>
      </c>
      <c r="N368" s="11" t="n">
        <v>16358.66971700405</v>
      </c>
      <c r="O368" s="11" t="n">
        <v>101164</v>
      </c>
      <c r="P368" s="11" t="n"/>
      <c r="Q368" s="22">
        <f>M368+N368+O368+P368</f>
        <v/>
      </c>
      <c r="R368" s="12" t="n">
        <v>0.01</v>
      </c>
      <c r="S368" s="22">
        <f>M368*R368</f>
        <v/>
      </c>
      <c r="T368" s="22">
        <f>N368*R368</f>
        <v/>
      </c>
      <c r="U368" s="22">
        <f>(O368-V368)*R368</f>
        <v/>
      </c>
      <c r="V368" s="11" t="n">
        <v>22879</v>
      </c>
      <c r="W368" s="11" t="n">
        <v>0</v>
      </c>
      <c r="X368" s="22">
        <f>S368+T368+U368+V368+W368</f>
        <v/>
      </c>
      <c r="Y368" s="11" t="n">
        <v>99604.13279999999</v>
      </c>
      <c r="Z368" s="22">
        <f>AE368-AB368-AA368-AC368</f>
        <v/>
      </c>
      <c r="AA368" s="22">
        <f>N368-T368-W368</f>
        <v/>
      </c>
      <c r="AB368" s="22">
        <f>O368-V368-U368</f>
        <v/>
      </c>
      <c r="AC368" s="22">
        <f>P368</f>
        <v/>
      </c>
      <c r="AD368" s="23">
        <f>Z368+AA368+AB368+AC368</f>
        <v/>
      </c>
      <c r="AE368" s="11" t="n">
        <v>804884.51</v>
      </c>
      <c r="AF368" s="24">
        <f>AD368-AE368</f>
        <v/>
      </c>
      <c r="AG368" s="13">
        <f>IF(OR(B368="",B368=0,M368=""),"",M368/B368*10000)</f>
        <v/>
      </c>
      <c r="AH368" s="13">
        <f>IF(OR(C368="",C368=0),"",N368/C368*10000)</f>
        <v/>
      </c>
      <c r="AI368" s="13">
        <f>IF(OR(D368="",D368=0),"",O368/D368*10000)</f>
        <v/>
      </c>
      <c r="AJ368" s="11" t="n">
        <v>29658.64427759313</v>
      </c>
      <c r="AK368" s="11" t="n">
        <v>0</v>
      </c>
      <c r="AL368" s="22">
        <f>AE368+AJ368+AK368</f>
        <v/>
      </c>
      <c r="AM368" s="22">
        <f>AE368</f>
        <v/>
      </c>
      <c r="AN368" s="14" t="n">
        <v>23024.51</v>
      </c>
      <c r="AO368" s="15" t="n">
        <v>34.957726</v>
      </c>
      <c r="AP368" s="14" t="n">
        <v>36138304.14</v>
      </c>
      <c r="AQ368" s="14" t="n">
        <v>20590.3069</v>
      </c>
      <c r="AR368" s="14" t="n">
        <v>1064.5581</v>
      </c>
      <c r="AS368" s="14" t="n"/>
      <c r="AT368" s="16" t="n">
        <v>415.8627285408037</v>
      </c>
      <c r="AU368" s="17" t="n">
        <v>0.0218633272</v>
      </c>
      <c r="AV368" s="14" t="n">
        <v>419262757.9791</v>
      </c>
      <c r="AW368" s="18" t="n">
        <v>60100000</v>
      </c>
      <c r="AX368" s="19" t="n">
        <v>36138304.14</v>
      </c>
      <c r="AY368" s="18" t="n">
        <v>3100000</v>
      </c>
      <c r="AZ368" s="18">
        <f>1000000000-999492596.3274</f>
        <v/>
      </c>
      <c r="BA368" s="20">
        <f>1000000000-AV368-AW368-AX368-AY368-AZ368</f>
        <v/>
      </c>
      <c r="BB368" s="21" t="n">
        <v>243.154254</v>
      </c>
      <c r="BC368" s="21">
        <f>BA368/1000000-BB368</f>
        <v/>
      </c>
      <c r="BD368" s="22">
        <f>BA368*35.1</f>
        <v/>
      </c>
    </row>
    <row r="369">
      <c r="A369" s="10" t="n">
        <v>45991</v>
      </c>
      <c r="B369" s="11" t="n">
        <v>2616380994.953302</v>
      </c>
      <c r="C369" s="11" t="n">
        <v>103667470.8811067</v>
      </c>
      <c r="D369" s="11" t="n">
        <v>139751242</v>
      </c>
      <c r="E369" s="11" t="n"/>
      <c r="F369" s="24" t="n">
        <v>0</v>
      </c>
      <c r="G369" s="24" t="n">
        <v>0</v>
      </c>
      <c r="H369" s="24" t="n">
        <v>0</v>
      </c>
      <c r="I369" s="24" t="n">
        <v>79164318.91954572</v>
      </c>
      <c r="J369" s="24" t="n">
        <v>2194864.561325626</v>
      </c>
      <c r="K369" s="24" t="n">
        <v>22308287.4002354</v>
      </c>
      <c r="L369" s="22">
        <f>SUM(F369:K369)</f>
        <v/>
      </c>
      <c r="M369" s="22">
        <f>Z369/(1-R369)</f>
        <v/>
      </c>
      <c r="N369" s="11" t="n">
        <v>11867.21042400005</v>
      </c>
      <c r="O369" s="11" t="n">
        <v>82329</v>
      </c>
      <c r="P369" s="11" t="n"/>
      <c r="Q369" s="22">
        <f>M369+N369+O369+P369</f>
        <v/>
      </c>
      <c r="R369" s="12" t="n">
        <v>0.01</v>
      </c>
      <c r="S369" s="22">
        <f>M369*R369</f>
        <v/>
      </c>
      <c r="T369" s="22">
        <f>N369*R369</f>
        <v/>
      </c>
      <c r="U369" s="22">
        <f>(O369-V369)*R369</f>
        <v/>
      </c>
      <c r="V369" s="11" t="n">
        <v>15258</v>
      </c>
      <c r="W369" s="11" t="n">
        <v>0</v>
      </c>
      <c r="X369" s="22">
        <f>S369+T369+U369+V369+W369</f>
        <v/>
      </c>
      <c r="Y369" s="11" t="n">
        <v>111756.9206</v>
      </c>
      <c r="Z369" s="22">
        <f>AE369-AB369-AA369-AC369</f>
        <v/>
      </c>
      <c r="AA369" s="22">
        <f>N369-T369-W369</f>
        <v/>
      </c>
      <c r="AB369" s="22">
        <f>O369-V369-U369</f>
        <v/>
      </c>
      <c r="AC369" s="22">
        <f>P369</f>
        <v/>
      </c>
      <c r="AD369" s="23">
        <f>Z369+AA369+AB369+AC369</f>
        <v/>
      </c>
      <c r="AE369" s="11" t="n">
        <v>791553.71</v>
      </c>
      <c r="AF369" s="24">
        <f>AD369-AE369</f>
        <v/>
      </c>
      <c r="AG369" s="13">
        <f>IF(OR(B369="",B369=0,M369=""),"",M369/B369*10000)</f>
        <v/>
      </c>
      <c r="AH369" s="13">
        <f>IF(OR(C369="",C369=0),"",N369/C369*10000)</f>
        <v/>
      </c>
      <c r="AI369" s="13">
        <f>IF(OR(D369="",D369=0),"",O369/D369*10000)</f>
        <v/>
      </c>
      <c r="AJ369" s="11" t="n">
        <v>11668.06729438829</v>
      </c>
      <c r="AK369" s="11" t="n">
        <v>0</v>
      </c>
      <c r="AL369" s="22">
        <f>AE369+AJ369+AK369</f>
        <v/>
      </c>
      <c r="AM369" s="22">
        <f>AE369</f>
        <v/>
      </c>
      <c r="AN369" s="14" t="n">
        <v>23691.4</v>
      </c>
      <c r="AO369" s="15" t="n">
        <v>33.411015</v>
      </c>
      <c r="AP369" s="14" t="n">
        <v>36170343.66</v>
      </c>
      <c r="AQ369" s="14" t="n">
        <v>25920.7845</v>
      </c>
      <c r="AR369" s="14" t="n">
        <v>407.8315</v>
      </c>
      <c r="AS369" s="14" t="n"/>
      <c r="AT369" s="16" t="n">
        <v>417.5631673429583</v>
      </c>
      <c r="AU369" s="17" t="n">
        <v>0.0218192882</v>
      </c>
      <c r="AV369" s="14" t="n">
        <v>419236837.1946</v>
      </c>
      <c r="AW369" s="18" t="n">
        <v>60100000</v>
      </c>
      <c r="AX369" s="19" t="n">
        <v>36170343.66</v>
      </c>
      <c r="AY369" s="18" t="n">
        <v>3100000</v>
      </c>
      <c r="AZ369" s="18">
        <f>1000000000-999492188.4959</f>
        <v/>
      </c>
      <c r="BA369" s="20">
        <f>1000000000-AV369-AW369-AX369-AY369-AZ369</f>
        <v/>
      </c>
      <c r="BB369" s="21" t="n">
        <v>243.154254</v>
      </c>
      <c r="BC369" s="21">
        <f>BA369/1000000-BB369</f>
        <v/>
      </c>
      <c r="BD369" s="22">
        <f>BA369*34.39</f>
        <v/>
      </c>
    </row>
    <row r="370">
      <c r="A370" s="10" t="n">
        <v>45992</v>
      </c>
      <c r="B370" s="11" t="n">
        <v>10021391871.84728</v>
      </c>
      <c r="C370" s="11" t="n">
        <v>397070364.9347081</v>
      </c>
      <c r="D370" s="11" t="n">
        <v>329066780</v>
      </c>
      <c r="E370" s="11" t="n"/>
      <c r="F370" s="24" t="n">
        <v>0</v>
      </c>
      <c r="G370" s="24" t="n">
        <v>0</v>
      </c>
      <c r="H370" s="24" t="n">
        <v>0</v>
      </c>
      <c r="I370" s="24" t="n">
        <v>237666919.0010529</v>
      </c>
      <c r="J370" s="24" t="n">
        <v>521541.2651684482</v>
      </c>
      <c r="K370" s="24" t="n">
        <v>158881904.6684868</v>
      </c>
      <c r="L370" s="22">
        <f>SUM(F370:K370)</f>
        <v/>
      </c>
      <c r="M370" s="22">
        <f>Z370/(1-R370)</f>
        <v/>
      </c>
      <c r="N370" s="11" t="n">
        <v>29169.37985099792</v>
      </c>
      <c r="O370" s="11" t="n">
        <v>175170</v>
      </c>
      <c r="P370" s="11" t="n"/>
      <c r="Q370" s="22">
        <f>M370+N370+O370+P370</f>
        <v/>
      </c>
      <c r="R370" s="12" t="n">
        <v>0.01</v>
      </c>
      <c r="S370" s="22">
        <f>M370*R370</f>
        <v/>
      </c>
      <c r="T370" s="22">
        <f>N370*R370</f>
        <v/>
      </c>
      <c r="U370" s="22">
        <f>(O370-V370)*R370</f>
        <v/>
      </c>
      <c r="V370" s="11" t="n">
        <v>39294</v>
      </c>
      <c r="W370" s="11" t="n">
        <v>0</v>
      </c>
      <c r="X370" s="22">
        <f>S370+T370+U370+V370+W370</f>
        <v/>
      </c>
      <c r="Y370" s="11" t="n">
        <v>416797.153</v>
      </c>
      <c r="Z370" s="22">
        <f>AE370-AB370-AA370-AC370</f>
        <v/>
      </c>
      <c r="AA370" s="22">
        <f>N370-T370-W370</f>
        <v/>
      </c>
      <c r="AB370" s="22">
        <f>O370-V370-U370</f>
        <v/>
      </c>
      <c r="AC370" s="22">
        <f>P370</f>
        <v/>
      </c>
      <c r="AD370" s="23">
        <f>Z370+AA370+AB370+AC370</f>
        <v/>
      </c>
      <c r="AE370" s="11" t="n">
        <v>2849206.8</v>
      </c>
      <c r="AF370" s="24">
        <f>AD370-AE370</f>
        <v/>
      </c>
      <c r="AG370" s="13">
        <f>IF(OR(B370="",B370=0,M370=""),"",M370/B370*10000)</f>
        <v/>
      </c>
      <c r="AH370" s="13">
        <f>IF(OR(C370="",C370=0),"",N370/C370*10000)</f>
        <v/>
      </c>
      <c r="AI370" s="13">
        <f>IF(OR(D370="",D370=0),"",O370/D370*10000)</f>
        <v/>
      </c>
      <c r="AJ370" s="11" t="n">
        <v>34588.22826412698</v>
      </c>
      <c r="AK370" s="11" t="n">
        <v>0</v>
      </c>
      <c r="AL370" s="22">
        <f>AE370+AJ370+AK370</f>
        <v/>
      </c>
      <c r="AM370" s="22">
        <f>AE370</f>
        <v/>
      </c>
      <c r="AN370" s="14" t="n">
        <v>93343.03999999999</v>
      </c>
      <c r="AO370" s="15" t="n">
        <v>30.524041</v>
      </c>
      <c r="AP370" s="14" t="n">
        <v>36256264.96</v>
      </c>
      <c r="AQ370" s="14" t="n">
        <v>26009.9969</v>
      </c>
      <c r="AR370" s="14" t="n">
        <v>1190.3492</v>
      </c>
      <c r="AS370" s="14" t="n"/>
      <c r="AT370" s="16" t="n">
        <v>417.2349624765731</v>
      </c>
      <c r="AU370" s="17" t="n">
        <v>0.0218277674</v>
      </c>
      <c r="AV370" s="14" t="n">
        <v>419210827.1977</v>
      </c>
      <c r="AW370" s="18" t="n">
        <v>60100000</v>
      </c>
      <c r="AX370" s="19" t="n">
        <v>36256264.96</v>
      </c>
      <c r="AY370" s="18" t="n">
        <v>3100000</v>
      </c>
      <c r="AZ370" s="18">
        <f>1000000000-999490998.1467</f>
        <v/>
      </c>
      <c r="BA370" s="20">
        <f>1000000000-AV370-AW370-AX370-AY370-AZ370</f>
        <v/>
      </c>
      <c r="BB370" s="21" t="n">
        <v>243.154254</v>
      </c>
      <c r="BC370" s="21">
        <f>BA370/1000000-BB370</f>
        <v/>
      </c>
      <c r="BD370" s="22">
        <f>BA370*31.17</f>
        <v/>
      </c>
    </row>
    <row r="371">
      <c r="A371" s="10" t="n">
        <v>45993</v>
      </c>
      <c r="B371" s="11" t="n">
        <v>7550390391.405797</v>
      </c>
      <c r="C371" s="11" t="n">
        <v>380463263.8685051</v>
      </c>
      <c r="D371" s="11" t="n">
        <v>269646568</v>
      </c>
      <c r="E371" s="11" t="n"/>
      <c r="F371" s="24" t="n">
        <v>0</v>
      </c>
      <c r="G371" s="24" t="n">
        <v>0</v>
      </c>
      <c r="H371" s="24" t="n">
        <v>0</v>
      </c>
      <c r="I371" s="24" t="n">
        <v>217386663.6759006</v>
      </c>
      <c r="J371" s="24" t="n">
        <v>1363419.729595403</v>
      </c>
      <c r="K371" s="24" t="n">
        <v>161713180.4630091</v>
      </c>
      <c r="L371" s="22">
        <f>SUM(F371:K371)</f>
        <v/>
      </c>
      <c r="M371" s="22">
        <f>Z371/(1-R371)</f>
        <v/>
      </c>
      <c r="N371" s="11" t="n">
        <v>32306.92660599926</v>
      </c>
      <c r="O371" s="11" t="n">
        <v>141033</v>
      </c>
      <c r="P371" s="11" t="n"/>
      <c r="Q371" s="22">
        <f>M371+N371+O371+P371</f>
        <v/>
      </c>
      <c r="R371" s="12" t="n">
        <v>0.01</v>
      </c>
      <c r="S371" s="22">
        <f>M371*R371</f>
        <v/>
      </c>
      <c r="T371" s="22">
        <f>N371*R371</f>
        <v/>
      </c>
      <c r="U371" s="22">
        <f>(O371-V371)*R371</f>
        <v/>
      </c>
      <c r="V371" s="11" t="n">
        <v>36718</v>
      </c>
      <c r="W371" s="11" t="n">
        <v>0</v>
      </c>
      <c r="X371" s="22">
        <f>S371+T371+U371+V371+W371</f>
        <v/>
      </c>
      <c r="Y371" s="11" t="n">
        <v>293970.7223</v>
      </c>
      <c r="Z371" s="22">
        <f>AE371-AB371-AA371-AC371</f>
        <v/>
      </c>
      <c r="AA371" s="22">
        <f>N371-T371-W371</f>
        <v/>
      </c>
      <c r="AB371" s="22">
        <f>O371-V371-U371</f>
        <v/>
      </c>
      <c r="AC371" s="22">
        <f>P371</f>
        <v/>
      </c>
      <c r="AD371" s="23">
        <f>Z371+AA371+AB371+AC371</f>
        <v/>
      </c>
      <c r="AE371" s="11" t="n">
        <v>2194924.87</v>
      </c>
      <c r="AF371" s="24">
        <f>AD371-AE371</f>
        <v/>
      </c>
      <c r="AG371" s="13">
        <f>IF(OR(B371="",B371=0,M371=""),"",M371/B371*10000)</f>
        <v/>
      </c>
      <c r="AH371" s="13">
        <f>IF(OR(C371="",C371=0),"",N371/C371*10000)</f>
        <v/>
      </c>
      <c r="AI371" s="13">
        <f>IF(OR(D371="",D371=0),"",O371/D371*10000)</f>
        <v/>
      </c>
      <c r="AJ371" s="11" t="n">
        <v>37473.69830858563</v>
      </c>
      <c r="AK371" s="11" t="n">
        <v>0</v>
      </c>
      <c r="AL371" s="22">
        <f>AE371+AJ371+AK371</f>
        <v/>
      </c>
      <c r="AM371" s="22">
        <f>AE371</f>
        <v/>
      </c>
      <c r="AN371" s="14" t="n">
        <v>67716.16</v>
      </c>
      <c r="AO371" s="15" t="n">
        <v>32.413605</v>
      </c>
      <c r="AP371" s="14" t="n">
        <v>36323946.13</v>
      </c>
      <c r="AQ371" s="14" t="n">
        <v>25997.6102</v>
      </c>
      <c r="AR371" s="14" t="n">
        <v>1385.634</v>
      </c>
      <c r="AS371" s="14" t="n"/>
      <c r="AT371" s="16" t="n">
        <v>416.7113185259213</v>
      </c>
      <c r="AU371" s="17" t="n">
        <v>0.0218413165</v>
      </c>
      <c r="AV371" s="14" t="n">
        <v>419184829.5875</v>
      </c>
      <c r="AW371" s="18" t="n">
        <v>60100000</v>
      </c>
      <c r="AX371" s="19" t="n">
        <v>36323946.13</v>
      </c>
      <c r="AY371" s="18" t="n">
        <v>3100000</v>
      </c>
      <c r="AZ371" s="18">
        <f>1000000000-999489612.5128</f>
        <v/>
      </c>
      <c r="BA371" s="20">
        <f>1000000000-AV371-AW371-AX371-AY371-AZ371</f>
        <v/>
      </c>
      <c r="BB371" s="21" t="n">
        <v>243.154254</v>
      </c>
      <c r="BC371" s="21">
        <f>BA371/1000000-BB371</f>
        <v/>
      </c>
      <c r="BD371" s="22">
        <f>BA371*31.19</f>
        <v/>
      </c>
    </row>
    <row r="372">
      <c r="A372" s="10" t="n">
        <v>45994</v>
      </c>
      <c r="B372" s="11" t="n">
        <v>6886756873.480809</v>
      </c>
      <c r="C372" s="11" t="n">
        <v>408944628.3438808</v>
      </c>
      <c r="D372" s="11" t="n">
        <v>206050583</v>
      </c>
      <c r="E372" s="11" t="n"/>
      <c r="F372" s="24" t="n">
        <v>0</v>
      </c>
      <c r="G372" s="24" t="n">
        <v>91.79324537867177</v>
      </c>
      <c r="H372" s="24" t="n">
        <v>0</v>
      </c>
      <c r="I372" s="24" t="n">
        <v>244965469.7558019</v>
      </c>
      <c r="J372" s="24" t="n">
        <v>3048842.458222649</v>
      </c>
      <c r="K372" s="24" t="n">
        <v>160930224.3366109</v>
      </c>
      <c r="L372" s="22">
        <f>SUM(F372:K372)</f>
        <v/>
      </c>
      <c r="M372" s="22">
        <f>Z372/(1-R372)</f>
        <v/>
      </c>
      <c r="N372" s="11" t="n">
        <v>29491.34093100106</v>
      </c>
      <c r="O372" s="11" t="n">
        <v>108352</v>
      </c>
      <c r="P372" s="11" t="n"/>
      <c r="Q372" s="22">
        <f>M372+N372+O372+P372</f>
        <v/>
      </c>
      <c r="R372" s="12" t="n">
        <v>0.01</v>
      </c>
      <c r="S372" s="22">
        <f>M372*R372</f>
        <v/>
      </c>
      <c r="T372" s="22">
        <f>N372*R372</f>
        <v/>
      </c>
      <c r="U372" s="22">
        <f>(O372-V372)*R372</f>
        <v/>
      </c>
      <c r="V372" s="11" t="n">
        <v>21734</v>
      </c>
      <c r="W372" s="11" t="n">
        <v>0</v>
      </c>
      <c r="X372" s="22">
        <f>S372+T372+U372+V372+W372</f>
        <v/>
      </c>
      <c r="Y372" s="11" t="n">
        <v>267308.9935</v>
      </c>
      <c r="Z372" s="22">
        <f>AE372-AB372-AA372-AC372</f>
        <v/>
      </c>
      <c r="AA372" s="22">
        <f>N372-T372-W372</f>
        <v/>
      </c>
      <c r="AB372" s="22">
        <f>O372-V372-U372</f>
        <v/>
      </c>
      <c r="AC372" s="22">
        <f>P372</f>
        <v/>
      </c>
      <c r="AD372" s="23">
        <f>Z372+AA372+AB372+AC372</f>
        <v/>
      </c>
      <c r="AE372" s="11" t="n">
        <v>2079489.72</v>
      </c>
      <c r="AF372" s="24">
        <f>AD372-AE372</f>
        <v/>
      </c>
      <c r="AG372" s="13">
        <f>IF(OR(B372="",B372=0,M372=""),"",M372/B372*10000)</f>
        <v/>
      </c>
      <c r="AH372" s="13">
        <f>IF(OR(C372="",C372=0),"",N372/C372*10000)</f>
        <v/>
      </c>
      <c r="AI372" s="13">
        <f>IF(OR(D372="",D372=0),"",O372/D372*10000)</f>
        <v/>
      </c>
      <c r="AJ372" s="11" t="n">
        <v>25092.22544406611</v>
      </c>
      <c r="AK372" s="11" t="n">
        <v>0</v>
      </c>
      <c r="AL372" s="22">
        <f>AE372+AJ372+AK372</f>
        <v/>
      </c>
      <c r="AM372" s="22">
        <f>AE372</f>
        <v/>
      </c>
      <c r="AN372" s="14" t="n">
        <v>60797.55</v>
      </c>
      <c r="AO372" s="15" t="n">
        <v>34.203512</v>
      </c>
      <c r="AP372" s="14" t="n">
        <v>36384895.82</v>
      </c>
      <c r="AQ372" s="14" t="n">
        <v>25968.5244</v>
      </c>
      <c r="AR372" s="14" t="n">
        <v>1964.9548</v>
      </c>
      <c r="AS372" s="14" t="n"/>
      <c r="AT372" s="16" t="n">
        <v>415.8977621037532</v>
      </c>
      <c r="AU372" s="17" t="n">
        <v>0.0218624172</v>
      </c>
      <c r="AV372" s="14" t="n">
        <v>419158861.0631</v>
      </c>
      <c r="AW372" s="18" t="n">
        <v>60100000</v>
      </c>
      <c r="AX372" s="19" t="n">
        <v>36384895.82</v>
      </c>
      <c r="AY372" s="18" t="n">
        <v>3100000</v>
      </c>
      <c r="AZ372" s="18">
        <f>1000000000-999487647.558</f>
        <v/>
      </c>
      <c r="BA372" s="20">
        <f>1000000000-AV372-AW372-AX372-AY372-AZ372</f>
        <v/>
      </c>
      <c r="BB372" s="21" t="n">
        <v>243.154254</v>
      </c>
      <c r="BC372" s="21">
        <f>BA372/1000000-BB372</f>
        <v/>
      </c>
      <c r="BD372" s="22">
        <f>BA372*33.65</f>
        <v/>
      </c>
    </row>
    <row r="373">
      <c r="A373" s="10" t="n">
        <v>45995</v>
      </c>
      <c r="B373" s="11" t="n">
        <v>5795355353.635429</v>
      </c>
      <c r="C373" s="11" t="n">
        <v>513842491.8370724</v>
      </c>
      <c r="D373" s="11" t="n">
        <v>182559226</v>
      </c>
      <c r="E373" s="11" t="n"/>
      <c r="F373" s="24" t="n">
        <v>0</v>
      </c>
      <c r="G373" s="24" t="n">
        <v>14.12631196015092</v>
      </c>
      <c r="H373" s="24" t="n">
        <v>0</v>
      </c>
      <c r="I373" s="24" t="n">
        <v>343577522.4032755</v>
      </c>
      <c r="J373" s="24" t="n">
        <v>1933125.565051361</v>
      </c>
      <c r="K373" s="24" t="n">
        <v>168331829.7424335</v>
      </c>
      <c r="L373" s="22">
        <f>SUM(F373:K373)</f>
        <v/>
      </c>
      <c r="M373" s="22">
        <f>Z373/(1-R373)</f>
        <v/>
      </c>
      <c r="N373" s="11" t="n">
        <v>36786.34213499246</v>
      </c>
      <c r="O373" s="11" t="n">
        <v>101717</v>
      </c>
      <c r="P373" s="11" t="n"/>
      <c r="Q373" s="22">
        <f>M373+N373+O373+P373</f>
        <v/>
      </c>
      <c r="R373" s="12" t="n">
        <v>0.01</v>
      </c>
      <c r="S373" s="22">
        <f>M373*R373</f>
        <v/>
      </c>
      <c r="T373" s="22">
        <f>N373*R373</f>
        <v/>
      </c>
      <c r="U373" s="22">
        <f>(O373-V373)*R373</f>
        <v/>
      </c>
      <c r="V373" s="11" t="n">
        <v>20682</v>
      </c>
      <c r="W373" s="11" t="n">
        <v>0</v>
      </c>
      <c r="X373" s="22">
        <f>S373+T373+U373+V373+W373</f>
        <v/>
      </c>
      <c r="Y373" s="11" t="n">
        <v>249977.533</v>
      </c>
      <c r="Z373" s="22">
        <f>AE373-AB373-AA373-AC373</f>
        <v/>
      </c>
      <c r="AA373" s="22">
        <f>N373-T373-W373</f>
        <v/>
      </c>
      <c r="AB373" s="22">
        <f>O373-V373-U373</f>
        <v/>
      </c>
      <c r="AC373" s="22">
        <f>P373</f>
        <v/>
      </c>
      <c r="AD373" s="23">
        <f>Z373+AA373+AB373+AC373</f>
        <v/>
      </c>
      <c r="AE373" s="11" t="n">
        <v>1663937.63</v>
      </c>
      <c r="AF373" s="24">
        <f>AD373-AE373</f>
        <v/>
      </c>
      <c r="AG373" s="13">
        <f>IF(OR(B373="",B373=0,M373=""),"",M373/B373*10000)</f>
        <v/>
      </c>
      <c r="AH373" s="13">
        <f>IF(OR(C373="",C373=0),"",N373/C373*10000)</f>
        <v/>
      </c>
      <c r="AI373" s="13">
        <f>IF(OR(D373="",D373=0),"",O373/D373*10000)</f>
        <v/>
      </c>
      <c r="AJ373" s="11" t="n">
        <v>19057.2032159248</v>
      </c>
      <c r="AK373" s="11" t="n">
        <v>0</v>
      </c>
      <c r="AL373" s="22">
        <f>AE373+AJ373+AK373</f>
        <v/>
      </c>
      <c r="AM373" s="22">
        <f>AE373</f>
        <v/>
      </c>
      <c r="AN373" s="14" t="n">
        <v>48186.92</v>
      </c>
      <c r="AO373" s="15" t="n">
        <v>34.530898</v>
      </c>
      <c r="AP373" s="14" t="n">
        <v>36432787.69</v>
      </c>
      <c r="AQ373" s="14" t="n">
        <v>25970.2027</v>
      </c>
      <c r="AR373" s="14" t="n">
        <v>630.4376</v>
      </c>
      <c r="AS373" s="14" t="n"/>
      <c r="AT373" s="16" t="n">
        <v>416.0798396594728</v>
      </c>
      <c r="AU373" s="17" t="n">
        <v>0.0218576894</v>
      </c>
      <c r="AV373" s="14" t="n">
        <v>419132890.8604</v>
      </c>
      <c r="AW373" s="18" t="n">
        <v>60100000</v>
      </c>
      <c r="AX373" s="19" t="n">
        <v>36432787.69</v>
      </c>
      <c r="AY373" s="18" t="n">
        <v>3100000</v>
      </c>
      <c r="AZ373" s="18">
        <f>1000000000-999487017.1204</f>
        <v/>
      </c>
      <c r="BA373" s="20">
        <f>1000000000-AV373-AW373-AX373-AY373-AZ373</f>
        <v/>
      </c>
      <c r="BB373" s="21" t="n">
        <v>243.154254</v>
      </c>
      <c r="BC373" s="21">
        <f>BA373/1000000-BB373</f>
        <v/>
      </c>
      <c r="BD373" s="22">
        <f>BA373*34.56</f>
        <v/>
      </c>
    </row>
    <row r="374">
      <c r="A374" s="10" t="n">
        <v>45996</v>
      </c>
      <c r="B374" s="11" t="n">
        <v>7066335786.55872</v>
      </c>
      <c r="C374" s="11" t="n">
        <v>337623924.6189157</v>
      </c>
      <c r="D374" s="11" t="n">
        <v>184407507</v>
      </c>
      <c r="E374" s="11" t="n"/>
      <c r="F374" s="24" t="n">
        <v>0</v>
      </c>
      <c r="G374" s="24" t="n">
        <v>267.889386643971</v>
      </c>
      <c r="H374" s="24" t="n">
        <v>0</v>
      </c>
      <c r="I374" s="24" t="n">
        <v>185453322.976943</v>
      </c>
      <c r="J374" s="24" t="n">
        <v>1348399.408160828</v>
      </c>
      <c r="K374" s="24" t="n">
        <v>150821934.3444251</v>
      </c>
      <c r="L374" s="22">
        <f>SUM(F374:K374)</f>
        <v/>
      </c>
      <c r="M374" s="22">
        <f>Z374/(1-R374)</f>
        <v/>
      </c>
      <c r="N374" s="11" t="n">
        <v>24444.29194299971</v>
      </c>
      <c r="O374" s="11" t="n">
        <v>94893</v>
      </c>
      <c r="P374" s="11" t="n"/>
      <c r="Q374" s="22">
        <f>M374+N374+O374+P374</f>
        <v/>
      </c>
      <c r="R374" s="12" t="n">
        <v>0.01</v>
      </c>
      <c r="S374" s="22">
        <f>M374*R374</f>
        <v/>
      </c>
      <c r="T374" s="22">
        <f>N374*R374</f>
        <v/>
      </c>
      <c r="U374" s="22">
        <f>(O374-V374)*R374</f>
        <v/>
      </c>
      <c r="V374" s="11" t="n">
        <v>17553</v>
      </c>
      <c r="W374" s="11" t="n">
        <v>0</v>
      </c>
      <c r="X374" s="22">
        <f>S374+T374+U374+V374+W374</f>
        <v/>
      </c>
      <c r="Y374" s="11" t="n">
        <v>225389.7421</v>
      </c>
      <c r="Z374" s="22">
        <f>AE374-AB374-AA374-AC374</f>
        <v/>
      </c>
      <c r="AA374" s="22">
        <f>N374-T374-W374</f>
        <v/>
      </c>
      <c r="AB374" s="22">
        <f>O374-V374-U374</f>
        <v/>
      </c>
      <c r="AC374" s="22">
        <f>P374</f>
        <v/>
      </c>
      <c r="AD374" s="23">
        <f>Z374+AA374+AB374+AC374</f>
        <v/>
      </c>
      <c r="AE374" s="11" t="n">
        <v>2000314.57</v>
      </c>
      <c r="AF374" s="24">
        <f>AD374-AE374</f>
        <v/>
      </c>
      <c r="AG374" s="13">
        <f>IF(OR(B374="",B374=0,M374=""),"",M374/B374*10000)</f>
        <v/>
      </c>
      <c r="AH374" s="13">
        <f>IF(OR(C374="",C374=0),"",N374/C374*10000)</f>
        <v/>
      </c>
      <c r="AI374" s="13">
        <f>IF(OR(D374="",D374=0),"",O374/D374*10000)</f>
        <v/>
      </c>
      <c r="AJ374" s="11" t="n">
        <v>17560.31635041048</v>
      </c>
      <c r="AK374" s="11" t="n">
        <v>0</v>
      </c>
      <c r="AL374" s="22">
        <f>AE374+AJ374+AK374</f>
        <v/>
      </c>
      <c r="AM374" s="22">
        <f>AE374</f>
        <v/>
      </c>
      <c r="AN374" s="14" t="n">
        <v>63142.73</v>
      </c>
      <c r="AO374" s="15" t="n">
        <v>31.679254</v>
      </c>
      <c r="AP374" s="14" t="n">
        <v>36495511.64</v>
      </c>
      <c r="AQ374" s="14" t="n">
        <v>26286.8388</v>
      </c>
      <c r="AR374" s="14" t="n">
        <v>1171.0211</v>
      </c>
      <c r="AS374" s="14" t="n"/>
      <c r="AT374" s="16" t="n">
        <v>430.724485779458</v>
      </c>
      <c r="AU374" s="17" t="n">
        <v>0.0214872285</v>
      </c>
      <c r="AV374" s="14" t="n">
        <v>419106604.0216</v>
      </c>
      <c r="AW374" s="18" t="n">
        <v>60100000</v>
      </c>
      <c r="AX374" s="19" t="n">
        <v>36495511.64</v>
      </c>
      <c r="AY374" s="18" t="n">
        <v>3100000</v>
      </c>
      <c r="AZ374" s="18">
        <f>1000000000-999485846.0993</f>
        <v/>
      </c>
      <c r="BA374" s="20">
        <f>1000000000-AV374-AW374-AX374-AY374-AZ374</f>
        <v/>
      </c>
      <c r="BB374" s="21" t="n">
        <v>243.154254</v>
      </c>
      <c r="BC374" s="21">
        <f>BA374/1000000-BB374</f>
        <v/>
      </c>
      <c r="BD374" s="22">
        <f>BA374*33.49</f>
        <v/>
      </c>
    </row>
    <row r="375">
      <c r="A375" s="10" t="n">
        <v>45997</v>
      </c>
      <c r="B375" s="11" t="n">
        <v>2333604933.441217</v>
      </c>
      <c r="C375" s="11" t="n">
        <v>60229991.20728047</v>
      </c>
      <c r="D375" s="11" t="n">
        <v>99071556</v>
      </c>
      <c r="E375" s="11" t="n"/>
      <c r="F375" s="24" t="n">
        <v>0</v>
      </c>
      <c r="G375" s="24" t="n">
        <v>1586.878933540979</v>
      </c>
      <c r="H375" s="24" t="n">
        <v>0</v>
      </c>
      <c r="I375" s="24" t="n">
        <v>45642712.66943169</v>
      </c>
      <c r="J375" s="24" t="n">
        <v>1630263.849263892</v>
      </c>
      <c r="K375" s="24" t="n">
        <v>12955427.80965134</v>
      </c>
      <c r="L375" s="22">
        <f>SUM(F375:K375)</f>
        <v/>
      </c>
      <c r="M375" s="22">
        <f>Z375/(1-R375)</f>
        <v/>
      </c>
      <c r="N375" s="11" t="n">
        <v>6829.287385000029</v>
      </c>
      <c r="O375" s="11" t="n">
        <v>57413</v>
      </c>
      <c r="P375" s="11" t="n"/>
      <c r="Q375" s="22">
        <f>M375+N375+O375+P375</f>
        <v/>
      </c>
      <c r="R375" s="12" t="n">
        <v>0.01</v>
      </c>
      <c r="S375" s="22">
        <f>M375*R375</f>
        <v/>
      </c>
      <c r="T375" s="22">
        <f>N375*R375</f>
        <v/>
      </c>
      <c r="U375" s="22">
        <f>(O375-V375)*R375</f>
        <v/>
      </c>
      <c r="V375" s="11" t="n">
        <v>13219</v>
      </c>
      <c r="W375" s="11" t="n">
        <v>0</v>
      </c>
      <c r="X375" s="22">
        <f>S375+T375+U375+V375+W375</f>
        <v/>
      </c>
      <c r="Y375" s="11" t="n">
        <v>100599.7903</v>
      </c>
      <c r="Z375" s="22">
        <f>AE375-AB375-AA375-AC375</f>
        <v/>
      </c>
      <c r="AA375" s="22">
        <f>N375-T375-W375</f>
        <v/>
      </c>
      <c r="AB375" s="22">
        <f>O375-V375-U375</f>
        <v/>
      </c>
      <c r="AC375" s="22">
        <f>P375</f>
        <v/>
      </c>
      <c r="AD375" s="23">
        <f>Z375+AA375+AB375+AC375</f>
        <v/>
      </c>
      <c r="AE375" s="11" t="n">
        <v>673471.5</v>
      </c>
      <c r="AF375" s="24">
        <f>AD375-AE375</f>
        <v/>
      </c>
      <c r="AG375" s="13">
        <f>IF(OR(B375="",B375=0,M375=""),"",M375/B375*10000)</f>
        <v/>
      </c>
      <c r="AH375" s="13">
        <f>IF(OR(C375="",C375=0),"",N375/C375*10000)</f>
        <v/>
      </c>
      <c r="AI375" s="13">
        <f>IF(OR(D375="",D375=0),"",O375/D375*10000)</f>
        <v/>
      </c>
      <c r="AJ375" s="11" t="n">
        <v>6180.491115620589</v>
      </c>
      <c r="AK375" s="11" t="n">
        <v>0</v>
      </c>
      <c r="AL375" s="22">
        <f>AE375+AJ375+AK375</f>
        <v/>
      </c>
      <c r="AM375" s="22">
        <f>AE375</f>
        <v/>
      </c>
      <c r="AN375" s="14" t="n">
        <v>21702.43</v>
      </c>
      <c r="AO375" s="15" t="n">
        <v>31.032078</v>
      </c>
      <c r="AP375" s="14" t="n">
        <v>36516646.11</v>
      </c>
      <c r="AQ375" s="14" t="n">
        <v>26453.3853</v>
      </c>
      <c r="AR375" s="14" t="n">
        <v>1209.6382</v>
      </c>
      <c r="AS375" s="14" t="n">
        <v>0</v>
      </c>
      <c r="AT375" s="16" t="n">
        <v>431.3697353216838</v>
      </c>
      <c r="AU375" s="17" t="n">
        <v>0.0214713377</v>
      </c>
      <c r="AV375" s="14" t="n">
        <v>419080150.6363</v>
      </c>
      <c r="AW375" s="18" t="n">
        <v>60100000</v>
      </c>
      <c r="AX375" s="19" t="n">
        <v>36516646.11</v>
      </c>
      <c r="AY375" s="18" t="n">
        <v>3100000</v>
      </c>
      <c r="AZ375" s="18">
        <f>1000000000-999484636.4611</f>
        <v/>
      </c>
      <c r="BA375" s="20">
        <f>1000000000-AV375-AW375-AX375-AY375-AZ375</f>
        <v/>
      </c>
      <c r="BB375" s="21" t="n">
        <v>243.154254</v>
      </c>
      <c r="BC375" s="21">
        <f>BA375/1000000-BB375</f>
        <v/>
      </c>
      <c r="BD375" s="22">
        <f>BA375*30.66</f>
        <v/>
      </c>
    </row>
    <row r="376">
      <c r="A376" s="10" t="n">
        <v>45998</v>
      </c>
      <c r="B376" s="11" t="n">
        <v>6047025469.194129</v>
      </c>
      <c r="C376" s="11" t="n">
        <v>101264757.5571975</v>
      </c>
      <c r="D376" s="11" t="n">
        <v>160424812</v>
      </c>
      <c r="E376" s="11" t="n"/>
      <c r="F376" s="24" t="n">
        <v>0</v>
      </c>
      <c r="G376" s="24" t="n">
        <v>104.4574372813547</v>
      </c>
      <c r="H376" s="24" t="n">
        <v>0</v>
      </c>
      <c r="I376" s="24" t="n">
        <v>87940871.77867688</v>
      </c>
      <c r="J376" s="24" t="n">
        <v>780282.9250039527</v>
      </c>
      <c r="K376" s="24" t="n">
        <v>12543498.39607942</v>
      </c>
      <c r="L376" s="22">
        <f>SUM(F376:K376)</f>
        <v/>
      </c>
      <c r="M376" s="22">
        <f>Z376/(1-R376)</f>
        <v/>
      </c>
      <c r="N376" s="11" t="n">
        <v>10591.31358599933</v>
      </c>
      <c r="O376" s="11" t="n">
        <v>83272</v>
      </c>
      <c r="P376" s="11" t="n"/>
      <c r="Q376" s="22">
        <f>M376+N376+O376+P376</f>
        <v/>
      </c>
      <c r="R376" s="12" t="n">
        <v>0.01</v>
      </c>
      <c r="S376" s="22">
        <f>M376*R376</f>
        <v/>
      </c>
      <c r="T376" s="22">
        <f>N376*R376</f>
        <v/>
      </c>
      <c r="U376" s="22">
        <f>(O376-V376)*R376</f>
        <v/>
      </c>
      <c r="V376" s="11" t="n">
        <v>11795</v>
      </c>
      <c r="W376" s="11" t="n">
        <v>0</v>
      </c>
      <c r="X376" s="22">
        <f>S376+T376+U376+V376+W376</f>
        <v/>
      </c>
      <c r="Y376" s="11" t="n">
        <v>167923.6147</v>
      </c>
      <c r="Z376" s="22">
        <f>AE376-AB376-AA376-AC376</f>
        <v/>
      </c>
      <c r="AA376" s="22">
        <f>N376-T376-W376</f>
        <v/>
      </c>
      <c r="AB376" s="22">
        <f>O376-V376-U376</f>
        <v/>
      </c>
      <c r="AC376" s="22">
        <f>P376</f>
        <v/>
      </c>
      <c r="AD376" s="23">
        <f>Z376+AA376+AB376+AC376</f>
        <v/>
      </c>
      <c r="AE376" s="11" t="n">
        <v>1720821.46</v>
      </c>
      <c r="AF376" s="24">
        <f>AD376-AE376</f>
        <v/>
      </c>
      <c r="AG376" s="13">
        <f>IF(OR(B376="",B376=0,M376=""),"",M376/B376*10000)</f>
        <v/>
      </c>
      <c r="AH376" s="13">
        <f>IF(OR(C376="",C376=0),"",N376/C376*10000)</f>
        <v/>
      </c>
      <c r="AI376" s="13">
        <f>IF(OR(D376="",D376=0),"",O376/D376*10000)</f>
        <v/>
      </c>
      <c r="AJ376" s="11" t="n">
        <v>25409.58117023863</v>
      </c>
      <c r="AK376" s="11" t="n">
        <v>0</v>
      </c>
      <c r="AL376" s="22">
        <f>AE376+AJ376+AK376</f>
        <v/>
      </c>
      <c r="AM376" s="22">
        <f>AE376</f>
        <v/>
      </c>
      <c r="AN376" s="14" t="n">
        <v>58504.27</v>
      </c>
      <c r="AO376" s="15" t="n">
        <v>29.413604</v>
      </c>
      <c r="AP376" s="14" t="n">
        <v>36575096.92</v>
      </c>
      <c r="AQ376" s="14" t="n">
        <v>26424.9266</v>
      </c>
      <c r="AR376" s="14" t="n">
        <v>969.9399</v>
      </c>
      <c r="AS376" s="14" t="n"/>
      <c r="AT376" s="16" t="n">
        <v>431.4079183757278</v>
      </c>
      <c r="AU376" s="17" t="n">
        <v>0.0214703985</v>
      </c>
      <c r="AV376" s="14" t="n">
        <v>419053725.7097</v>
      </c>
      <c r="AW376" s="18" t="n">
        <v>60100000</v>
      </c>
      <c r="AX376" s="19" t="n">
        <v>36575096.92</v>
      </c>
      <c r="AY376" s="18" t="n">
        <v>3100000</v>
      </c>
      <c r="AZ376" s="18">
        <f>1000000000-999483666.5211</f>
        <v/>
      </c>
      <c r="BA376" s="20">
        <f>1000000000-AV376-AW376-AX376-AY376-AZ376</f>
        <v/>
      </c>
      <c r="BB376" s="21" t="n">
        <v>243.154254</v>
      </c>
      <c r="BC376" s="21">
        <f>BA376/1000000-BB376</f>
        <v/>
      </c>
      <c r="BD376" s="22">
        <f>BA376*31.12</f>
        <v/>
      </c>
    </row>
    <row r="377">
      <c r="A377" s="10" t="n">
        <v>45999</v>
      </c>
      <c r="B377" s="11" t="n">
        <v>6026051165.019613</v>
      </c>
      <c r="C377" s="11" t="n">
        <v>303023605.0856854</v>
      </c>
      <c r="D377" s="11" t="n">
        <v>149941296</v>
      </c>
      <c r="E377" s="11" t="n"/>
      <c r="F377" s="24" t="n">
        <v>0</v>
      </c>
      <c r="G377" s="24" t="n">
        <v>6245.827434345086</v>
      </c>
      <c r="H377" s="24" t="n">
        <v>0</v>
      </c>
      <c r="I377" s="24" t="n">
        <v>173392481.9988678</v>
      </c>
      <c r="J377" s="24" t="n">
        <v>460684.2625779512</v>
      </c>
      <c r="K377" s="24" t="n">
        <v>129164192.9968054</v>
      </c>
      <c r="L377" s="22">
        <f>SUM(F377:K377)</f>
        <v/>
      </c>
      <c r="M377" s="22">
        <f>Z377/(1-R377)</f>
        <v/>
      </c>
      <c r="N377" s="11" t="n">
        <v>19072.3568699992</v>
      </c>
      <c r="O377" s="11" t="n">
        <v>79707</v>
      </c>
      <c r="P377" s="11" t="n"/>
      <c r="Q377" s="22">
        <f>M377+N377+O377+P377</f>
        <v/>
      </c>
      <c r="R377" s="12" t="n">
        <v>0.01</v>
      </c>
      <c r="S377" s="22">
        <f>M377*R377</f>
        <v/>
      </c>
      <c r="T377" s="22">
        <f>N377*R377</f>
        <v/>
      </c>
      <c r="U377" s="22">
        <f>(O377-V377)*R377</f>
        <v/>
      </c>
      <c r="V377" s="11" t="n">
        <v>16827</v>
      </c>
      <c r="W377" s="11" t="n">
        <v>0</v>
      </c>
      <c r="X377" s="22">
        <f>S377+T377+U377+V377+W377</f>
        <v/>
      </c>
      <c r="Y377" s="11" t="n">
        <v>213820.0219</v>
      </c>
      <c r="Z377" s="22">
        <f>AE377-AB377-AA377-AC377</f>
        <v/>
      </c>
      <c r="AA377" s="22">
        <f>N377-T377-W377</f>
        <v/>
      </c>
      <c r="AB377" s="22">
        <f>O377-V377-U377</f>
        <v/>
      </c>
      <c r="AC377" s="22">
        <f>P377</f>
        <v/>
      </c>
      <c r="AD377" s="23">
        <f>Z377+AA377+AB377+AC377</f>
        <v/>
      </c>
      <c r="AE377" s="11" t="n">
        <v>1747203.22</v>
      </c>
      <c r="AF377" s="24">
        <f>AD377-AE377</f>
        <v/>
      </c>
      <c r="AG377" s="13">
        <f>IF(OR(B377="",B377=0,M377=""),"",M377/B377*10000)</f>
        <v/>
      </c>
      <c r="AH377" s="13">
        <f>IF(OR(C377="",C377=0),"",N377/C377*10000)</f>
        <v/>
      </c>
      <c r="AI377" s="13">
        <f>IF(OR(D377="",D377=0),"",O377/D377*10000)</f>
        <v/>
      </c>
      <c r="AJ377" s="11" t="n">
        <v>15677.35813674252</v>
      </c>
      <c r="AK377" s="11" t="n">
        <v>0</v>
      </c>
      <c r="AL377" s="22">
        <f>AE377+AJ377+AK377</f>
        <v/>
      </c>
      <c r="AM377" s="22">
        <f>AE377</f>
        <v/>
      </c>
      <c r="AN377" s="14" t="n">
        <v>58433.15</v>
      </c>
      <c r="AO377" s="15" t="n">
        <v>29.900891</v>
      </c>
      <c r="AP377" s="14" t="n">
        <v>36821105.39</v>
      </c>
      <c r="AQ377" s="14" t="n">
        <v>0</v>
      </c>
      <c r="AR377" s="14" t="n">
        <v>-4131.1617</v>
      </c>
      <c r="AS377" s="14" t="n"/>
      <c r="AT377" s="16" t="n">
        <v>430.9794309419825</v>
      </c>
      <c r="AU377" s="17" t="n">
        <v>0.0214809456</v>
      </c>
      <c r="AV377" s="14" t="n">
        <v>419027266.0316</v>
      </c>
      <c r="AW377" s="18" t="n">
        <v>60100000</v>
      </c>
      <c r="AX377" s="19" t="n">
        <v>36821105.39</v>
      </c>
      <c r="AY377" s="18" t="n">
        <v>3100000</v>
      </c>
      <c r="AZ377" s="18">
        <f>1000000000-999482193.398</f>
        <v/>
      </c>
      <c r="BA377" s="20">
        <f>1000000000-AV377-AW377-AX377-AY377-AZ377</f>
        <v/>
      </c>
      <c r="BB377" s="21" t="n">
        <v>243.154254</v>
      </c>
      <c r="BC377" s="21">
        <f>BA377/1000000-BB377</f>
        <v/>
      </c>
      <c r="BD377" s="22">
        <f>BA377*29.91</f>
        <v/>
      </c>
    </row>
    <row r="378">
      <c r="A378" s="10" t="n">
        <v>46000</v>
      </c>
      <c r="B378" s="11" t="n">
        <v>8403872780.228946</v>
      </c>
      <c r="C378" s="11" t="n">
        <v>288606480.5189829</v>
      </c>
      <c r="D378" s="11" t="n">
        <v>242510850</v>
      </c>
      <c r="E378" s="11" t="n"/>
      <c r="F378" s="24" t="n">
        <v>0</v>
      </c>
      <c r="G378" s="24" t="n">
        <v>14465047.9711007</v>
      </c>
      <c r="H378" s="24" t="n">
        <v>0</v>
      </c>
      <c r="I378" s="24" t="n">
        <v>159035063.8467036</v>
      </c>
      <c r="J378" s="24" t="n">
        <v>625545.5827312544</v>
      </c>
      <c r="K378" s="24" t="n">
        <v>114480823.1184474</v>
      </c>
      <c r="L378" s="22">
        <f>SUM(F378:K378)</f>
        <v/>
      </c>
      <c r="M378" s="22">
        <f>Z378/(1-R378)</f>
        <v/>
      </c>
      <c r="N378" s="11" t="n">
        <v>24677.57215500011</v>
      </c>
      <c r="O378" s="11" t="n">
        <v>121960</v>
      </c>
      <c r="P378" s="11" t="n"/>
      <c r="Q378" s="22">
        <f>M378+N378+O378+P378</f>
        <v/>
      </c>
      <c r="R378" s="12" t="n">
        <v>0.01</v>
      </c>
      <c r="S378" s="22">
        <f>M378*R378</f>
        <v/>
      </c>
      <c r="T378" s="22">
        <f>N378*R378</f>
        <v/>
      </c>
      <c r="U378" s="22">
        <f>(O378-V378)*R378</f>
        <v/>
      </c>
      <c r="V378" s="11" t="n">
        <v>27492</v>
      </c>
      <c r="W378" s="11" t="n">
        <v>0</v>
      </c>
      <c r="X378" s="22">
        <f>S378+T378+U378+V378+W378</f>
        <v/>
      </c>
      <c r="Y378" s="11" t="n">
        <v>219032.6815</v>
      </c>
      <c r="Z378" s="22">
        <f>AE378-AB378-AA378-AC378</f>
        <v/>
      </c>
      <c r="AA378" s="22">
        <f>N378-T378-W378</f>
        <v/>
      </c>
      <c r="AB378" s="22">
        <f>O378-V378-U378</f>
        <v/>
      </c>
      <c r="AC378" s="22">
        <f>P378</f>
        <v/>
      </c>
      <c r="AD378" s="23">
        <f>Z378+AA378+AB378+AC378</f>
        <v/>
      </c>
      <c r="AE378" s="11" t="n">
        <v>2415499.24</v>
      </c>
      <c r="AF378" s="24">
        <f>AD378-AE378</f>
        <v/>
      </c>
      <c r="AG378" s="13">
        <f>IF(OR(B378="",B378=0,M378=""),"",M378/B378*10000)</f>
        <v/>
      </c>
      <c r="AH378" s="13">
        <f>IF(OR(C378="",C378=0),"",N378/C378*10000)</f>
        <v/>
      </c>
      <c r="AI378" s="13">
        <f>IF(OR(D378="",D378=0),"",O378/D378*10000)</f>
        <v/>
      </c>
      <c r="AJ378" s="11" t="n">
        <v>34351.51835478158</v>
      </c>
      <c r="AK378" s="11" t="n">
        <v>0</v>
      </c>
      <c r="AL378" s="22">
        <f>AE378+AJ378+AK378</f>
        <v/>
      </c>
      <c r="AM378" s="22">
        <f>AE378</f>
        <v/>
      </c>
      <c r="AN378" s="14" t="n">
        <v>84868.58</v>
      </c>
      <c r="AO378" s="15" t="n">
        <v>28.461643</v>
      </c>
      <c r="AP378" s="14" t="n">
        <v>36821105.39</v>
      </c>
      <c r="AQ378" s="14" t="n">
        <v>88711.8459</v>
      </c>
      <c r="AR378" s="14" t="n">
        <v>4131.1617</v>
      </c>
      <c r="AS378" s="14" t="n"/>
      <c r="AT378" s="16" t="n">
        <v>431.0351833386007</v>
      </c>
      <c r="AU378" s="17" t="n">
        <v>0.0214795724</v>
      </c>
      <c r="AV378" s="14" t="n">
        <v>418938554.1857</v>
      </c>
      <c r="AW378" s="18" t="n">
        <v>60100000</v>
      </c>
      <c r="AX378" s="19" t="n">
        <v>36821105.39</v>
      </c>
      <c r="AY378" s="18" t="n">
        <v>3100000</v>
      </c>
      <c r="AZ378" s="18">
        <f>1000000000-999478062.2363</f>
        <v/>
      </c>
      <c r="BA378" s="20">
        <f>1000000000-AV378-AW378-AX378-AY378-AZ378</f>
        <v/>
      </c>
      <c r="BB378" s="21" t="n">
        <v>243.154254</v>
      </c>
      <c r="BC378" s="21">
        <f>BA378/1000000-BB378</f>
        <v/>
      </c>
      <c r="BD378" s="22">
        <f>BA378*27.95</f>
        <v/>
      </c>
    </row>
    <row r="379">
      <c r="A379" s="10" t="n">
        <v>46001</v>
      </c>
      <c r="B379" s="11" t="n">
        <v>7964766003.357998</v>
      </c>
      <c r="C379" s="11" t="n">
        <v>397006526.1120781</v>
      </c>
      <c r="D379" s="11" t="n">
        <v>231476519</v>
      </c>
      <c r="E379" s="11" t="n"/>
      <c r="F379" s="24" t="n">
        <v>0</v>
      </c>
      <c r="G379" s="24" t="n">
        <v>20738311.47298797</v>
      </c>
      <c r="H379" s="24" t="n">
        <v>0</v>
      </c>
      <c r="I379" s="24" t="n">
        <v>213707140.6637943</v>
      </c>
      <c r="J379" s="24" t="n">
        <v>1122601.722057223</v>
      </c>
      <c r="K379" s="24" t="n">
        <v>161438472.2532386</v>
      </c>
      <c r="L379" s="22">
        <f>SUM(F379:K379)</f>
        <v/>
      </c>
      <c r="M379" s="22">
        <f>Z379/(1-R379)</f>
        <v/>
      </c>
      <c r="N379" s="11" t="n">
        <v>31008.31386900011</v>
      </c>
      <c r="O379" s="11" t="n">
        <v>134546</v>
      </c>
      <c r="P379" s="11" t="n"/>
      <c r="Q379" s="22">
        <f>M379+N379+O379+P379</f>
        <v/>
      </c>
      <c r="R379" s="12" t="n">
        <v>0.01</v>
      </c>
      <c r="S379" s="22">
        <f>M379*R379</f>
        <v/>
      </c>
      <c r="T379" s="22">
        <f>N379*R379</f>
        <v/>
      </c>
      <c r="U379" s="22">
        <f>(O379-V379)*R379</f>
        <v/>
      </c>
      <c r="V379" s="11" t="n">
        <v>58956</v>
      </c>
      <c r="W379" s="11" t="n">
        <v>0</v>
      </c>
      <c r="X379" s="22">
        <f>S379+T379+U379+V379+W379</f>
        <v/>
      </c>
      <c r="Y379" s="11" t="n">
        <v>220282.4162</v>
      </c>
      <c r="Z379" s="22">
        <f>AE379-AB379-AA379-AC379</f>
        <v/>
      </c>
      <c r="AA379" s="22">
        <f>N379-T379-W379</f>
        <v/>
      </c>
      <c r="AB379" s="22">
        <f>O379-V379-U379</f>
        <v/>
      </c>
      <c r="AC379" s="22">
        <f>P379</f>
        <v/>
      </c>
      <c r="AD379" s="23">
        <f>Z379+AA379+AB379+AC379</f>
        <v/>
      </c>
      <c r="AE379" s="11" t="n">
        <v>2249508.93</v>
      </c>
      <c r="AF379" s="24">
        <f>AD379-AE379</f>
        <v/>
      </c>
      <c r="AG379" s="13">
        <f>IF(OR(B379="",B379=0,M379=""),"",M379/B379*10000)</f>
        <v/>
      </c>
      <c r="AH379" s="13">
        <f>IF(OR(C379="",C379=0),"",N379/C379*10000)</f>
        <v/>
      </c>
      <c r="AI379" s="13">
        <f>IF(OR(D379="",D379=0),"",O379/D379*10000)</f>
        <v/>
      </c>
      <c r="AJ379" s="11" t="n">
        <v>21105.4547747176</v>
      </c>
      <c r="AK379" s="11" t="n">
        <v>0</v>
      </c>
      <c r="AL379" s="22">
        <f>AE379+AJ379+AK379</f>
        <v/>
      </c>
      <c r="AM379" s="22">
        <f>AE379</f>
        <v/>
      </c>
      <c r="AN379" s="14" t="n">
        <v>77372.82000000001</v>
      </c>
      <c r="AO379" s="15" t="n">
        <v>29.073632</v>
      </c>
      <c r="AP379" s="14" t="n">
        <v>36819849.91</v>
      </c>
      <c r="AQ379" s="14" t="n">
        <v>275.58</v>
      </c>
      <c r="AR379" s="14" t="n">
        <v>0.5085</v>
      </c>
      <c r="AS379" s="14" t="n"/>
      <c r="AT379" s="16" t="n">
        <v>431.0351833386007</v>
      </c>
      <c r="AU379" s="17" t="n">
        <v>0.0214795724</v>
      </c>
      <c r="AV379" s="14" t="n">
        <v>418938278.6057</v>
      </c>
      <c r="AW379" s="18" t="n">
        <v>60100000</v>
      </c>
      <c r="AX379" s="19" t="n">
        <v>36819849.91</v>
      </c>
      <c r="AY379" s="18" t="n">
        <v>3100000</v>
      </c>
      <c r="AZ379" s="18">
        <f>1000000000-999478061.7279</f>
        <v/>
      </c>
      <c r="BA379" s="20">
        <f>1000000000-AV379-AW379-AX379-AY379-AZ379</f>
        <v/>
      </c>
      <c r="BB379" s="21" t="n">
        <v>243.154254</v>
      </c>
      <c r="BC379" s="21">
        <f>BA379/1000000-BB379</f>
        <v/>
      </c>
      <c r="BD379" s="22">
        <f>BA379*27.9</f>
        <v/>
      </c>
    </row>
    <row r="380">
      <c r="A380" s="10" t="n">
        <v>46002</v>
      </c>
      <c r="B380" s="11" t="n">
        <v>7705475192.465954</v>
      </c>
      <c r="C380" s="11" t="n">
        <v>474736379.8360389</v>
      </c>
      <c r="D380" s="11" t="n">
        <v>185478279</v>
      </c>
      <c r="E380" s="11" t="n"/>
      <c r="F380" s="24" t="n">
        <v>0</v>
      </c>
      <c r="G380" s="24" t="n">
        <v>20205884.35689068</v>
      </c>
      <c r="H380" s="24" t="n">
        <v>0</v>
      </c>
      <c r="I380" s="24" t="n">
        <v>319391025.0553218</v>
      </c>
      <c r="J380" s="24" t="n">
        <v>251373.1579082037</v>
      </c>
      <c r="K380" s="24" t="n">
        <v>134888097.2659182</v>
      </c>
      <c r="L380" s="22">
        <f>SUM(F380:K380)</f>
        <v/>
      </c>
      <c r="M380" s="22">
        <f>Z380/(1-R380)</f>
        <v/>
      </c>
      <c r="N380" s="11" t="n">
        <v>28776.21222799997</v>
      </c>
      <c r="O380" s="11" t="n">
        <v>89006</v>
      </c>
      <c r="P380" s="11" t="n"/>
      <c r="Q380" s="22">
        <f>M380+N380+O380+P380</f>
        <v/>
      </c>
      <c r="R380" s="12" t="n">
        <v>0.01</v>
      </c>
      <c r="S380" s="22">
        <f>M380*R380</f>
        <v/>
      </c>
      <c r="T380" s="22">
        <f>N380*R380</f>
        <v/>
      </c>
      <c r="U380" s="22">
        <f>(O380-V380)*R380</f>
        <v/>
      </c>
      <c r="V380" s="11" t="n">
        <v>22671</v>
      </c>
      <c r="W380" s="11" t="n">
        <v>0</v>
      </c>
      <c r="X380" s="22">
        <f>S380+T380+U380+V380+W380</f>
        <v/>
      </c>
      <c r="Y380" s="11" t="n">
        <v>209175.5295</v>
      </c>
      <c r="Z380" s="22">
        <f>AE380-AB380-AA380-AC380</f>
        <v/>
      </c>
      <c r="AA380" s="22">
        <f>N380-T380-W380</f>
        <v/>
      </c>
      <c r="AB380" s="22">
        <f>O380-V380-U380</f>
        <v/>
      </c>
      <c r="AC380" s="22">
        <f>P380</f>
        <v/>
      </c>
      <c r="AD380" s="23">
        <f>Z380+AA380+AB380+AC380</f>
        <v/>
      </c>
      <c r="AE380" s="11" t="n">
        <v>2154234.31</v>
      </c>
      <c r="AF380" s="24">
        <f>AD380-AE380</f>
        <v/>
      </c>
      <c r="AG380" s="13">
        <f>IF(OR(B380="",B380=0,M380=""),"",M380/B380*10000)</f>
        <v/>
      </c>
      <c r="AH380" s="13">
        <f>IF(OR(C380="",C380=0),"",N380/C380*10000)</f>
        <v/>
      </c>
      <c r="AI380" s="13">
        <f>IF(OR(D380="",D380=0),"",O380/D380*10000)</f>
        <v/>
      </c>
      <c r="AJ380" s="11" t="n">
        <v>21132.65177463232</v>
      </c>
      <c r="AK380" s="11" t="n">
        <v>0</v>
      </c>
      <c r="AL380" s="22">
        <f>AE380+AJ380+AK380</f>
        <v/>
      </c>
      <c r="AM380" s="22">
        <f>AE380</f>
        <v/>
      </c>
      <c r="AN380" s="14" t="n">
        <v>76238.06</v>
      </c>
      <c r="AO380" s="15" t="n">
        <v>28.256678</v>
      </c>
      <c r="AP380" s="14" t="n">
        <v>36874341.05</v>
      </c>
      <c r="AQ380" s="14" t="n">
        <v>0</v>
      </c>
      <c r="AR380" s="14" t="n">
        <v>-4.9549</v>
      </c>
      <c r="AS380" s="14" t="n"/>
      <c r="AT380" s="16" t="n">
        <v>431.0374261893566</v>
      </c>
      <c r="AU380" s="17" t="n">
        <v>0.0214795172</v>
      </c>
      <c r="AV380" s="14" t="n">
        <v>418939527.9029</v>
      </c>
      <c r="AW380" s="18" t="n">
        <v>60100000</v>
      </c>
      <c r="AX380" s="19" t="n">
        <v>36874341.05</v>
      </c>
      <c r="AY380" s="18" t="n">
        <v>3100000</v>
      </c>
      <c r="AZ380" s="18">
        <f>1000000000-999478066.6827</f>
        <v/>
      </c>
      <c r="BA380" s="20">
        <f>1000000000-AV380-AW380-AX380-AY380-AZ380</f>
        <v/>
      </c>
      <c r="BB380" s="21" t="n">
        <v>243.154254</v>
      </c>
      <c r="BC380" s="21">
        <f>BA380/1000000-BB380</f>
        <v/>
      </c>
      <c r="BD380" s="22">
        <f>BA380*28.03</f>
        <v/>
      </c>
    </row>
    <row r="381">
      <c r="A381" s="10" t="n">
        <v>46003</v>
      </c>
      <c r="B381" s="11" t="n">
        <v>5904037808.298625</v>
      </c>
      <c r="C381" s="11" t="n">
        <v>490804079.0704581</v>
      </c>
      <c r="D381" s="11" t="n">
        <v>155950246</v>
      </c>
      <c r="E381" s="11" t="n"/>
      <c r="F381" s="24" t="n">
        <v>478035.5590270409</v>
      </c>
      <c r="G381" s="24" t="n">
        <v>15789172.80201682</v>
      </c>
      <c r="H381" s="24" t="n">
        <v>0</v>
      </c>
      <c r="I381" s="24" t="n">
        <v>345912504.5096043</v>
      </c>
      <c r="J381" s="24" t="n">
        <v>217771.0103671488</v>
      </c>
      <c r="K381" s="24" t="n">
        <v>128406595.1894427</v>
      </c>
      <c r="L381" s="22">
        <f>SUM(F381:K381)</f>
        <v/>
      </c>
      <c r="M381" s="22">
        <f>Z381/(1-R381)</f>
        <v/>
      </c>
      <c r="N381" s="11" t="n">
        <v>27470.09142500036</v>
      </c>
      <c r="O381" s="11" t="n">
        <v>73899</v>
      </c>
      <c r="P381" s="11" t="n"/>
      <c r="Q381" s="22">
        <f>M381+N381+O381+P381</f>
        <v/>
      </c>
      <c r="R381" s="12" t="n">
        <v>0.01</v>
      </c>
      <c r="S381" s="22">
        <f>M381*R381</f>
        <v/>
      </c>
      <c r="T381" s="22">
        <f>N381*R381</f>
        <v/>
      </c>
      <c r="U381" s="22">
        <f>(O381-V381)*R381</f>
        <v/>
      </c>
      <c r="V381" s="11" t="n">
        <v>14799</v>
      </c>
      <c r="W381" s="11" t="n">
        <v>0</v>
      </c>
      <c r="X381" s="22">
        <f>S381+T381+U381+V381+W381</f>
        <v/>
      </c>
      <c r="Y381" s="11" t="n">
        <v>159088.2066</v>
      </c>
      <c r="Z381" s="22">
        <f>AE381-AB381-AA381-AC381</f>
        <v/>
      </c>
      <c r="AA381" s="22">
        <f>N381-T381-W381</f>
        <v/>
      </c>
      <c r="AB381" s="22">
        <f>O381-V381-U381</f>
        <v/>
      </c>
      <c r="AC381" s="22">
        <f>P381</f>
        <v/>
      </c>
      <c r="AD381" s="23">
        <f>Z381+AA381+AB381+AC381</f>
        <v/>
      </c>
      <c r="AE381" s="11" t="n">
        <v>1718146.17</v>
      </c>
      <c r="AF381" s="24">
        <f>AD381-AE381</f>
        <v/>
      </c>
      <c r="AG381" s="13">
        <f>IF(OR(B381="",B381=0,M381=""),"",M381/B381*10000)</f>
        <v/>
      </c>
      <c r="AH381" s="13">
        <f>IF(OR(C381="",C381=0),"",N381/C381*10000)</f>
        <v/>
      </c>
      <c r="AI381" s="13">
        <f>IF(OR(D381="",D381=0),"",O381/D381*10000)</f>
        <v/>
      </c>
      <c r="AJ381" s="11" t="n">
        <v>25152.25706671428</v>
      </c>
      <c r="AK381" s="11" t="n">
        <v>0</v>
      </c>
      <c r="AL381" s="22">
        <f>AE381+AJ381+AK381</f>
        <v/>
      </c>
      <c r="AM381" s="22">
        <f>AE381</f>
        <v/>
      </c>
      <c r="AN381" s="14" t="n">
        <v>58888.81</v>
      </c>
      <c r="AO381" s="15" t="n">
        <v>29.176106</v>
      </c>
      <c r="AP381" s="14" t="n">
        <v>36931525.93</v>
      </c>
      <c r="AQ381" s="14" t="n">
        <v>18059.735</v>
      </c>
      <c r="AR381" s="14" t="n">
        <v>1445.5575</v>
      </c>
      <c r="AS381" s="14" t="n"/>
      <c r="AT381" s="16" t="n">
        <v>431.048620397282</v>
      </c>
      <c r="AU381" s="17" t="n">
        <v>0.0214792415</v>
      </c>
      <c r="AV381" s="14" t="n">
        <v>418921468.1678</v>
      </c>
      <c r="AW381" s="18" t="n">
        <v>60100000</v>
      </c>
      <c r="AX381" s="19" t="n">
        <v>36931525.93</v>
      </c>
      <c r="AY381" s="18" t="n">
        <v>3100000</v>
      </c>
      <c r="AZ381" s="18">
        <f>1000000000-999476621.1252</f>
        <v/>
      </c>
      <c r="BA381" s="20">
        <f>1000000000-AV381-AW381-AX381-AY381-AZ381</f>
        <v/>
      </c>
      <c r="BB381" s="21" t="n">
        <v>243.154254</v>
      </c>
      <c r="BC381" s="21">
        <f>BA381/1000000-BB381</f>
        <v/>
      </c>
      <c r="BD381" s="22">
        <f>BA381*29.13</f>
        <v/>
      </c>
    </row>
    <row r="382">
      <c r="A382" s="10" t="n">
        <v>46004</v>
      </c>
      <c r="B382" s="11" t="n">
        <v>1445740493.611436</v>
      </c>
      <c r="C382" s="11" t="n">
        <v>46592994.36590919</v>
      </c>
      <c r="D382" s="11" t="n">
        <v>84693666</v>
      </c>
      <c r="E382" s="11" t="n"/>
      <c r="F382" s="24" t="n">
        <v>198167.1384095358</v>
      </c>
      <c r="G382" s="24" t="n">
        <v>8253887.968056658</v>
      </c>
      <c r="H382" s="24" t="n">
        <v>0</v>
      </c>
      <c r="I382" s="24" t="n">
        <v>31828335.31649876</v>
      </c>
      <c r="J382" s="24" t="n">
        <v>182739.3725145936</v>
      </c>
      <c r="K382" s="24" t="n">
        <v>6129864.570429653</v>
      </c>
      <c r="L382" s="22">
        <f>SUM(F382:K382)</f>
        <v/>
      </c>
      <c r="M382" s="22">
        <f>Z382/(1-R382)</f>
        <v/>
      </c>
      <c r="N382" s="11" t="n">
        <v>8142.315577999998</v>
      </c>
      <c r="O382" s="11" t="n">
        <v>47021</v>
      </c>
      <c r="P382" s="11" t="n"/>
      <c r="Q382" s="22">
        <f>M382+N382+O382+P382</f>
        <v/>
      </c>
      <c r="R382" s="12" t="n">
        <v>0.01</v>
      </c>
      <c r="S382" s="22">
        <f>M382*R382</f>
        <v/>
      </c>
      <c r="T382" s="22">
        <f>N382*R382</f>
        <v/>
      </c>
      <c r="U382" s="22">
        <f>(O382-V382)*R382</f>
        <v/>
      </c>
      <c r="V382" s="11" t="n">
        <v>11649</v>
      </c>
      <c r="W382" s="11" t="n">
        <v>0</v>
      </c>
      <c r="X382" s="22">
        <f>S382+T382+U382+V382+W382</f>
        <v/>
      </c>
      <c r="Y382" s="11" t="n">
        <v>67215.93190000001</v>
      </c>
      <c r="Z382" s="22">
        <f>AE382-AB382-AA382-AC382</f>
        <v/>
      </c>
      <c r="AA382" s="22">
        <f>N382-T382-W382</f>
        <v/>
      </c>
      <c r="AB382" s="22">
        <f>O382-V382-U382</f>
        <v/>
      </c>
      <c r="AC382" s="22">
        <f>P382</f>
        <v/>
      </c>
      <c r="AD382" s="23">
        <f>Z382+AA382+AB382+AC382</f>
        <v/>
      </c>
      <c r="AE382" s="11" t="n">
        <v>439809.46</v>
      </c>
      <c r="AF382" s="24">
        <f>AD382-AE382</f>
        <v/>
      </c>
      <c r="AG382" s="13">
        <f>IF(OR(B382="",B382=0,M382=""),"",M382/B382*10000)</f>
        <v/>
      </c>
      <c r="AH382" s="13">
        <f>IF(OR(C382="",C382=0),"",N382/C382*10000)</f>
        <v/>
      </c>
      <c r="AI382" s="13">
        <f>IF(OR(D382="",D382=0),"",O382/D382*10000)</f>
        <v/>
      </c>
      <c r="AJ382" s="11" t="n">
        <v>12208.76308990984</v>
      </c>
      <c r="AK382" s="11" t="n">
        <v>0</v>
      </c>
      <c r="AL382" s="22">
        <f>AE382+AJ382+AK382</f>
        <v/>
      </c>
      <c r="AM382" s="22">
        <f>AE382</f>
        <v/>
      </c>
      <c r="AN382" s="14" t="n">
        <v>15306.92</v>
      </c>
      <c r="AO382" s="15" t="n">
        <v>28.732721</v>
      </c>
      <c r="AP382" s="14" t="n">
        <v>36946205.26</v>
      </c>
      <c r="AQ382" s="14" t="n">
        <v>26452.1468</v>
      </c>
      <c r="AR382" s="14" t="n">
        <v>480.8023</v>
      </c>
      <c r="AS382" s="14" t="n"/>
      <c r="AT382" s="16" t="n">
        <v>431.2246396194931</v>
      </c>
      <c r="AU382" s="17" t="n">
        <v>0.0214749079</v>
      </c>
      <c r="AV382" s="14" t="n">
        <v>418895016.021</v>
      </c>
      <c r="AW382" s="18" t="n">
        <v>60100000</v>
      </c>
      <c r="AX382" s="19" t="n">
        <v>36946205.26</v>
      </c>
      <c r="AY382" s="18" t="n">
        <v>3100000</v>
      </c>
      <c r="AZ382" s="18">
        <f>1000000000-999476140.3229</f>
        <v/>
      </c>
      <c r="BA382" s="20">
        <f>1000000000-AV382-AW382-AX382-AY382-AZ382</f>
        <v/>
      </c>
      <c r="BB382" s="21" t="n">
        <v>243.154254</v>
      </c>
      <c r="BC382" s="21">
        <f>BA382/1000000-BB382</f>
        <v/>
      </c>
      <c r="BD382" s="22">
        <f>BA382*28.74</f>
        <v/>
      </c>
    </row>
    <row r="383">
      <c r="A383" s="10" t="n">
        <v>46005</v>
      </c>
      <c r="B383" s="11" t="n">
        <v>3151401909.988577</v>
      </c>
      <c r="C383" s="11" t="n">
        <v>143395667.8294643</v>
      </c>
      <c r="D383" s="11" t="n">
        <v>140402699</v>
      </c>
      <c r="E383" s="11" t="n"/>
      <c r="F383" s="24" t="n">
        <v>150835.0862013379</v>
      </c>
      <c r="G383" s="24" t="n">
        <v>13335215.33567094</v>
      </c>
      <c r="H383" s="24" t="n">
        <v>0</v>
      </c>
      <c r="I383" s="24" t="n">
        <v>117383458.6871093</v>
      </c>
      <c r="J383" s="24" t="n">
        <v>739568.3944161917</v>
      </c>
      <c r="K383" s="24" t="n">
        <v>11786590.32606653</v>
      </c>
      <c r="L383" s="22">
        <f>SUM(F383:K383)</f>
        <v/>
      </c>
      <c r="M383" s="22">
        <f>Z383/(1-R383)</f>
        <v/>
      </c>
      <c r="N383" s="11" t="n">
        <v>13467.53964199995</v>
      </c>
      <c r="O383" s="11" t="n">
        <v>83666</v>
      </c>
      <c r="P383" s="11" t="n"/>
      <c r="Q383" s="22">
        <f>M383+N383+O383+P383</f>
        <v/>
      </c>
      <c r="R383" s="12" t="n">
        <v>0.01</v>
      </c>
      <c r="S383" s="22">
        <f>M383*R383</f>
        <v/>
      </c>
      <c r="T383" s="22">
        <f>N383*R383</f>
        <v/>
      </c>
      <c r="U383" s="22">
        <f>(O383-V383)*R383</f>
        <v/>
      </c>
      <c r="V383" s="11" t="n">
        <v>19225</v>
      </c>
      <c r="W383" s="11" t="n">
        <v>0</v>
      </c>
      <c r="X383" s="22">
        <f>S383+T383+U383+V383+W383</f>
        <v/>
      </c>
      <c r="Y383" s="11" t="n">
        <v>135858.9849</v>
      </c>
      <c r="Z383" s="22">
        <f>AE383-AB383-AA383-AC383</f>
        <v/>
      </c>
      <c r="AA383" s="22">
        <f>N383-T383-W383</f>
        <v/>
      </c>
      <c r="AB383" s="22">
        <f>O383-V383-U383</f>
        <v/>
      </c>
      <c r="AC383" s="22">
        <f>P383</f>
        <v/>
      </c>
      <c r="AD383" s="23">
        <f>Z383+AA383+AB383+AC383</f>
        <v/>
      </c>
      <c r="AE383" s="11" t="n">
        <v>952893.99</v>
      </c>
      <c r="AF383" s="24">
        <f>AD383-AE383</f>
        <v/>
      </c>
      <c r="AG383" s="13">
        <f>IF(OR(B383="",B383=0,M383=""),"",M383/B383*10000)</f>
        <v/>
      </c>
      <c r="AH383" s="13">
        <f>IF(OR(C383="",C383=0),"",N383/C383*10000)</f>
        <v/>
      </c>
      <c r="AI383" s="13">
        <f>IF(OR(D383="",D383=0),"",O383/D383*10000)</f>
        <v/>
      </c>
      <c r="AJ383" s="11" t="n">
        <v>17200.14176166897</v>
      </c>
      <c r="AK383" s="11" t="n">
        <v>0</v>
      </c>
      <c r="AL383" s="22">
        <f>AE383+AJ383+AK383</f>
        <v/>
      </c>
      <c r="AM383" s="22">
        <f>AE383</f>
        <v/>
      </c>
      <c r="AN383" s="14" t="n">
        <v>32806.2</v>
      </c>
      <c r="AO383" s="15" t="n">
        <v>29.046156</v>
      </c>
      <c r="AP383" s="14" t="n">
        <v>36980133.74</v>
      </c>
      <c r="AQ383" s="14" t="n">
        <v>26457.3222</v>
      </c>
      <c r="AR383" s="14" t="n">
        <v>1187.8446</v>
      </c>
      <c r="AS383" s="14" t="n"/>
      <c r="AT383" s="16" t="n">
        <v>431.1772955906875</v>
      </c>
      <c r="AU383" s="17" t="n">
        <v>0.0214760733</v>
      </c>
      <c r="AV383" s="14" t="n">
        <v>418868558.6989</v>
      </c>
      <c r="AW383" s="18" t="n">
        <v>60100000</v>
      </c>
      <c r="AX383" s="19" t="n">
        <v>36980133.74</v>
      </c>
      <c r="AY383" s="18" t="n">
        <v>3100000</v>
      </c>
      <c r="AZ383" s="18">
        <f>1000000000-999474952.4783</f>
        <v/>
      </c>
      <c r="BA383" s="20">
        <f>1000000000-AV383-AW383-AX383-AY383-AZ383</f>
        <v/>
      </c>
      <c r="BB383" s="21" t="n">
        <v>243.154254</v>
      </c>
      <c r="BC383" s="21">
        <f>BA383/1000000-BB383</f>
        <v/>
      </c>
      <c r="BD383" s="22">
        <f>BA383*29.82</f>
        <v/>
      </c>
    </row>
    <row r="384">
      <c r="A384" s="10" t="n">
        <v>46006</v>
      </c>
      <c r="B384" s="11" t="n">
        <v>7490388120.771229</v>
      </c>
      <c r="C384" s="11" t="n">
        <v>341771879.0681071</v>
      </c>
      <c r="D384" s="11" t="n">
        <v>166090941</v>
      </c>
      <c r="E384" s="11" t="n"/>
      <c r="F384" s="24" t="n">
        <v>891340.09142124</v>
      </c>
      <c r="G384" s="24" t="n">
        <v>17749590.41449013</v>
      </c>
      <c r="H384" s="24" t="n">
        <v>0</v>
      </c>
      <c r="I384" s="24" t="n">
        <v>227125050.0871284</v>
      </c>
      <c r="J384" s="24" t="n">
        <v>330000.3668522013</v>
      </c>
      <c r="K384" s="24" t="n">
        <v>95675898.10821511</v>
      </c>
      <c r="L384" s="22">
        <f>SUM(F384:K384)</f>
        <v/>
      </c>
      <c r="M384" s="22">
        <f>Z384/(1-R384)</f>
        <v/>
      </c>
      <c r="N384" s="11" t="n">
        <v>21787.74073299905</v>
      </c>
      <c r="O384" s="11" t="n">
        <v>85315</v>
      </c>
      <c r="P384" s="11" t="n"/>
      <c r="Q384" s="22">
        <f>M384+N384+O384+P384</f>
        <v/>
      </c>
      <c r="R384" s="12" t="n">
        <v>0.01</v>
      </c>
      <c r="S384" s="22">
        <f>M384*R384</f>
        <v/>
      </c>
      <c r="T384" s="22">
        <f>N384*R384</f>
        <v/>
      </c>
      <c r="U384" s="22">
        <f>(O384-V384)*R384</f>
        <v/>
      </c>
      <c r="V384" s="11" t="n">
        <v>19266</v>
      </c>
      <c r="W384" s="11" t="n">
        <v>0</v>
      </c>
      <c r="X384" s="22">
        <f>S384+T384+U384+V384+W384</f>
        <v/>
      </c>
      <c r="Y384" s="11" t="n">
        <v>203199.476</v>
      </c>
      <c r="Z384" s="22">
        <f>AE384-AB384-AA384-AC384</f>
        <v/>
      </c>
      <c r="AA384" s="22">
        <f>N384-T384-W384</f>
        <v/>
      </c>
      <c r="AB384" s="22">
        <f>O384-V384-U384</f>
        <v/>
      </c>
      <c r="AC384" s="22">
        <f>P384</f>
        <v/>
      </c>
      <c r="AD384" s="23">
        <f>Z384+AA384+AB384+AC384</f>
        <v/>
      </c>
      <c r="AE384" s="11" t="n">
        <v>2085901.23</v>
      </c>
      <c r="AF384" s="24">
        <f>AD384-AE384</f>
        <v/>
      </c>
      <c r="AG384" s="13">
        <f>IF(OR(B384="",B384=0,M384=""),"",M384/B384*10000)</f>
        <v/>
      </c>
      <c r="AH384" s="13">
        <f>IF(OR(C384="",C384=0),"",N384/C384*10000)</f>
        <v/>
      </c>
      <c r="AI384" s="13">
        <f>IF(OR(D384="",D384=0),"",O384/D384*10000)</f>
        <v/>
      </c>
      <c r="AJ384" s="11" t="n">
        <v>24348.3131492928</v>
      </c>
      <c r="AK384" s="11" t="n">
        <v>0</v>
      </c>
      <c r="AL384" s="22">
        <f>AE384+AJ384+AK384</f>
        <v/>
      </c>
      <c r="AM384" s="22">
        <f>AE384</f>
        <v/>
      </c>
      <c r="AN384" s="14" t="n">
        <v>73873.39</v>
      </c>
      <c r="AO384" s="15" t="n">
        <v>28.236165</v>
      </c>
      <c r="AP384" s="14" t="n">
        <v>37054037.49</v>
      </c>
      <c r="AQ384" s="14" t="n">
        <v>26379.9452</v>
      </c>
      <c r="AR384" s="14" t="n">
        <v>1342.3667</v>
      </c>
      <c r="AS384" s="14" t="n"/>
      <c r="AT384" s="16" t="n">
        <v>431.2121131411208</v>
      </c>
      <c r="AU384" s="17" t="n">
        <v>0.0214752163</v>
      </c>
      <c r="AV384" s="14" t="n">
        <v>418842178.7536</v>
      </c>
      <c r="AW384" s="18" t="n">
        <v>60100000</v>
      </c>
      <c r="AX384" s="19" t="n">
        <v>37054037.49</v>
      </c>
      <c r="AY384" s="18" t="n">
        <v>3100000</v>
      </c>
      <c r="AZ384" s="18">
        <f>1000000000-999473610.1116</f>
        <v/>
      </c>
      <c r="BA384" s="20">
        <f>1000000000-AV384-AW384-AX384-AY384-AZ384</f>
        <v/>
      </c>
      <c r="BB384" s="21" t="n">
        <v>243.154254</v>
      </c>
      <c r="BC384" s="21">
        <f>BA384/1000000-BB384</f>
        <v/>
      </c>
      <c r="BD384" s="22">
        <f>BA384*29.04</f>
        <v/>
      </c>
    </row>
    <row r="385">
      <c r="A385" s="10" t="n">
        <v>46007</v>
      </c>
      <c r="B385" s="11" t="n">
        <v>5153103392.557629</v>
      </c>
      <c r="C385" s="11" t="n">
        <v>376443433.0603856</v>
      </c>
      <c r="D385" s="11" t="n">
        <v>203429370</v>
      </c>
      <c r="E385" s="11" t="n"/>
      <c r="F385" s="24" t="n">
        <v>1466393.869365883</v>
      </c>
      <c r="G385" s="24" t="n">
        <v>14420898.10468183</v>
      </c>
      <c r="H385" s="24" t="n">
        <v>0</v>
      </c>
      <c r="I385" s="24" t="n">
        <v>249671197.5712462</v>
      </c>
      <c r="J385" s="24" t="n">
        <v>136742.9354555831</v>
      </c>
      <c r="K385" s="24" t="n">
        <v>110748200.5796361</v>
      </c>
      <c r="L385" s="22">
        <f>SUM(F385:K385)</f>
        <v/>
      </c>
      <c r="M385" s="22">
        <f>Z385/(1-R385)</f>
        <v/>
      </c>
      <c r="N385" s="11" t="n">
        <v>26099.69643199896</v>
      </c>
      <c r="O385" s="11" t="n">
        <v>106340</v>
      </c>
      <c r="P385" s="11" t="n"/>
      <c r="Q385" s="22">
        <f>M385+N385+O385+P385</f>
        <v/>
      </c>
      <c r="R385" s="12" t="n">
        <v>0.01</v>
      </c>
      <c r="S385" s="22">
        <f>M385*R385</f>
        <v/>
      </c>
      <c r="T385" s="22">
        <f>N385*R385</f>
        <v/>
      </c>
      <c r="U385" s="22">
        <f>(O385-V385)*R385</f>
        <v/>
      </c>
      <c r="V385" s="11" t="n">
        <v>27330</v>
      </c>
      <c r="W385" s="11" t="n">
        <v>0</v>
      </c>
      <c r="X385" s="22">
        <f>S385+T385+U385+V385+W385</f>
        <v/>
      </c>
      <c r="Y385" s="11" t="n">
        <v>169103.1054</v>
      </c>
      <c r="Z385" s="22">
        <f>AE385-AB385-AA385-AC385</f>
        <v/>
      </c>
      <c r="AA385" s="22">
        <f>N385-T385-W385</f>
        <v/>
      </c>
      <c r="AB385" s="22">
        <f>O385-V385-U385</f>
        <v/>
      </c>
      <c r="AC385" s="22">
        <f>P385</f>
        <v/>
      </c>
      <c r="AD385" s="23">
        <f>Z385+AA385+AB385+AC385</f>
        <v/>
      </c>
      <c r="AE385" s="11" t="n">
        <v>1517389.42</v>
      </c>
      <c r="AF385" s="24">
        <f>AD385-AE385</f>
        <v/>
      </c>
      <c r="AG385" s="13">
        <f>IF(OR(B385="",B385=0,M385=""),"",M385/B385*10000)</f>
        <v/>
      </c>
      <c r="AH385" s="13">
        <f>IF(OR(C385="",C385=0),"",N385/C385*10000)</f>
        <v/>
      </c>
      <c r="AI385" s="13">
        <f>IF(OR(D385="",D385=0),"",O385/D385*10000)</f>
        <v/>
      </c>
      <c r="AJ385" s="11" t="n">
        <v>21083.93819740885</v>
      </c>
      <c r="AK385" s="11" t="n">
        <v>0</v>
      </c>
      <c r="AL385" s="22">
        <f>AE385+AJ385+AK385</f>
        <v/>
      </c>
      <c r="AM385" s="22">
        <f>AE385</f>
        <v/>
      </c>
      <c r="AN385" s="14" t="n">
        <v>56352.5</v>
      </c>
      <c r="AO385" s="15" t="n">
        <v>26.926745</v>
      </c>
      <c r="AP385" s="14" t="n">
        <v>37110589.78</v>
      </c>
      <c r="AQ385" s="14" t="n">
        <v>26460.0854</v>
      </c>
      <c r="AR385" s="14" t="n">
        <v>1653.3904</v>
      </c>
      <c r="AS385" s="14" t="n"/>
      <c r="AT385" s="16" t="n">
        <v>431.091367182632</v>
      </c>
      <c r="AU385" s="17" t="n">
        <v>0.0214781888</v>
      </c>
      <c r="AV385" s="14" t="n">
        <v>418815718.6682</v>
      </c>
      <c r="AW385" s="18" t="n">
        <v>60100000</v>
      </c>
      <c r="AX385" s="19" t="n">
        <v>37110589.78</v>
      </c>
      <c r="AY385" s="18" t="n">
        <v>3100000</v>
      </c>
      <c r="AZ385" s="18">
        <f>1000000000-999471956.7212</f>
        <v/>
      </c>
      <c r="BA385" s="20">
        <f>1000000000-AV385-AW385-AX385-AY385-AZ385</f>
        <v/>
      </c>
      <c r="BB385" s="21" t="n">
        <v>243.154254</v>
      </c>
      <c r="BC385" s="21">
        <f>BA385/1000000-BB385</f>
        <v/>
      </c>
      <c r="BD385" s="22">
        <f>BA385*27.49</f>
        <v/>
      </c>
    </row>
    <row r="386">
      <c r="A386" s="10" t="n">
        <v>46008</v>
      </c>
      <c r="B386" s="11" t="n">
        <v>7766844771.339275</v>
      </c>
      <c r="C386" s="11" t="n">
        <v>377056298.5649707</v>
      </c>
      <c r="D386" s="11" t="n">
        <v>274131324</v>
      </c>
      <c r="E386" s="11" t="n"/>
      <c r="F386" s="24" t="n">
        <v>1765903.518060749</v>
      </c>
      <c r="G386" s="24" t="n">
        <v>19053990.71336827</v>
      </c>
      <c r="H386" s="24" t="n">
        <v>0</v>
      </c>
      <c r="I386" s="24" t="n">
        <v>214222935.1608718</v>
      </c>
      <c r="J386" s="24" t="n">
        <v>262064.0403425172</v>
      </c>
      <c r="K386" s="24" t="n">
        <v>141751405.1323274</v>
      </c>
      <c r="L386" s="22">
        <f>SUM(F386:K386)</f>
        <v/>
      </c>
      <c r="M386" s="22">
        <f>Z386/(1-R386)</f>
        <v/>
      </c>
      <c r="N386" s="11" t="n">
        <v>27456.21921500083</v>
      </c>
      <c r="O386" s="11" t="n">
        <v>152482</v>
      </c>
      <c r="P386" s="11" t="n"/>
      <c r="Q386" s="22">
        <f>M386+N386+O386+P386</f>
        <v/>
      </c>
      <c r="R386" s="12" t="n">
        <v>0.01</v>
      </c>
      <c r="S386" s="22">
        <f>M386*R386</f>
        <v/>
      </c>
      <c r="T386" s="22">
        <f>N386*R386</f>
        <v/>
      </c>
      <c r="U386" s="22">
        <f>(O386-V386)*R386</f>
        <v/>
      </c>
      <c r="V386" s="11" t="n">
        <v>22249</v>
      </c>
      <c r="W386" s="11" t="n">
        <v>0</v>
      </c>
      <c r="X386" s="22">
        <f>S386+T386+U386+V386+W386</f>
        <v/>
      </c>
      <c r="Y386" s="11" t="n">
        <v>229048.7411</v>
      </c>
      <c r="Z386" s="22">
        <f>AE386-AB386-AA386-AC386</f>
        <v/>
      </c>
      <c r="AA386" s="22">
        <f>N386-T386-W386</f>
        <v/>
      </c>
      <c r="AB386" s="22">
        <f>O386-V386-U386</f>
        <v/>
      </c>
      <c r="AC386" s="22">
        <f>P386</f>
        <v/>
      </c>
      <c r="AD386" s="23">
        <f>Z386+AA386+AB386+AC386</f>
        <v/>
      </c>
      <c r="AE386" s="11" t="n">
        <v>2218531.25</v>
      </c>
      <c r="AF386" s="24">
        <f>AD386-AE386</f>
        <v/>
      </c>
      <c r="AG386" s="13">
        <f>IF(OR(B386="",B386=0,M386=""),"",M386/B386*10000)</f>
        <v/>
      </c>
      <c r="AH386" s="13">
        <f>IF(OR(C386="",C386=0),"",N386/C386*10000)</f>
        <v/>
      </c>
      <c r="AI386" s="13">
        <f>IF(OR(D386="",D386=0),"",O386/D386*10000)</f>
        <v/>
      </c>
      <c r="AJ386" s="11" t="n">
        <v>50748.68770302065</v>
      </c>
      <c r="AK386" s="11" t="n">
        <v>13379</v>
      </c>
      <c r="AL386" s="22">
        <f>AE386+AJ386+AK386</f>
        <v/>
      </c>
      <c r="AM386" s="22">
        <f>AE386</f>
        <v/>
      </c>
      <c r="AN386" s="14" t="n">
        <v>84365.17</v>
      </c>
      <c r="AO386" s="15" t="n">
        <v>26.296767</v>
      </c>
      <c r="AP386" s="14" t="n">
        <v>37194424.76</v>
      </c>
      <c r="AQ386" s="14" t="n">
        <v>26428.4254</v>
      </c>
      <c r="AR386" s="14" t="n">
        <v>1593.7829</v>
      </c>
      <c r="AS386" s="14" t="n"/>
      <c r="AT386" s="16" t="n">
        <v>431.7032016494678</v>
      </c>
      <c r="AU386" s="17" t="n">
        <v>0.0214631392</v>
      </c>
      <c r="AV386" s="14" t="n">
        <v>418789290.2429</v>
      </c>
      <c r="AW386" s="18" t="n">
        <v>60100000</v>
      </c>
      <c r="AX386" s="19" t="n">
        <v>37194424.76</v>
      </c>
      <c r="AY386" s="18" t="n">
        <v>3100000</v>
      </c>
      <c r="AZ386" s="18">
        <f>1000000000-999470362.9383</f>
        <v/>
      </c>
      <c r="BA386" s="20">
        <f>1000000000-AV386-AW386-AX386-AY386-AZ386</f>
        <v/>
      </c>
      <c r="BB386" s="21" t="n">
        <v>243.154254</v>
      </c>
      <c r="BC386" s="21">
        <f>BA386/1000000-BB386</f>
        <v/>
      </c>
      <c r="BD386" s="22">
        <f>BA386*26.45</f>
        <v/>
      </c>
    </row>
    <row r="387">
      <c r="A387" s="10" t="n">
        <v>46009</v>
      </c>
      <c r="B387" s="11" t="n">
        <v>8253860207.573711</v>
      </c>
      <c r="C387" s="11" t="n">
        <v>381839682.0012798</v>
      </c>
      <c r="D387" s="11" t="n">
        <v>287211113</v>
      </c>
      <c r="E387" s="11" t="n"/>
      <c r="F387" s="24" t="n">
        <v>5658403.572675024</v>
      </c>
      <c r="G387" s="24" t="n">
        <v>16626872.49139725</v>
      </c>
      <c r="H387" s="24" t="n">
        <v>0</v>
      </c>
      <c r="I387" s="24" t="n">
        <v>238589111.7529455</v>
      </c>
      <c r="J387" s="24" t="n">
        <v>252106.034413624</v>
      </c>
      <c r="K387" s="24" t="n">
        <v>120713188.1498484</v>
      </c>
      <c r="L387" s="22">
        <f>SUM(F387:K387)</f>
        <v/>
      </c>
      <c r="M387" s="22">
        <f>Z387/(1-R387)</f>
        <v/>
      </c>
      <c r="N387" s="11" t="n">
        <v>34731.34403099965</v>
      </c>
      <c r="O387" s="11" t="n">
        <v>150815</v>
      </c>
      <c r="P387" s="11" t="n"/>
      <c r="Q387" s="22">
        <f>M387+N387+O387+P387</f>
        <v/>
      </c>
      <c r="R387" s="12" t="n">
        <v>0.01</v>
      </c>
      <c r="S387" s="22">
        <f>M387*R387</f>
        <v/>
      </c>
      <c r="T387" s="22">
        <f>N387*R387</f>
        <v/>
      </c>
      <c r="U387" s="22">
        <f>(O387-V387)*R387</f>
        <v/>
      </c>
      <c r="V387" s="11" t="n">
        <v>32200</v>
      </c>
      <c r="W387" s="11" t="n">
        <v>0</v>
      </c>
      <c r="X387" s="22">
        <f>S387+T387+U387+V387+W387</f>
        <v/>
      </c>
      <c r="Y387" s="11" t="n">
        <v>234498.5361</v>
      </c>
      <c r="Z387" s="22">
        <f>AE387-AB387-AA387-AC387</f>
        <v/>
      </c>
      <c r="AA387" s="22">
        <f>N387-T387-W387</f>
        <v/>
      </c>
      <c r="AB387" s="22">
        <f>O387-V387-U387</f>
        <v/>
      </c>
      <c r="AC387" s="22">
        <f>P387</f>
        <v/>
      </c>
      <c r="AD387" s="23">
        <f>Z387+AA387+AB387+AC387</f>
        <v/>
      </c>
      <c r="AE387" s="11" t="n">
        <v>2410570.41</v>
      </c>
      <c r="AF387" s="24">
        <f>AD387-AE387</f>
        <v/>
      </c>
      <c r="AG387" s="13">
        <f>IF(OR(B387="",B387=0,M387=""),"",M387/B387*10000)</f>
        <v/>
      </c>
      <c r="AH387" s="13">
        <f>IF(OR(C387="",C387=0),"",N387/C387*10000)</f>
        <v/>
      </c>
      <c r="AI387" s="13">
        <f>IF(OR(D387="",D387=0),"",O387/D387*10000)</f>
        <v/>
      </c>
      <c r="AJ387" s="11" t="n">
        <v>46706.36835189165</v>
      </c>
      <c r="AK387" s="11" t="n">
        <v>0</v>
      </c>
      <c r="AL387" s="22">
        <f>AE387+AJ387+AK387</f>
        <v/>
      </c>
      <c r="AM387" s="22">
        <f>AE387</f>
        <v/>
      </c>
      <c r="AN387" s="14" t="n">
        <v>100632.9</v>
      </c>
      <c r="AO387" s="15" t="n">
        <v>23.954099</v>
      </c>
      <c r="AP387" s="14" t="n">
        <v>37295349.99</v>
      </c>
      <c r="AQ387" s="14" t="n">
        <v>26437.1583</v>
      </c>
      <c r="AR387" s="14" t="n">
        <v>2179.0652</v>
      </c>
      <c r="AS387" s="14" t="n"/>
      <c r="AT387" s="16" t="n">
        <v>433.3603724425507</v>
      </c>
      <c r="AU387" s="17" t="n">
        <v>0.0214225357</v>
      </c>
      <c r="AV387" s="14" t="n">
        <v>418762853.0846</v>
      </c>
      <c r="AW387" s="18" t="n">
        <v>60100000</v>
      </c>
      <c r="AX387" s="19" t="n">
        <v>37295349.99</v>
      </c>
      <c r="AY387" s="18" t="n">
        <v>3100000</v>
      </c>
      <c r="AZ387" s="18">
        <f>1000000000-999468183.8731</f>
        <v/>
      </c>
      <c r="BA387" s="20">
        <f>1000000000-AV387-AW387-AX387-AY387-AZ387</f>
        <v/>
      </c>
      <c r="BB387" s="21" t="n">
        <v>243.154254</v>
      </c>
      <c r="BC387" s="21">
        <f>BA387/1000000-BB387</f>
        <v/>
      </c>
      <c r="BD387" s="22">
        <f>BA387*24.56</f>
        <v/>
      </c>
    </row>
    <row r="388">
      <c r="A388" s="10" t="n">
        <v>46010</v>
      </c>
      <c r="B388" s="11" t="n">
        <v>7052190658.097285</v>
      </c>
      <c r="C388" s="11" t="n">
        <v>280798257.8837378</v>
      </c>
      <c r="D388" s="11" t="n">
        <v>169419268</v>
      </c>
      <c r="E388" s="11" t="n"/>
      <c r="F388" s="24" t="n">
        <v>5518231.433002154</v>
      </c>
      <c r="G388" s="24" t="n">
        <v>12304764.99919453</v>
      </c>
      <c r="H388" s="24" t="n">
        <v>0</v>
      </c>
      <c r="I388" s="24" t="n">
        <v>172763635.7320044</v>
      </c>
      <c r="J388" s="24" t="n">
        <v>267016.9096485988</v>
      </c>
      <c r="K388" s="24" t="n">
        <v>89944608.80988811</v>
      </c>
      <c r="L388" s="22">
        <f>SUM(F388:K388)</f>
        <v/>
      </c>
      <c r="M388" s="22">
        <f>Z388/(1-R388)</f>
        <v/>
      </c>
      <c r="N388" s="11" t="n">
        <v>32370.93116799969</v>
      </c>
      <c r="O388" s="11" t="n">
        <v>85819</v>
      </c>
      <c r="P388" s="11" t="n"/>
      <c r="Q388" s="22">
        <f>M388+N388+O388+P388</f>
        <v/>
      </c>
      <c r="R388" s="12" t="n">
        <v>0.01</v>
      </c>
      <c r="S388" s="22">
        <f>M388*R388</f>
        <v/>
      </c>
      <c r="T388" s="22">
        <f>N388*R388</f>
        <v/>
      </c>
      <c r="U388" s="22">
        <f>(O388-V388)*R388</f>
        <v/>
      </c>
      <c r="V388" s="11" t="n">
        <v>22672</v>
      </c>
      <c r="W388" s="11" t="n">
        <v>0</v>
      </c>
      <c r="X388" s="22">
        <f>S388+T388+U388+V388+W388</f>
        <v/>
      </c>
      <c r="Y388" s="11" t="n">
        <v>202550.5723</v>
      </c>
      <c r="Z388" s="22">
        <f>AE388-AB388-AA388-AC388</f>
        <v/>
      </c>
      <c r="AA388" s="22">
        <f>N388-T388-W388</f>
        <v/>
      </c>
      <c r="AB388" s="22">
        <f>O388-V388-U388</f>
        <v/>
      </c>
      <c r="AC388" s="22">
        <f>P388</f>
        <v/>
      </c>
      <c r="AD388" s="23">
        <f>Z388+AA388+AB388+AC388</f>
        <v/>
      </c>
      <c r="AE388" s="11" t="n">
        <v>1974369.74</v>
      </c>
      <c r="AF388" s="24">
        <f>AD388-AE388</f>
        <v/>
      </c>
      <c r="AG388" s="13">
        <f>IF(OR(B388="",B388=0,M388=""),"",M388/B388*10000)</f>
        <v/>
      </c>
      <c r="AH388" s="13">
        <f>IF(OR(C388="",C388=0),"",N388/C388*10000)</f>
        <v/>
      </c>
      <c r="AI388" s="13">
        <f>IF(OR(D388="",D388=0),"",O388/D388*10000)</f>
        <v/>
      </c>
      <c r="AJ388" s="11" t="n">
        <v>17739.36918162803</v>
      </c>
      <c r="AK388" s="11" t="n">
        <v>0</v>
      </c>
      <c r="AL388" s="22">
        <f>AE388+AJ388+AK388</f>
        <v/>
      </c>
      <c r="AM388" s="22">
        <f>AE388</f>
        <v/>
      </c>
      <c r="AN388" s="14" t="n">
        <v>82489.64999999999</v>
      </c>
      <c r="AO388" s="15" t="n">
        <v>23.934757</v>
      </c>
      <c r="AP388" s="14" t="n">
        <v>37378176.69</v>
      </c>
      <c r="AQ388" s="14" t="n">
        <v>26418.9396</v>
      </c>
      <c r="AR388" s="14" t="n">
        <v>2138.5104</v>
      </c>
      <c r="AS388" s="14" t="n"/>
      <c r="AT388" s="16" t="n">
        <v>433.8697908615033</v>
      </c>
      <c r="AU388" s="17" t="n">
        <v>0.0214101005</v>
      </c>
      <c r="AV388" s="14" t="n">
        <v>418736434.145</v>
      </c>
      <c r="AW388" s="18" t="n">
        <v>60100000</v>
      </c>
      <c r="AX388" s="19" t="n">
        <v>37378176.69</v>
      </c>
      <c r="AY388" s="18" t="n">
        <v>3100000</v>
      </c>
      <c r="AZ388" s="18">
        <f>1000000000-999466045.3627</f>
        <v/>
      </c>
      <c r="BA388" s="20">
        <f>1000000000-AV388-AW388-AX388-AY388-AZ388</f>
        <v/>
      </c>
      <c r="BB388" s="21" t="n">
        <v>243.154254</v>
      </c>
      <c r="BC388" s="21">
        <f>BA388/1000000-BB388</f>
        <v/>
      </c>
      <c r="BD388" s="22">
        <f>BA388*22.42</f>
        <v/>
      </c>
    </row>
    <row r="389">
      <c r="A389" s="10" t="n">
        <v>46011</v>
      </c>
      <c r="B389" s="11" t="n">
        <v>1594976960.496316</v>
      </c>
      <c r="C389" s="11" t="n">
        <v>63473225.12425766</v>
      </c>
      <c r="D389" s="11" t="n">
        <v>77143877</v>
      </c>
      <c r="E389" s="11" t="n"/>
      <c r="F389" s="24" t="n">
        <v>336846.4261034786</v>
      </c>
      <c r="G389" s="24" t="n">
        <v>15857645.75544097</v>
      </c>
      <c r="H389" s="24" t="n">
        <v>0</v>
      </c>
      <c r="I389" s="24" t="n">
        <v>33720675.50384926</v>
      </c>
      <c r="J389" s="24" t="n">
        <v>1448142.388028098</v>
      </c>
      <c r="K389" s="24" t="n">
        <v>12109915.05083585</v>
      </c>
      <c r="L389" s="22">
        <f>SUM(F389:K389)</f>
        <v/>
      </c>
      <c r="M389" s="22">
        <f>Z389/(1-R389)</f>
        <v/>
      </c>
      <c r="N389" s="11" t="n">
        <v>13103.37636899998</v>
      </c>
      <c r="O389" s="11" t="n">
        <v>55827</v>
      </c>
      <c r="P389" s="11" t="n"/>
      <c r="Q389" s="22">
        <f>M389+N389+O389+P389</f>
        <v/>
      </c>
      <c r="R389" s="12" t="n">
        <v>0.01</v>
      </c>
      <c r="S389" s="22">
        <f>M389*R389</f>
        <v/>
      </c>
      <c r="T389" s="22">
        <f>N389*R389</f>
        <v/>
      </c>
      <c r="U389" s="22">
        <f>(O389-V389)*R389</f>
        <v/>
      </c>
      <c r="V389" s="11" t="n">
        <v>13321</v>
      </c>
      <c r="W389" s="11" t="n">
        <v>0</v>
      </c>
      <c r="X389" s="22">
        <f>S389+T389+U389+V389+W389</f>
        <v/>
      </c>
      <c r="Y389" s="11" t="n">
        <v>76049.83290000001</v>
      </c>
      <c r="Z389" s="22">
        <f>AE389-AB389-AA389-AC389</f>
        <v/>
      </c>
      <c r="AA389" s="22">
        <f>N389-T389-W389</f>
        <v/>
      </c>
      <c r="AB389" s="22">
        <f>O389-V389-U389</f>
        <v/>
      </c>
      <c r="AC389" s="22">
        <f>P389</f>
        <v/>
      </c>
      <c r="AD389" s="23">
        <f>Z389+AA389+AB389+AC389</f>
        <v/>
      </c>
      <c r="AE389" s="11" t="n">
        <v>498643.46</v>
      </c>
      <c r="AF389" s="24">
        <f>AD389-AE389</f>
        <v/>
      </c>
      <c r="AG389" s="13">
        <f>IF(OR(B389="",B389=0,M389=""),"",M389/B389*10000)</f>
        <v/>
      </c>
      <c r="AH389" s="13">
        <f>IF(OR(C389="",C389=0),"",N389/C389*10000)</f>
        <v/>
      </c>
      <c r="AI389" s="13">
        <f>IF(OR(D389="",D389=0),"",O389/D389*10000)</f>
        <v/>
      </c>
      <c r="AJ389" s="11" t="n">
        <v>9913.665501002995</v>
      </c>
      <c r="AK389" s="11" t="n">
        <v>0</v>
      </c>
      <c r="AL389" s="22">
        <f>AE389+AJ389+AK389</f>
        <v/>
      </c>
      <c r="AM389" s="22">
        <f>AE389</f>
        <v/>
      </c>
      <c r="AN389" s="14" t="n">
        <v>20165.54</v>
      </c>
      <c r="AO389" s="15" t="n">
        <v>24.727503</v>
      </c>
      <c r="AP389" s="14" t="n">
        <v>37397363.99255512</v>
      </c>
      <c r="AQ389" s="14" t="n">
        <v>26487.66</v>
      </c>
      <c r="AR389" s="14" t="n">
        <v>1719.494</v>
      </c>
      <c r="AS389" s="14" t="n"/>
      <c r="AT389" s="16" t="n">
        <v>433.3818294790907</v>
      </c>
      <c r="AU389" s="17" t="n">
        <v>0.0214220115</v>
      </c>
      <c r="AV389" s="14" t="n">
        <v>418709946.485</v>
      </c>
      <c r="AW389" s="18" t="n">
        <v>60100000</v>
      </c>
      <c r="AX389" s="19" t="n">
        <v>37397363.99255512</v>
      </c>
      <c r="AY389" s="18" t="n">
        <v>3100000</v>
      </c>
      <c r="AZ389" s="18">
        <f>1000000000-999464325.8687</f>
        <v/>
      </c>
      <c r="BA389" s="20">
        <f>1000000000-AV389-AW389-AX389-AY389-AZ389</f>
        <v/>
      </c>
      <c r="BB389" s="21" t="n">
        <v>243.154254</v>
      </c>
      <c r="BC389" s="21">
        <f>BA389/1000000-BB389</f>
        <v/>
      </c>
      <c r="BD389" s="22">
        <f>BA389*24.8</f>
        <v/>
      </c>
    </row>
    <row r="390">
      <c r="A390" s="10" t="n">
        <v>46012</v>
      </c>
      <c r="B390" s="11" t="n">
        <v>2408589981.827758</v>
      </c>
      <c r="C390" s="11" t="n">
        <v>57499448.03806698</v>
      </c>
      <c r="D390" s="11" t="n">
        <v>73273955</v>
      </c>
      <c r="E390" s="11" t="n"/>
      <c r="F390" s="24" t="n">
        <v>1079945.792057937</v>
      </c>
      <c r="G390" s="24" t="n">
        <v>13146112.28147182</v>
      </c>
      <c r="H390" s="24" t="n">
        <v>0</v>
      </c>
      <c r="I390" s="24" t="n">
        <v>37832164.3875296</v>
      </c>
      <c r="J390" s="24" t="n">
        <v>1101273.23687227</v>
      </c>
      <c r="K390" s="24" t="n">
        <v>4339952.340135333</v>
      </c>
      <c r="L390" s="22">
        <f>SUM(F390:K390)</f>
        <v/>
      </c>
      <c r="M390" s="22">
        <f>Z390/(1-R390)</f>
        <v/>
      </c>
      <c r="N390" s="11" t="n">
        <v>11354.79590700008</v>
      </c>
      <c r="O390" s="11" t="n">
        <v>47261</v>
      </c>
      <c r="P390" s="11" t="n"/>
      <c r="Q390" s="22">
        <f>M390+N390+O390+P390</f>
        <v/>
      </c>
      <c r="R390" s="12" t="n">
        <v>0.01</v>
      </c>
      <c r="S390" s="22">
        <f>M390*R390</f>
        <v/>
      </c>
      <c r="T390" s="22">
        <f>N390*R390</f>
        <v/>
      </c>
      <c r="U390" s="22">
        <f>(O390-V390)*R390</f>
        <v/>
      </c>
      <c r="V390" s="11" t="n">
        <v>11342</v>
      </c>
      <c r="W390" s="11" t="n">
        <v>0</v>
      </c>
      <c r="X390" s="22">
        <f>S390+T390+U390+V390+W390</f>
        <v/>
      </c>
      <c r="Y390" s="11" t="n">
        <v>94897.20139999999</v>
      </c>
      <c r="Z390" s="22">
        <f>AE390-AB390-AA390-AC390</f>
        <v/>
      </c>
      <c r="AA390" s="22">
        <f>N390-T390-W390</f>
        <v/>
      </c>
      <c r="AB390" s="22">
        <f>O390-V390-U390</f>
        <v/>
      </c>
      <c r="AC390" s="22">
        <f>P390</f>
        <v/>
      </c>
      <c r="AD390" s="23">
        <f>Z390+AA390+AB390+AC390</f>
        <v/>
      </c>
      <c r="AE390" s="11" t="n">
        <v>614571.29</v>
      </c>
      <c r="AF390" s="24">
        <f>AD390-AE390</f>
        <v/>
      </c>
      <c r="AG390" s="13">
        <f>IF(OR(B390="",B390=0,M390=""),"",M390/B390*10000)</f>
        <v/>
      </c>
      <c r="AH390" s="13">
        <f>IF(OR(C390="",C390=0),"",N390/C390*10000)</f>
        <v/>
      </c>
      <c r="AI390" s="13">
        <f>IF(OR(D390="",D390=0),"",O390/D390*10000)</f>
        <v/>
      </c>
      <c r="AJ390" s="11" t="n">
        <v>8537.996374191154</v>
      </c>
      <c r="AK390" s="11" t="n">
        <v>0</v>
      </c>
      <c r="AL390" s="22">
        <f>AE390+AJ390+AK390</f>
        <v/>
      </c>
      <c r="AM390" s="22">
        <f>AE390</f>
        <v/>
      </c>
      <c r="AN390" s="14" t="n">
        <v>25490.35</v>
      </c>
      <c r="AO390" s="15" t="n">
        <v>24.109959</v>
      </c>
      <c r="AP390" s="14" t="n">
        <v>37430045.18255512</v>
      </c>
      <c r="AQ390" s="14" t="n">
        <v>26425.3695</v>
      </c>
      <c r="AR390" s="14" t="n">
        <v>257.2716</v>
      </c>
      <c r="AS390" s="14" t="n"/>
      <c r="AT390" s="16" t="n">
        <v>433.3675164952436</v>
      </c>
      <c r="AU390" s="17" t="n">
        <v>0.0214223612</v>
      </c>
      <c r="AV390" s="14" t="n">
        <v>418683521.1156</v>
      </c>
      <c r="AW390" s="18" t="n">
        <v>60100000</v>
      </c>
      <c r="AX390" s="19" t="n">
        <v>37430045.18255512</v>
      </c>
      <c r="AY390" s="18" t="n">
        <v>3100000</v>
      </c>
      <c r="AZ390" s="18">
        <f>1000000000-999464068.5971</f>
        <v/>
      </c>
      <c r="BA390" s="20">
        <f>1000000000-AV390-AW390-AX390-AY390-AZ390</f>
        <v/>
      </c>
      <c r="BB390" s="21" t="n">
        <v>243.154254</v>
      </c>
      <c r="BC390" s="21">
        <f>BA390/1000000-BB390</f>
        <v/>
      </c>
      <c r="BD390" s="22">
        <f>BA390*24.07</f>
        <v/>
      </c>
    </row>
    <row r="391">
      <c r="A391" s="10" t="n">
        <v>46013</v>
      </c>
      <c r="B391" s="11" t="n">
        <v>6062817517.907882</v>
      </c>
      <c r="C391" s="11" t="n">
        <v>201233854.8298462</v>
      </c>
      <c r="D391" s="11" t="n">
        <v>113859334</v>
      </c>
      <c r="E391" s="11" t="n"/>
      <c r="F391" s="24" t="n">
        <v>6313612.0701034</v>
      </c>
      <c r="G391" s="24" t="n">
        <v>17704358.4673305</v>
      </c>
      <c r="H391" s="24" t="n">
        <v>0</v>
      </c>
      <c r="I391" s="24" t="n">
        <v>99294179.05447938</v>
      </c>
      <c r="J391" s="24" t="n">
        <v>239763.3773248108</v>
      </c>
      <c r="K391" s="24" t="n">
        <v>77681941.86060812</v>
      </c>
      <c r="L391" s="22">
        <f>SUM(F391:K391)</f>
        <v/>
      </c>
      <c r="M391" s="22">
        <f>Z391/(1-R391)</f>
        <v/>
      </c>
      <c r="N391" s="11" t="n">
        <v>27023.83198600008</v>
      </c>
      <c r="O391" s="11" t="n">
        <v>61798</v>
      </c>
      <c r="P391" s="11" t="n"/>
      <c r="Q391" s="22">
        <f>M391+N391+O391+P391</f>
        <v/>
      </c>
      <c r="R391" s="12" t="n">
        <v>0.01</v>
      </c>
      <c r="S391" s="22">
        <f>M391*R391</f>
        <v/>
      </c>
      <c r="T391" s="22">
        <f>N391*R391</f>
        <v/>
      </c>
      <c r="U391" s="22">
        <f>(O391-V391)*R391</f>
        <v/>
      </c>
      <c r="V391" s="11" t="n">
        <v>14941</v>
      </c>
      <c r="W391" s="11" t="n">
        <v>0</v>
      </c>
      <c r="X391" s="22">
        <f>S391+T391+U391+V391+W391</f>
        <v/>
      </c>
      <c r="Y391" s="11" t="n">
        <v>195006.7221</v>
      </c>
      <c r="Z391" s="22">
        <f>AE391-AB391-AA391-AC391</f>
        <v/>
      </c>
      <c r="AA391" s="22">
        <f>N391-T391-W391</f>
        <v/>
      </c>
      <c r="AB391" s="22">
        <f>O391-V391-U391</f>
        <v/>
      </c>
      <c r="AC391" s="22">
        <f>P391</f>
        <v/>
      </c>
      <c r="AD391" s="23">
        <f>Z391+AA391+AB391+AC391</f>
        <v/>
      </c>
      <c r="AE391" s="11" t="n">
        <v>1753928.69</v>
      </c>
      <c r="AF391" s="24">
        <f>AD391-AE391</f>
        <v/>
      </c>
      <c r="AG391" s="13">
        <f>IF(OR(B391="",B391=0,M391=""),"",M391/B391*10000)</f>
        <v/>
      </c>
      <c r="AH391" s="13">
        <f>IF(OR(C391="",C391=0),"",N391/C391*10000)</f>
        <v/>
      </c>
      <c r="AI391" s="13">
        <f>IF(OR(D391="",D391=0),"",O391/D391*10000)</f>
        <v/>
      </c>
      <c r="AJ391" s="11" t="n">
        <v>12155.06679695003</v>
      </c>
      <c r="AK391" s="11" t="n">
        <v>23542.3</v>
      </c>
      <c r="AL391" s="22">
        <f>AE391+AJ391+AK391</f>
        <v/>
      </c>
      <c r="AM391" s="22">
        <f>AE391</f>
        <v/>
      </c>
      <c r="AN391" s="14" t="n">
        <v>70611.64</v>
      </c>
      <c r="AO391" s="15" t="n">
        <v>24.839087</v>
      </c>
      <c r="AP391" s="14" t="n">
        <v>37494236.91255512</v>
      </c>
      <c r="AQ391" s="14" t="n">
        <v>26443.411</v>
      </c>
      <c r="AR391" s="14" t="n">
        <v>1666.3489</v>
      </c>
      <c r="AS391" s="14" t="n"/>
      <c r="AT391" s="16" t="n">
        <v>433.2813015584726</v>
      </c>
      <c r="AU391" s="17" t="n">
        <v>0.0214244678</v>
      </c>
      <c r="AV391" s="14" t="n">
        <v>418657077.7045</v>
      </c>
      <c r="AW391" s="18" t="n">
        <v>60100000</v>
      </c>
      <c r="AX391" s="19" t="n">
        <v>37494236.91255512</v>
      </c>
      <c r="AY391" s="18" t="n">
        <v>3100000</v>
      </c>
      <c r="AZ391" s="18">
        <f>1000000000-999462402.2482</f>
        <v/>
      </c>
      <c r="BA391" s="20">
        <f>1000000000-AV391-AW391-AX391-AY391-AZ391</f>
        <v/>
      </c>
      <c r="BB391" s="21" t="n">
        <v>243.154254</v>
      </c>
      <c r="BC391" s="21">
        <f>BA391/1000000-BB391</f>
        <v/>
      </c>
      <c r="BD391" s="22">
        <f>BA391*24.62</f>
        <v/>
      </c>
    </row>
    <row r="392">
      <c r="A392" s="10" t="n">
        <v>46014</v>
      </c>
      <c r="B392" s="11" t="n">
        <v>5130704645.146819</v>
      </c>
      <c r="C392" s="11" t="n">
        <v>273946894.5535726</v>
      </c>
      <c r="D392" s="11" t="n">
        <v>106813195</v>
      </c>
      <c r="E392" s="11" t="n"/>
      <c r="F392" s="24" t="n">
        <v>8697446.73846779</v>
      </c>
      <c r="G392" s="24" t="n">
        <v>15644235.66731372</v>
      </c>
      <c r="H392" s="24" t="n">
        <v>720810.8615474337</v>
      </c>
      <c r="I392" s="24" t="n">
        <v>187243649.0944458</v>
      </c>
      <c r="J392" s="24" t="n">
        <v>876770.8348140786</v>
      </c>
      <c r="K392" s="24" t="n">
        <v>60763981.35698371</v>
      </c>
      <c r="L392" s="22">
        <f>SUM(F392:K392)</f>
        <v/>
      </c>
      <c r="M392" s="22">
        <f>Z392/(1-R392)</f>
        <v/>
      </c>
      <c r="N392" s="11" t="n">
        <v>28751.59830400004</v>
      </c>
      <c r="O392" s="11" t="n">
        <v>62692</v>
      </c>
      <c r="P392" s="11" t="n"/>
      <c r="Q392" s="22">
        <f>M392+N392+O392+P392</f>
        <v/>
      </c>
      <c r="R392" s="12" t="n">
        <v>0.01</v>
      </c>
      <c r="S392" s="22">
        <f>M392*R392</f>
        <v/>
      </c>
      <c r="T392" s="22">
        <f>N392*R392</f>
        <v/>
      </c>
      <c r="U392" s="22">
        <f>(O392-V392)*R392</f>
        <v/>
      </c>
      <c r="V392" s="11" t="n">
        <v>12124</v>
      </c>
      <c r="W392" s="11" t="n">
        <v>0</v>
      </c>
      <c r="X392" s="22">
        <f>S392+T392+U392+V392+W392</f>
        <v/>
      </c>
      <c r="Y392" s="11" t="n">
        <v>169671.1402</v>
      </c>
      <c r="Z392" s="22">
        <f>AE392-AB392-AA392-AC392</f>
        <v/>
      </c>
      <c r="AA392" s="22">
        <f>N392-T392-W392</f>
        <v/>
      </c>
      <c r="AB392" s="22">
        <f>O392-V392-U392</f>
        <v/>
      </c>
      <c r="AC392" s="22">
        <f>P392</f>
        <v/>
      </c>
      <c r="AD392" s="23">
        <f>Z392+AA392+AB392+AC392</f>
        <v/>
      </c>
      <c r="AE392" s="11" t="n">
        <v>1416162.2</v>
      </c>
      <c r="AF392" s="24">
        <f>AD392-AE392</f>
        <v/>
      </c>
      <c r="AG392" s="13">
        <f>IF(OR(B392="",B392=0,M392=""),"",M392/B392*10000)</f>
        <v/>
      </c>
      <c r="AH392" s="13">
        <f>IF(OR(C392="",C392=0),"",N392/C392*10000)</f>
        <v/>
      </c>
      <c r="AI392" s="13">
        <f>IF(OR(D392="",D392=0),"",O392/D392*10000)</f>
        <v/>
      </c>
      <c r="AJ392" s="11" t="n">
        <v>10662.8543444044</v>
      </c>
      <c r="AK392" s="11" t="n">
        <v>0</v>
      </c>
      <c r="AL392" s="22">
        <f>AE392+AJ392+AK392</f>
        <v/>
      </c>
      <c r="AM392" s="22">
        <f>AE392</f>
        <v/>
      </c>
      <c r="AN392" s="14" t="n">
        <v>58235.51</v>
      </c>
      <c r="AO392" s="15" t="n">
        <v>24.317847</v>
      </c>
      <c r="AP392" s="14" t="n">
        <v>37552103.11255512</v>
      </c>
      <c r="AQ392" s="14" t="n">
        <v>26422.6463</v>
      </c>
      <c r="AR392" s="14" t="n">
        <v>3692.6652</v>
      </c>
      <c r="AS392" s="14" t="n"/>
      <c r="AT392" s="16" t="n">
        <v>434.5489863539383</v>
      </c>
      <c r="AU392" s="17" t="n">
        <v>0.0213782025</v>
      </c>
      <c r="AV392" s="14" t="n">
        <v>418630655.0582</v>
      </c>
      <c r="AW392" s="18" t="n">
        <v>60100000</v>
      </c>
      <c r="AX392" s="19" t="n">
        <v>37552103.11255512</v>
      </c>
      <c r="AY392" s="18" t="n">
        <v>3100000</v>
      </c>
      <c r="AZ392" s="18">
        <f>1000000000-999458709.583</f>
        <v/>
      </c>
      <c r="BA392" s="20">
        <f>1000000000-AV392-AW392-AX392-AY392-AZ392</f>
        <v/>
      </c>
      <c r="BB392" s="21" t="n">
        <v>243.154254</v>
      </c>
      <c r="BC392" s="21">
        <f>BA392/1000000-BB392</f>
        <v/>
      </c>
      <c r="BD392" s="22">
        <f>BA392*24.85</f>
        <v/>
      </c>
    </row>
    <row r="393">
      <c r="A393" s="10" t="n">
        <v>46015</v>
      </c>
      <c r="B393" s="11" t="n">
        <v>3387820370.117661</v>
      </c>
      <c r="C393" s="11" t="n">
        <v>153570547.920453</v>
      </c>
      <c r="D393" s="11" t="n">
        <v>79714594</v>
      </c>
      <c r="E393" s="11" t="n"/>
      <c r="F393" s="24" t="n">
        <v>8506249.618532645</v>
      </c>
      <c r="G393" s="24" t="n">
        <v>9354316.166783027</v>
      </c>
      <c r="H393" s="24" t="n">
        <v>986714.5341214825</v>
      </c>
      <c r="I393" s="24" t="n">
        <v>78810797.88793859</v>
      </c>
      <c r="J393" s="24" t="n">
        <v>606369.2441448857</v>
      </c>
      <c r="K393" s="24" t="n">
        <v>55306100.46893236</v>
      </c>
      <c r="L393" s="22">
        <f>SUM(F393:K393)</f>
        <v/>
      </c>
      <c r="M393" s="22">
        <f>Z393/(1-R393)</f>
        <v/>
      </c>
      <c r="N393" s="11" t="n">
        <v>16450.42056499902</v>
      </c>
      <c r="O393" s="11" t="n">
        <v>47538</v>
      </c>
      <c r="P393" s="11" t="n"/>
      <c r="Q393" s="22">
        <f>M393+N393+O393+P393</f>
        <v/>
      </c>
      <c r="R393" s="12" t="n">
        <v>0.01</v>
      </c>
      <c r="S393" s="22">
        <f>M393*R393</f>
        <v/>
      </c>
      <c r="T393" s="22">
        <f>N393*R393</f>
        <v/>
      </c>
      <c r="U393" s="22">
        <f>(O393-V393)*R393</f>
        <v/>
      </c>
      <c r="V393" s="11" t="n">
        <v>10007</v>
      </c>
      <c r="W393" s="11" t="n">
        <v>0</v>
      </c>
      <c r="X393" s="22">
        <f>S393+T393+U393+V393+W393</f>
        <v/>
      </c>
      <c r="Y393" s="11" t="n">
        <v>105350.633</v>
      </c>
      <c r="Z393" s="22">
        <f>AE393-AB393-AA393-AC393</f>
        <v/>
      </c>
      <c r="AA393" s="22">
        <f>N393-T393-W393</f>
        <v/>
      </c>
      <c r="AB393" s="22">
        <f>O393-V393-U393</f>
        <v/>
      </c>
      <c r="AC393" s="22">
        <f>P393</f>
        <v/>
      </c>
      <c r="AD393" s="23">
        <f>Z393+AA393+AB393+AC393</f>
        <v/>
      </c>
      <c r="AE393" s="11" t="n">
        <v>871000.51</v>
      </c>
      <c r="AF393" s="24">
        <f>AD393-AE393</f>
        <v/>
      </c>
      <c r="AG393" s="13">
        <f>IF(OR(B393="",B393=0,M393=""),"",M393/B393*10000)</f>
        <v/>
      </c>
      <c r="AH393" s="13">
        <f>IF(OR(C393="",C393=0),"",N393/C393*10000)</f>
        <v/>
      </c>
      <c r="AI393" s="13">
        <f>IF(OR(D393="",D393=0),"",O393/D393*10000)</f>
        <v/>
      </c>
      <c r="AJ393" s="11" t="n">
        <v>7482.605158871794</v>
      </c>
      <c r="AK393" s="11" t="n">
        <v>0</v>
      </c>
      <c r="AL393" s="22">
        <f>AE393+AJ393+AK393</f>
        <v/>
      </c>
      <c r="AM393" s="22">
        <f>AE393</f>
        <v/>
      </c>
      <c r="AN393" s="14" t="n">
        <v>36158.16</v>
      </c>
      <c r="AO393" s="15" t="n">
        <v>24.088629</v>
      </c>
      <c r="AP393" s="14" t="n">
        <v>37591271.92255512</v>
      </c>
      <c r="AQ393" s="14" t="n">
        <v>26479.0906</v>
      </c>
      <c r="AR393" s="14" t="n">
        <v>315.6238</v>
      </c>
      <c r="AS393" s="14" t="n"/>
      <c r="AT393" s="16" t="n">
        <v>434.0328176583972</v>
      </c>
      <c r="AU393" s="17" t="n">
        <v>0.0213788717</v>
      </c>
      <c r="AV393" s="14" t="n">
        <v>418604175.9676</v>
      </c>
      <c r="AW393" s="18" t="n">
        <v>60100000</v>
      </c>
      <c r="AX393" s="19" t="n">
        <v>37591271.92255512</v>
      </c>
      <c r="AY393" s="18" t="n">
        <v>3100000</v>
      </c>
      <c r="AZ393" s="18">
        <f>1000000000-999458393.9592</f>
        <v/>
      </c>
      <c r="BA393" s="20">
        <f>1000000000-AV393-AW393-AX393-AY393-AZ393</f>
        <v/>
      </c>
      <c r="BB393" s="21" t="n">
        <v>243.154254</v>
      </c>
      <c r="BC393" s="21">
        <f>BA393/1000000-BB393</f>
        <v/>
      </c>
      <c r="BD393" s="22">
        <f>BA393*24</f>
        <v/>
      </c>
    </row>
    <row r="394">
      <c r="A394" s="10" t="n">
        <v>46016</v>
      </c>
      <c r="B394" s="11" t="n">
        <v>2447563063.706225</v>
      </c>
      <c r="C394" s="11" t="n">
        <v>61337988.20753365</v>
      </c>
      <c r="D394" s="11" t="n">
        <v>66698371</v>
      </c>
      <c r="E394" s="11" t="n"/>
      <c r="F394" s="24" t="n">
        <v>2808792.515110875</v>
      </c>
      <c r="G394" s="24" t="n">
        <v>12586308.42994604</v>
      </c>
      <c r="H394" s="24" t="n">
        <v>278175.5924344947</v>
      </c>
      <c r="I394" s="24" t="n">
        <v>35332684.25224316</v>
      </c>
      <c r="J394" s="24" t="n">
        <v>1641622.663874297</v>
      </c>
      <c r="K394" s="24" t="n">
        <v>8690404.753924778</v>
      </c>
      <c r="L394" s="22">
        <f>SUM(F394:K394)</f>
        <v/>
      </c>
      <c r="M394" s="22">
        <f>Z394/(1-R394)</f>
        <v/>
      </c>
      <c r="N394" s="11" t="n">
        <v>12388.6012760008</v>
      </c>
      <c r="O394" s="11" t="n">
        <v>48474</v>
      </c>
      <c r="P394" s="11" t="n"/>
      <c r="Q394" s="22">
        <f>M394+N394+O394+P394</f>
        <v/>
      </c>
      <c r="R394" s="12" t="n">
        <v>0.01</v>
      </c>
      <c r="S394" s="22">
        <f>M394*R394</f>
        <v/>
      </c>
      <c r="T394" s="22">
        <f>N394*R394</f>
        <v/>
      </c>
      <c r="U394" s="22">
        <f>(O394-V394)*R394</f>
        <v/>
      </c>
      <c r="V394" s="11" t="n">
        <v>11198</v>
      </c>
      <c r="W394" s="11" t="n">
        <v>0</v>
      </c>
      <c r="X394" s="22">
        <f>S394+T394+U394+V394+W394</f>
        <v/>
      </c>
      <c r="Y394" s="11" t="n">
        <v>82763.1767</v>
      </c>
      <c r="Z394" s="22">
        <f>AE394-AB394-AA394-AC394</f>
        <v/>
      </c>
      <c r="AA394" s="22">
        <f>N394-T394-W394</f>
        <v/>
      </c>
      <c r="AB394" s="22">
        <f>O394-V394-U394</f>
        <v/>
      </c>
      <c r="AC394" s="22">
        <f>P394</f>
        <v/>
      </c>
      <c r="AD394" s="23">
        <f>Z394+AA394+AB394+AC394</f>
        <v/>
      </c>
      <c r="AE394" s="11" t="n">
        <v>733221.58</v>
      </c>
      <c r="AF394" s="24">
        <f>AD394-AE394</f>
        <v/>
      </c>
      <c r="AG394" s="13">
        <f>IF(OR(B394="",B394=0,M394=""),"",M394/B394*10000)</f>
        <v/>
      </c>
      <c r="AH394" s="13">
        <f>IF(OR(C394="",C394=0),"",N394/C394*10000)</f>
        <v/>
      </c>
      <c r="AI394" s="13">
        <f>IF(OR(D394="",D394=0),"",O394/D394*10000)</f>
        <v/>
      </c>
      <c r="AJ394" s="11" t="n">
        <v>6447.799693485051</v>
      </c>
      <c r="AK394" s="11" t="n">
        <v>13158.68</v>
      </c>
      <c r="AL394" s="22">
        <f>AE394+AJ394+AK394</f>
        <v/>
      </c>
      <c r="AM394" s="22">
        <f>AE394</f>
        <v/>
      </c>
      <c r="AN394" s="14" t="n">
        <v>29555.9</v>
      </c>
      <c r="AO394" s="15" t="n">
        <v>24.80796</v>
      </c>
      <c r="AP394" s="14" t="n">
        <v>37617994.68255512</v>
      </c>
      <c r="AQ394" s="14" t="n">
        <v>26460.759</v>
      </c>
      <c r="AR394" s="14" t="n">
        <v>1101.0662</v>
      </c>
      <c r="AS394" s="14" t="n"/>
      <c r="AT394" s="16" t="n">
        <v>433.8464377179373</v>
      </c>
      <c r="AU394" s="17" t="n">
        <v>0.0213834105</v>
      </c>
      <c r="AV394" s="14" t="n">
        <v>418577715.2085</v>
      </c>
      <c r="AW394" s="18" t="n">
        <v>60100000</v>
      </c>
      <c r="AX394" s="19" t="n">
        <v>37617994.68255512</v>
      </c>
      <c r="AY394" s="18" t="n">
        <v>3100000</v>
      </c>
      <c r="AZ394" s="18">
        <f>1000000000-999457292.893</f>
        <v/>
      </c>
      <c r="BA394" s="20">
        <f>1000000000-AV394-AW394-AX394-AY394-AZ394</f>
        <v/>
      </c>
      <c r="BB394" s="21" t="n">
        <v>243.154254</v>
      </c>
      <c r="BC394" s="21">
        <f>BA394/1000000-BB394</f>
        <v/>
      </c>
      <c r="BD394" s="22">
        <f>BA394*24.81</f>
        <v/>
      </c>
    </row>
    <row r="395">
      <c r="A395" s="10" t="n">
        <v>46017</v>
      </c>
      <c r="B395" s="11" t="n">
        <v>4705949910.018102</v>
      </c>
      <c r="C395" s="11" t="n">
        <v>230839091.252039</v>
      </c>
      <c r="D395" s="11" t="n">
        <v>120853808</v>
      </c>
      <c r="E395" s="11" t="n"/>
      <c r="F395" s="24" t="n">
        <v>24313821.66601128</v>
      </c>
      <c r="G395" s="24" t="n">
        <v>13815421.61186239</v>
      </c>
      <c r="H395" s="24" t="n">
        <v>519200.6332519554</v>
      </c>
      <c r="I395" s="24" t="n">
        <v>151003721.5442475</v>
      </c>
      <c r="J395" s="24" t="n">
        <v>874438.9468543194</v>
      </c>
      <c r="K395" s="24" t="n">
        <v>40312486.84981158</v>
      </c>
      <c r="L395" s="22">
        <f>SUM(F395:K395)</f>
        <v/>
      </c>
      <c r="M395" s="22">
        <f>Z395/(1-R395)</f>
        <v/>
      </c>
      <c r="N395" s="11" t="n">
        <v>29291.657443001</v>
      </c>
      <c r="O395" s="11" t="n">
        <v>89653</v>
      </c>
      <c r="P395" s="11" t="n"/>
      <c r="Q395" s="22">
        <f>M395+N395+O395+P395</f>
        <v/>
      </c>
      <c r="R395" s="12" t="n">
        <v>0.01</v>
      </c>
      <c r="S395" s="22">
        <f>M395*R395</f>
        <v/>
      </c>
      <c r="T395" s="22">
        <f>N395*R395</f>
        <v/>
      </c>
      <c r="U395" s="22">
        <f>(O395-V395)*R395</f>
        <v/>
      </c>
      <c r="V395" s="11" t="n">
        <v>21714</v>
      </c>
      <c r="W395" s="11" t="n">
        <v>0</v>
      </c>
      <c r="X395" s="22">
        <f>S395+T395+U395+V395+W395</f>
        <v/>
      </c>
      <c r="Y395" s="11" t="n">
        <v>151732.0948</v>
      </c>
      <c r="Z395" s="22">
        <f>AE395-AB395-AA395-AC395</f>
        <v/>
      </c>
      <c r="AA395" s="22">
        <f>N395-T395-W395</f>
        <v/>
      </c>
      <c r="AB395" s="22">
        <f>O395-V395-U395</f>
        <v/>
      </c>
      <c r="AC395" s="22">
        <f>P395</f>
        <v/>
      </c>
      <c r="AD395" s="23">
        <f>Z395+AA395+AB395+AC395</f>
        <v/>
      </c>
      <c r="AE395" s="11" t="n">
        <v>1214449.59</v>
      </c>
      <c r="AF395" s="24">
        <f>AD395-AE395</f>
        <v/>
      </c>
      <c r="AG395" s="13">
        <f>IF(OR(B395="",B395=0,M395=""),"",M395/B395*10000)</f>
        <v/>
      </c>
      <c r="AH395" s="13">
        <f>IF(OR(C395="",C395=0),"",N395/C395*10000)</f>
        <v/>
      </c>
      <c r="AI395" s="13">
        <f>IF(OR(D395="",D395=0),"",O395/D395*10000)</f>
        <v/>
      </c>
      <c r="AJ395" s="11" t="n">
        <v>7434.633291901381</v>
      </c>
      <c r="AK395" s="11" t="n">
        <v>12169.61</v>
      </c>
      <c r="AL395" s="22">
        <f>AE395+AJ395+AK395</f>
        <v/>
      </c>
      <c r="AM395" s="22">
        <f>AE395</f>
        <v/>
      </c>
      <c r="AN395" s="14" t="n">
        <v>48626.65</v>
      </c>
      <c r="AO395" s="15" t="n">
        <v>24.974979</v>
      </c>
      <c r="AP395" s="14" t="n">
        <v>37668066.45255512</v>
      </c>
      <c r="AQ395" s="14" t="n">
        <v>26461.3247</v>
      </c>
      <c r="AR395" s="14" t="n">
        <v>1906.2574</v>
      </c>
      <c r="AS395" s="14" t="n"/>
      <c r="AT395" s="16" t="n">
        <v>433.7860021564215</v>
      </c>
      <c r="AU395" s="17" t="n">
        <v>0.0213848829</v>
      </c>
      <c r="AV395" s="14" t="n">
        <v>418551253.8839</v>
      </c>
      <c r="AW395" s="18" t="n">
        <v>60100000</v>
      </c>
      <c r="AX395" s="19" t="n">
        <v>37668066.45255512</v>
      </c>
      <c r="AY395" s="18" t="n">
        <v>3100000</v>
      </c>
      <c r="AZ395" s="18">
        <f>1000000000-999455386.6356</f>
        <v/>
      </c>
      <c r="BA395" s="20">
        <f>1000000000-AV395-AW395-AX395-AY395-AZ395</f>
        <v/>
      </c>
      <c r="BB395" s="21" t="n">
        <v>243.154254</v>
      </c>
      <c r="BC395" s="21">
        <f>BA395/1000000-BB395</f>
        <v/>
      </c>
      <c r="BD395" s="22">
        <f>BA395*24.6</f>
        <v/>
      </c>
    </row>
    <row r="396">
      <c r="A396" s="10" t="n">
        <v>46018</v>
      </c>
      <c r="B396" s="11" t="n">
        <v>1336047618.031692</v>
      </c>
      <c r="C396" s="11" t="n">
        <v>64057194.31968193</v>
      </c>
      <c r="D396" s="11" t="n">
        <v>77449255</v>
      </c>
      <c r="E396" s="11" t="n"/>
      <c r="F396" s="24" t="n">
        <v>10121323.52439436</v>
      </c>
      <c r="G396" s="24" t="n">
        <v>14419537.06962436</v>
      </c>
      <c r="H396" s="24" t="n">
        <v>80225.23534671834</v>
      </c>
      <c r="I396" s="24" t="n">
        <v>31632736.83449752</v>
      </c>
      <c r="J396" s="24" t="n">
        <v>888964.1099830909</v>
      </c>
      <c r="K396" s="24" t="n">
        <v>6914407.545835864</v>
      </c>
      <c r="L396" s="22">
        <f>SUM(F396:K396)</f>
        <v/>
      </c>
      <c r="M396" s="22">
        <f>Z396/(1-R396)</f>
        <v/>
      </c>
      <c r="N396" s="11" t="n">
        <v>14772.03282499999</v>
      </c>
      <c r="O396" s="11" t="n">
        <v>56845</v>
      </c>
      <c r="P396" s="11" t="n"/>
      <c r="Q396" s="22">
        <f>M396+N396+O396+P396</f>
        <v/>
      </c>
      <c r="R396" s="12" t="n">
        <v>0.01</v>
      </c>
      <c r="S396" s="22">
        <f>M396*R396</f>
        <v/>
      </c>
      <c r="T396" s="22">
        <f>N396*R396</f>
        <v/>
      </c>
      <c r="U396" s="22">
        <f>(O396-V396)*R396</f>
        <v/>
      </c>
      <c r="V396" s="11" t="n">
        <v>12136</v>
      </c>
      <c r="W396" s="11" t="n">
        <v>0</v>
      </c>
      <c r="X396" s="22">
        <f>S396+T396+U396+V396+W396</f>
        <v/>
      </c>
      <c r="Y396" s="11" t="n">
        <v>63318.39640000001</v>
      </c>
      <c r="Z396" s="22">
        <f>AE396-AB396-AA396-AC396</f>
        <v/>
      </c>
      <c r="AA396" s="22">
        <f>N396-T396-W396</f>
        <v/>
      </c>
      <c r="AB396" s="22">
        <f>O396-V396-U396</f>
        <v/>
      </c>
      <c r="AC396" s="22">
        <f>P396</f>
        <v/>
      </c>
      <c r="AD396" s="23">
        <f>Z396+AA396+AB396+AC396</f>
        <v/>
      </c>
      <c r="AE396" s="11" t="n">
        <v>442768.92</v>
      </c>
      <c r="AF396" s="24">
        <f>AD396-AE396</f>
        <v/>
      </c>
      <c r="AG396" s="13">
        <f>IF(OR(B396="",B396=0,M396=""),"",M396/B396*10000)</f>
        <v/>
      </c>
      <c r="AH396" s="13">
        <f>IF(OR(C396="",C396=0),"",N396/C396*10000)</f>
        <v/>
      </c>
      <c r="AI396" s="13">
        <f>IF(OR(D396="",D396=0),"",O396/D396*10000)</f>
        <v/>
      </c>
      <c r="AJ396" s="11" t="n">
        <v>6914.044499406482</v>
      </c>
      <c r="AK396" s="11" t="n">
        <v>0</v>
      </c>
      <c r="AL396" s="22">
        <f>AE396+AJ396+AK396</f>
        <v/>
      </c>
      <c r="AM396" s="22">
        <f>AE396</f>
        <v/>
      </c>
      <c r="AN396" s="14" t="n">
        <v>17114.12</v>
      </c>
      <c r="AO396" s="15" t="n">
        <v>25.871556</v>
      </c>
      <c r="AP396" s="14" t="n">
        <v>37683708.12255512</v>
      </c>
      <c r="AQ396" s="14" t="n">
        <v>26462.3171</v>
      </c>
      <c r="AR396" s="14" t="n">
        <v>822.3167999999999</v>
      </c>
      <c r="AS396" s="14" t="n"/>
      <c r="AT396" s="16" t="n">
        <v>433.9105961718108</v>
      </c>
      <c r="AU396" s="17" t="n">
        <v>0.0213818478</v>
      </c>
      <c r="AV396" s="14" t="n">
        <v>418524791.5668</v>
      </c>
      <c r="AW396" s="18" t="n">
        <v>60100000</v>
      </c>
      <c r="AX396" s="19" t="n">
        <v>37683708.12255512</v>
      </c>
      <c r="AY396" s="18" t="n">
        <v>3100000</v>
      </c>
      <c r="AZ396" s="18">
        <f>1000000000-999454564.3189</f>
        <v/>
      </c>
      <c r="BA396" s="20">
        <f>1000000000-AV396-AW396-AX396-AY396-AZ396</f>
        <v/>
      </c>
      <c r="BB396" s="21" t="n">
        <v>243.154254</v>
      </c>
      <c r="BC396" s="21">
        <f>BA396/1000000-BB396</f>
        <v/>
      </c>
      <c r="BD396" s="22">
        <f>BA396*25.59</f>
        <v/>
      </c>
    </row>
    <row r="397">
      <c r="A397" s="10" t="n">
        <v>46019</v>
      </c>
      <c r="B397" s="11" t="n">
        <v>1852384014.060729</v>
      </c>
      <c r="C397" s="11" t="n">
        <v>75029525.31070067</v>
      </c>
      <c r="D397" s="11" t="n">
        <v>97578879</v>
      </c>
      <c r="E397" s="11" t="n"/>
      <c r="F397" s="24" t="n">
        <v>21226635.18809398</v>
      </c>
      <c r="G397" s="24" t="n">
        <v>9637375.675210459</v>
      </c>
      <c r="H397" s="24" t="n">
        <v>71007.20042786143</v>
      </c>
      <c r="I397" s="24" t="n">
        <v>30363322.52171152</v>
      </c>
      <c r="J397" s="24" t="n">
        <v>87429.89212585719</v>
      </c>
      <c r="K397" s="24" t="n">
        <v>13643754.83313098</v>
      </c>
      <c r="L397" s="22">
        <f>SUM(F397:K397)</f>
        <v/>
      </c>
      <c r="M397" s="22">
        <f>Z397/(1-R397)</f>
        <v/>
      </c>
      <c r="N397" s="11" t="n">
        <v>13375.71270600026</v>
      </c>
      <c r="O397" s="11" t="n">
        <v>72538</v>
      </c>
      <c r="P397" s="11" t="n"/>
      <c r="Q397" s="22">
        <f>M397+N397+O397+P397</f>
        <v/>
      </c>
      <c r="R397" s="12" t="n">
        <v>0.01</v>
      </c>
      <c r="S397" s="22">
        <f>M397*R397</f>
        <v/>
      </c>
      <c r="T397" s="22">
        <f>N397*R397</f>
        <v/>
      </c>
      <c r="U397" s="22">
        <f>(O397-V397)*R397</f>
        <v/>
      </c>
      <c r="V397" s="11" t="n">
        <v>19423</v>
      </c>
      <c r="W397" s="11" t="n">
        <v>0</v>
      </c>
      <c r="X397" s="22">
        <f>S397+T397+U397+V397+W397</f>
        <v/>
      </c>
      <c r="Y397" s="11" t="n">
        <v>68190.01089999999</v>
      </c>
      <c r="Z397" s="22">
        <f>AE397-AB397-AA397-AC397</f>
        <v/>
      </c>
      <c r="AA397" s="22">
        <f>N397-T397-W397</f>
        <v/>
      </c>
      <c r="AB397" s="22">
        <f>O397-V397-U397</f>
        <v/>
      </c>
      <c r="AC397" s="22">
        <f>P397</f>
        <v/>
      </c>
      <c r="AD397" s="23">
        <f>Z397+AA397+AB397+AC397</f>
        <v/>
      </c>
      <c r="AE397" s="11" t="n">
        <v>475895.45</v>
      </c>
      <c r="AF397" s="24">
        <f>AD397-AE397</f>
        <v/>
      </c>
      <c r="AG397" s="13">
        <f>IF(OR(B397="",B397=0,M397=""),"",M397/B397*10000)</f>
        <v/>
      </c>
      <c r="AH397" s="13">
        <f>IF(OR(C397="",C397=0),"",N397/C397*10000)</f>
        <v/>
      </c>
      <c r="AI397" s="13">
        <f>IF(OR(D397="",D397=0),"",O397/D397*10000)</f>
        <v/>
      </c>
      <c r="AJ397" s="11" t="n">
        <v>7072.402556906018</v>
      </c>
      <c r="AK397" s="11" t="n">
        <v>17126.65</v>
      </c>
      <c r="AL397" s="22">
        <f>AE397+AJ397+AK397</f>
        <v/>
      </c>
      <c r="AM397" s="22">
        <f>AE397</f>
        <v/>
      </c>
      <c r="AN397" s="14" t="n">
        <v>18579.37</v>
      </c>
      <c r="AO397" s="15" t="n">
        <v>25.614187</v>
      </c>
      <c r="AP397" s="14" t="n">
        <v>37705705.99255512</v>
      </c>
      <c r="AQ397" s="14" t="n">
        <v>26467.9072</v>
      </c>
      <c r="AR397" s="14" t="n">
        <v>1294.7145</v>
      </c>
      <c r="AS397" s="14" t="n"/>
      <c r="AT397" s="16" t="n">
        <v>434.1243345856955</v>
      </c>
      <c r="AU397" s="17" t="n">
        <v>0.0213766442</v>
      </c>
      <c r="AV397" s="14" t="n">
        <v>418498323.6597</v>
      </c>
      <c r="AW397" s="18" t="n">
        <v>60100000</v>
      </c>
      <c r="AX397" s="19" t="n">
        <v>37705705.99255512</v>
      </c>
      <c r="AY397" s="18" t="n">
        <v>3100000</v>
      </c>
      <c r="AZ397" s="18">
        <f>1000000000-999453269.6043</f>
        <v/>
      </c>
      <c r="BA397" s="20">
        <f>1000000000-AV397-AW397-AX397-AY397-AZ397</f>
        <v/>
      </c>
      <c r="BB397" s="21" t="n">
        <v>243.154254</v>
      </c>
      <c r="BC397" s="21">
        <f>BA397/1000000-BB397</f>
        <v/>
      </c>
      <c r="BD397" s="22">
        <f>BA397*25.9</f>
        <v/>
      </c>
    </row>
    <row r="398">
      <c r="A398" s="10" t="n">
        <v>46020</v>
      </c>
      <c r="B398" s="11" t="n">
        <v>6679157702.333318</v>
      </c>
      <c r="C398" s="11" t="n">
        <v>298579658.4089774</v>
      </c>
      <c r="D398" s="11" t="n">
        <v>130386769</v>
      </c>
      <c r="E398" s="11" t="n"/>
      <c r="F398" s="24" t="n">
        <v>93632441.00824663</v>
      </c>
      <c r="G398" s="24" t="n">
        <v>14084093.85279044</v>
      </c>
      <c r="H398" s="24" t="n">
        <v>1165000.85787757</v>
      </c>
      <c r="I398" s="24" t="n">
        <v>128194996.4535945</v>
      </c>
      <c r="J398" s="24" t="n">
        <v>71833.00205384518</v>
      </c>
      <c r="K398" s="24" t="n">
        <v>61431293.23441445</v>
      </c>
      <c r="L398" s="22">
        <f>SUM(F398:K398)</f>
        <v/>
      </c>
      <c r="M398" s="22">
        <f>Z398/(1-R398)</f>
        <v/>
      </c>
      <c r="N398" s="11" t="n">
        <v>36154.15894999883</v>
      </c>
      <c r="O398" s="11" t="n">
        <v>90283</v>
      </c>
      <c r="P398" s="11" t="n"/>
      <c r="Q398" s="22">
        <f>M398+N398+O398+P398</f>
        <v/>
      </c>
      <c r="R398" s="12" t="n">
        <v>0.01</v>
      </c>
      <c r="S398" s="22">
        <f>M398*R398</f>
        <v/>
      </c>
      <c r="T398" s="22">
        <f>N398*R398</f>
        <v/>
      </c>
      <c r="U398" s="22">
        <f>(O398-V398)*R398</f>
        <v/>
      </c>
      <c r="V398" s="11" t="n">
        <v>21086</v>
      </c>
      <c r="W398" s="11" t="n">
        <v>0</v>
      </c>
      <c r="X398" s="22">
        <f>S398+T398+U398+V398+W398</f>
        <v/>
      </c>
      <c r="Y398" s="11" t="n">
        <v>179739.6547</v>
      </c>
      <c r="Z398" s="22">
        <f>AE398-AB398-AA398-AC398</f>
        <v/>
      </c>
      <c r="AA398" s="22">
        <f>N398-T398-W398</f>
        <v/>
      </c>
      <c r="AB398" s="22">
        <f>O398-V398-U398</f>
        <v/>
      </c>
      <c r="AC398" s="22">
        <f>P398</f>
        <v/>
      </c>
      <c r="AD398" s="23">
        <f>Z398+AA398+AB398+AC398</f>
        <v/>
      </c>
      <c r="AE398" s="11" t="n">
        <v>1939785.77</v>
      </c>
      <c r="AF398" s="24">
        <f>AD398-AE398</f>
        <v/>
      </c>
      <c r="AG398" s="13">
        <f>IF(OR(B398="",B398=0,M398=""),"",M398/B398*10000)</f>
        <v/>
      </c>
      <c r="AH398" s="13">
        <f>IF(OR(C398="",C398=0),"",N398/C398*10000)</f>
        <v/>
      </c>
      <c r="AI398" s="13">
        <f>IF(OR(D398="",D398=0),"",O398/D398*10000)</f>
        <v/>
      </c>
      <c r="AJ398" s="11" t="n">
        <v>13996.47333149522</v>
      </c>
      <c r="AK398" s="11" t="n">
        <v>18218.18</v>
      </c>
      <c r="AL398" s="22">
        <f>AE398+AJ398+AK398</f>
        <v/>
      </c>
      <c r="AM398" s="22">
        <f>AE398</f>
        <v/>
      </c>
      <c r="AN398" s="14" t="n">
        <v>75103.94</v>
      </c>
      <c r="AO398" s="15" t="n">
        <v>25.828016</v>
      </c>
      <c r="AP398" s="14" t="n">
        <v>37777472.31255512</v>
      </c>
      <c r="AQ398" s="14" t="n">
        <v>26457.1114</v>
      </c>
      <c r="AR398" s="14" t="n">
        <v>2123.1129</v>
      </c>
      <c r="AS398" s="14" t="n"/>
      <c r="AT398" s="16" t="n">
        <v>432.7750798851838</v>
      </c>
      <c r="AU398" s="17" t="n">
        <v>0.021409557</v>
      </c>
      <c r="AV398" s="14" t="n">
        <v>418471866.5483</v>
      </c>
      <c r="AW398" s="18" t="n">
        <v>60100000</v>
      </c>
      <c r="AX398" s="19" t="n">
        <v>37777472.31255512</v>
      </c>
      <c r="AY398" s="18" t="n">
        <v>3100000</v>
      </c>
      <c r="AZ398" s="18">
        <f>1000000000-999451146.4914</f>
        <v/>
      </c>
      <c r="BA398" s="20">
        <f>1000000000-AV398-AW398-AX398-AY398-AZ398</f>
        <v/>
      </c>
      <c r="BB398" s="21" t="n">
        <v>243.154254</v>
      </c>
      <c r="BC398" s="21">
        <f>BA398/1000000-BB398</f>
        <v/>
      </c>
      <c r="BD398" s="22">
        <f>BA398*25.59</f>
        <v/>
      </c>
    </row>
    <row r="399">
      <c r="A399" s="10" t="n">
        <v>46021</v>
      </c>
      <c r="B399" s="11" t="n">
        <v>3755681002.435599</v>
      </c>
      <c r="C399" s="11" t="n">
        <v>317139673.2079884</v>
      </c>
      <c r="D399" s="11" t="n">
        <v>137654571</v>
      </c>
      <c r="E399" s="11" t="n"/>
      <c r="F399" s="24" t="n">
        <v>55878768.47456092</v>
      </c>
      <c r="G399" s="24" t="n">
        <v>11998252.18820591</v>
      </c>
      <c r="H399" s="24" t="n">
        <v>1126684.393223714</v>
      </c>
      <c r="I399" s="24" t="n">
        <v>192041669.4227062</v>
      </c>
      <c r="J399" s="24" t="n">
        <v>41988.95035558248</v>
      </c>
      <c r="K399" s="24" t="n">
        <v>56052309.77893616</v>
      </c>
      <c r="L399" s="22">
        <f>SUM(F399:K399)</f>
        <v/>
      </c>
      <c r="M399" s="22">
        <f>Z399/(1-R399)</f>
        <v/>
      </c>
      <c r="N399" s="11" t="n">
        <v>27052.27753100087</v>
      </c>
      <c r="O399" s="11" t="n">
        <v>102727</v>
      </c>
      <c r="P399" s="11" t="n"/>
      <c r="Q399" s="22">
        <f>M399+N399+O399+P399</f>
        <v/>
      </c>
      <c r="R399" s="12" t="n">
        <v>0.01</v>
      </c>
      <c r="S399" s="22">
        <f>M399*R399</f>
        <v/>
      </c>
      <c r="T399" s="22">
        <f>N399*R399</f>
        <v/>
      </c>
      <c r="U399" s="22">
        <f>(O399-V399)*R399</f>
        <v/>
      </c>
      <c r="V399" s="11" t="n">
        <v>22889</v>
      </c>
      <c r="W399" s="11" t="n">
        <v>0</v>
      </c>
      <c r="X399" s="22">
        <f>S399+T399+U399+V399+W399</f>
        <v/>
      </c>
      <c r="Y399" s="11" t="n">
        <v>144842.0403</v>
      </c>
      <c r="Z399" s="22">
        <f>AE399-AB399-AA399-AC399</f>
        <v/>
      </c>
      <c r="AA399" s="22">
        <f>N399-T399-W399</f>
        <v/>
      </c>
      <c r="AB399" s="22">
        <f>O399-V399-U399</f>
        <v/>
      </c>
      <c r="AC399" s="22">
        <f>P399</f>
        <v/>
      </c>
      <c r="AD399" s="23">
        <f>Z399+AA399+AB399+AC399</f>
        <v/>
      </c>
      <c r="AE399" s="11" t="n">
        <v>1094242.8</v>
      </c>
      <c r="AF399" s="24">
        <f>AD399-AE399</f>
        <v/>
      </c>
      <c r="AG399" s="13">
        <f>IF(OR(B399="",B399=0,M399=""),"",M399/B399*10000)</f>
        <v/>
      </c>
      <c r="AH399" s="13">
        <f>IF(OR(C399="",C399=0),"",N399/C399*10000)</f>
        <v/>
      </c>
      <c r="AI399" s="13">
        <f>IF(OR(D399="",D399=0),"",O399/D399*10000)</f>
        <v/>
      </c>
      <c r="AJ399" s="11" t="n">
        <v>8739.876968668941</v>
      </c>
      <c r="AK399" s="11" t="n">
        <v>0</v>
      </c>
      <c r="AL399" s="22">
        <f>AE399+AJ399+AK399</f>
        <v/>
      </c>
      <c r="AM399" s="22">
        <f>AE399</f>
        <v/>
      </c>
      <c r="AN399" s="14" t="n">
        <v>42418.7</v>
      </c>
      <c r="AO399" s="15" t="n">
        <v>25.796236</v>
      </c>
      <c r="AP399" s="14" t="n">
        <v>37820327.28255512</v>
      </c>
      <c r="AQ399" s="14" t="n">
        <v>26422.7486</v>
      </c>
      <c r="AR399" s="14" t="n">
        <v>2325.3605</v>
      </c>
      <c r="AS399" s="14" t="n"/>
      <c r="AT399" s="16" t="n">
        <v>432.7062509106373</v>
      </c>
      <c r="AU399" s="17" t="n">
        <v>0.0214112401</v>
      </c>
      <c r="AV399" s="14" t="n">
        <v>418445443.7997</v>
      </c>
      <c r="AW399" s="18" t="n">
        <v>60100000</v>
      </c>
      <c r="AX399" s="19" t="n">
        <v>37820327.28255512</v>
      </c>
      <c r="AY399" s="18" t="n">
        <v>3100000</v>
      </c>
      <c r="AZ399" s="18">
        <f>1000000000-999448821.1309</f>
        <v/>
      </c>
      <c r="BA399" s="20">
        <f>1000000000-AV399-AW399-AX399-AY399-AZ399</f>
        <v/>
      </c>
      <c r="BB399" s="21" t="n">
        <v>243.154254</v>
      </c>
      <c r="BC399" s="21">
        <f>BA399/1000000-BB399</f>
        <v/>
      </c>
      <c r="BD399" s="22">
        <f>BA399*25.73</f>
        <v/>
      </c>
    </row>
    <row r="400">
      <c r="A400" s="10" t="n">
        <v>46022</v>
      </c>
      <c r="B400" s="11" t="n">
        <v>3113332400.35352</v>
      </c>
      <c r="C400" s="11" t="n">
        <v>233152447.6062654</v>
      </c>
      <c r="D400" s="11" t="n">
        <v>147729875</v>
      </c>
      <c r="E400" s="11" t="n"/>
      <c r="F400" s="24" t="n">
        <v>56828393.17533302</v>
      </c>
      <c r="G400" s="24" t="n">
        <v>8624400.048792401</v>
      </c>
      <c r="H400" s="24" t="n">
        <v>1140807.38117007</v>
      </c>
      <c r="I400" s="24" t="n">
        <v>105656057.5083518</v>
      </c>
      <c r="J400" s="24" t="n">
        <v>251829.7393218432</v>
      </c>
      <c r="K400" s="24" t="n">
        <v>60650959.75329628</v>
      </c>
      <c r="L400" s="22">
        <f>SUM(F400:K400)</f>
        <v/>
      </c>
      <c r="M400" s="22">
        <f>Z400/(1-R400)</f>
        <v/>
      </c>
      <c r="N400" s="11" t="n">
        <v>22873.37638099993</v>
      </c>
      <c r="O400" s="11" t="n">
        <v>114605</v>
      </c>
      <c r="P400" s="11" t="n"/>
      <c r="Q400" s="22">
        <f>M400+N400+O400+P400</f>
        <v/>
      </c>
      <c r="R400" s="12" t="n">
        <v>0.01</v>
      </c>
      <c r="S400" s="22">
        <f>M400*R400</f>
        <v/>
      </c>
      <c r="T400" s="22">
        <f>N400*R400</f>
        <v/>
      </c>
      <c r="U400" s="22">
        <f>(O400-V400)*R400</f>
        <v/>
      </c>
      <c r="V400" s="11" t="n">
        <v>26425</v>
      </c>
      <c r="W400" s="11" t="n">
        <v>0</v>
      </c>
      <c r="X400" s="22">
        <f>S400+T400+U400+V400+W400</f>
        <v/>
      </c>
      <c r="Y400" s="11" t="n">
        <v>134476.5757</v>
      </c>
      <c r="Z400" s="22">
        <f>AE400-AB400-AA400-AC400</f>
        <v/>
      </c>
      <c r="AA400" s="22">
        <f>N400-T400-W400</f>
        <v/>
      </c>
      <c r="AB400" s="22">
        <f>O400-V400-U400</f>
        <v/>
      </c>
      <c r="AC400" s="22">
        <f>P400</f>
        <v/>
      </c>
      <c r="AD400" s="23">
        <f>Z400+AA400+AB400+AC400</f>
        <v/>
      </c>
      <c r="AE400" s="11" t="n">
        <v>925782.04</v>
      </c>
      <c r="AF400" s="24">
        <f>AD400-AE400</f>
        <v/>
      </c>
      <c r="AG400" s="13">
        <f>IF(OR(B400="",B400=0,M400=""),"",M400/B400*10000)</f>
        <v/>
      </c>
      <c r="AH400" s="13">
        <f>IF(OR(C400="",C400=0),"",N400/C400*10000)</f>
        <v/>
      </c>
      <c r="AI400" s="13">
        <f>IF(OR(D400="",D400=0),"",O400/D400*10000)</f>
        <v/>
      </c>
      <c r="AJ400" s="11" t="n">
        <v>5715.616633279446</v>
      </c>
      <c r="AK400" s="11" t="n">
        <v>14291.99</v>
      </c>
      <c r="AL400" s="22">
        <f>AE400+AJ400+AK400</f>
        <v/>
      </c>
      <c r="AM400" s="22">
        <f>AE400</f>
        <v/>
      </c>
      <c r="AN400" s="14" t="n">
        <v>35871.89</v>
      </c>
      <c r="AO400" s="15" t="n">
        <v>25.808009</v>
      </c>
      <c r="AP400" s="14" t="n">
        <v>37855111.82255512</v>
      </c>
      <c r="AQ400" s="14" t="n">
        <v>26413.0512</v>
      </c>
      <c r="AR400" s="14" t="n">
        <v>1757.3829</v>
      </c>
      <c r="AS400" s="14" t="n"/>
      <c r="AT400" s="16" t="n">
        <v>432.3216536987692</v>
      </c>
      <c r="AU400" s="17" t="n">
        <v>0.0214206519</v>
      </c>
      <c r="AV400" s="14" t="n">
        <v>418419030.7485</v>
      </c>
      <c r="AW400" s="18" t="n">
        <v>60100000</v>
      </c>
      <c r="AX400" s="19" t="n">
        <v>37855111.82255512</v>
      </c>
      <c r="AY400" s="18" t="n">
        <v>3100000</v>
      </c>
      <c r="AZ400" s="18">
        <f>1000000000-999447063.7481</f>
        <v/>
      </c>
      <c r="BA400" s="20">
        <f>1000000000-AV400-AW400-AX400-AY400-AZ400</f>
        <v/>
      </c>
      <c r="BB400" s="21" t="n">
        <v>243.154254</v>
      </c>
      <c r="BC400" s="21">
        <f>BA400/1000000-BB400</f>
        <v/>
      </c>
      <c r="BD400" s="22">
        <f>BA400*25.86</f>
        <v/>
      </c>
    </row>
    <row r="401">
      <c r="A401" s="10" t="n">
        <v>46023</v>
      </c>
      <c r="B401" s="11" t="n">
        <v>2212935396.90857</v>
      </c>
      <c r="C401" s="11" t="n">
        <v>60600304.52781042</v>
      </c>
      <c r="D401" s="11" t="n">
        <v>140412000</v>
      </c>
      <c r="E401" s="11" t="n"/>
      <c r="F401" s="24" t="n">
        <v>7106212.597954084</v>
      </c>
      <c r="G401" s="24" t="n">
        <v>7790443.057887217</v>
      </c>
      <c r="H401" s="24" t="n">
        <v>299699.9050250973</v>
      </c>
      <c r="I401" s="24" t="n">
        <v>35558878.97668833</v>
      </c>
      <c r="J401" s="24" t="n">
        <v>134862.2093551059</v>
      </c>
      <c r="K401" s="24" t="n">
        <v>9710207.780900588</v>
      </c>
      <c r="L401" s="22">
        <f>SUM(F401:K401)</f>
        <v/>
      </c>
      <c r="M401" s="22">
        <f>Z401/(1-R401)</f>
        <v/>
      </c>
      <c r="N401" s="11" t="n">
        <v>10718.90028999999</v>
      </c>
      <c r="O401" s="11" t="n">
        <v>104358</v>
      </c>
      <c r="P401" s="11" t="n"/>
      <c r="Q401" s="22">
        <f>M401+N401+O401+P401</f>
        <v/>
      </c>
      <c r="R401" s="12" t="n">
        <v>0.01</v>
      </c>
      <c r="S401" s="22">
        <f>M401*R401</f>
        <v/>
      </c>
      <c r="T401" s="22">
        <f>N401*R401</f>
        <v/>
      </c>
      <c r="U401" s="22">
        <f>(O401-V401)*R401</f>
        <v/>
      </c>
      <c r="V401" s="11" t="n">
        <v>25161</v>
      </c>
      <c r="W401" s="11" t="n">
        <v>0</v>
      </c>
      <c r="X401" s="22">
        <f>S401+T401+U401+V401+W401</f>
        <v/>
      </c>
      <c r="Y401" s="11" t="n">
        <v>91907.0785</v>
      </c>
      <c r="Z401" s="22">
        <f>AE401-AB401-AA401-AC401</f>
        <v/>
      </c>
      <c r="AA401" s="22">
        <f>N401-T401-W401</f>
        <v/>
      </c>
      <c r="AB401" s="22">
        <f>O401-V401-U401</f>
        <v/>
      </c>
      <c r="AC401" s="22">
        <f>P401</f>
        <v/>
      </c>
      <c r="AD401" s="23">
        <f>Z401+AA401+AB401+AC401</f>
        <v/>
      </c>
      <c r="AE401" s="11" t="n">
        <v>705293.7</v>
      </c>
      <c r="AF401" s="24">
        <f>AD401-AE401</f>
        <v/>
      </c>
      <c r="AG401" s="13">
        <f>IF(OR(B401="",B401=0,M401=""),"",M401/B401*10000)</f>
        <v/>
      </c>
      <c r="AH401" s="13">
        <f>IF(OR(C401="",C401=0),"",N401/C401*10000)</f>
        <v/>
      </c>
      <c r="AI401" s="13">
        <f>IF(OR(D401="",D401=0),"",O401/D401*10000)</f>
        <v/>
      </c>
      <c r="AJ401" s="11" t="n">
        <v>12253.04253594799</v>
      </c>
      <c r="AK401" s="11" t="n">
        <v>12900.83</v>
      </c>
      <c r="AL401" s="22">
        <f>AE401+AJ401+AK401</f>
        <v/>
      </c>
      <c r="AM401" s="22">
        <f>AE401</f>
        <v/>
      </c>
      <c r="AN401" s="14" t="n">
        <v>28382.23</v>
      </c>
      <c r="AO401" s="15" t="n">
        <v>24.849834</v>
      </c>
      <c r="AP401" s="14" t="n">
        <v>37884623.35255512</v>
      </c>
      <c r="AQ401" s="14" t="n">
        <v>26402.7064</v>
      </c>
      <c r="AR401" s="14" t="n">
        <v>1053.6984</v>
      </c>
      <c r="AS401" s="14" t="n"/>
      <c r="AT401" s="16" t="n">
        <v>432.1448158155192</v>
      </c>
      <c r="AU401" s="17" t="n">
        <v>0.0214249837</v>
      </c>
      <c r="AV401" s="14" t="n">
        <v>418392628.0421</v>
      </c>
      <c r="AW401" s="18" t="n">
        <v>60100000</v>
      </c>
      <c r="AX401" s="19" t="n">
        <v>37884623.35255512</v>
      </c>
      <c r="AY401" s="18" t="n">
        <v>3100000</v>
      </c>
      <c r="AZ401" s="18">
        <f>1000000000-999446010.0497</f>
        <v/>
      </c>
      <c r="BA401" s="20">
        <f>1000000000-AV401-AW401-AX401-AY401-AZ401</f>
        <v/>
      </c>
      <c r="BB401" s="21" t="n">
        <v>243.154254</v>
      </c>
      <c r="BC401" s="21">
        <f>BA401/1000000-BB401</f>
        <v/>
      </c>
      <c r="BD401" s="22">
        <f>BA401*25.53</f>
        <v/>
      </c>
    </row>
    <row r="402">
      <c r="A402" s="10" t="n">
        <v>46024</v>
      </c>
      <c r="B402" s="11" t="n">
        <v>6743412195.822359</v>
      </c>
      <c r="C402" s="11" t="n">
        <v>324447883.2273147</v>
      </c>
      <c r="D402" s="11" t="n">
        <v>158982706</v>
      </c>
      <c r="E402" s="11" t="n"/>
      <c r="F402" s="24" t="n">
        <v>41203540.72469459</v>
      </c>
      <c r="G402" s="24" t="n">
        <v>15779950.25850063</v>
      </c>
      <c r="H402" s="24" t="n">
        <v>1568315.921927135</v>
      </c>
      <c r="I402" s="24" t="n">
        <v>190789838.2437967</v>
      </c>
      <c r="J402" s="24" t="n">
        <v>84151.7914258167</v>
      </c>
      <c r="K402" s="24" t="n">
        <v>75022086.28696978</v>
      </c>
      <c r="L402" s="22">
        <f>SUM(F402:K402)</f>
        <v/>
      </c>
      <c r="M402" s="22">
        <f>Z402/(1-R402)</f>
        <v/>
      </c>
      <c r="N402" s="11" t="n">
        <v>30023.47994000012</v>
      </c>
      <c r="O402" s="11" t="n">
        <v>107757</v>
      </c>
      <c r="P402" s="11" t="n"/>
      <c r="Q402" s="22">
        <f>M402+N402+O402+P402</f>
        <v/>
      </c>
      <c r="R402" s="12" t="n">
        <v>0.01</v>
      </c>
      <c r="S402" s="22">
        <f>M402*R402</f>
        <v/>
      </c>
      <c r="T402" s="22">
        <f>N402*R402</f>
        <v/>
      </c>
      <c r="U402" s="22">
        <f>(O402-V402)*R402</f>
        <v/>
      </c>
      <c r="V402" s="11" t="n">
        <v>27679</v>
      </c>
      <c r="W402" s="11" t="n">
        <v>0</v>
      </c>
      <c r="X402" s="22">
        <f>S402+T402+U402+V402+W402</f>
        <v/>
      </c>
      <c r="Y402" s="11" t="n">
        <v>216762.6362</v>
      </c>
      <c r="Z402" s="22">
        <f>AE402-AB402-AA402-AC402</f>
        <v/>
      </c>
      <c r="AA402" s="22">
        <f>N402-T402-W402</f>
        <v/>
      </c>
      <c r="AB402" s="22">
        <f>O402-V402-U402</f>
        <v/>
      </c>
      <c r="AC402" s="22">
        <f>P402</f>
        <v/>
      </c>
      <c r="AD402" s="23">
        <f>Z402+AA402+AB402+AC402</f>
        <v/>
      </c>
      <c r="AE402" s="11" t="n">
        <v>1898721.29</v>
      </c>
      <c r="AF402" s="24">
        <f>AD402-AE402</f>
        <v/>
      </c>
      <c r="AG402" s="13">
        <f>IF(OR(B402="",B402=0,M402=""),"",M402/B402*10000)</f>
        <v/>
      </c>
      <c r="AH402" s="13">
        <f>IF(OR(C402="",C402=0),"",N402/C402*10000)</f>
        <v/>
      </c>
      <c r="AI402" s="13">
        <f>IF(OR(D402="",D402=0),"",O402/D402*10000)</f>
        <v/>
      </c>
      <c r="AJ402" s="11" t="n">
        <v>12554.25972530847</v>
      </c>
      <c r="AK402" s="11" t="n">
        <v>0</v>
      </c>
      <c r="AL402" s="22">
        <f>AE402+AJ402+AK402</f>
        <v/>
      </c>
      <c r="AM402" s="22">
        <f>AE402</f>
        <v/>
      </c>
      <c r="AN402" s="14" t="n">
        <v>77430.46000000001</v>
      </c>
      <c r="AO402" s="15" t="n">
        <v>24.521633</v>
      </c>
      <c r="AP402" s="14" t="n">
        <v>37961240.11255512</v>
      </c>
      <c r="AQ402" s="14" t="n">
        <v>26401.8144</v>
      </c>
      <c r="AR402" s="14" t="n">
        <v>2093.0828</v>
      </c>
      <c r="AS402" s="14" t="n"/>
      <c r="AT402" s="16" t="n">
        <v>432.1400064203281</v>
      </c>
      <c r="AU402" s="17" t="n">
        <v>0.0214251015</v>
      </c>
      <c r="AV402" s="14" t="n">
        <v>418366226.2277</v>
      </c>
      <c r="AW402" s="18" t="n">
        <v>60100000</v>
      </c>
      <c r="AX402" s="19" t="n">
        <v>37961240.11255512</v>
      </c>
      <c r="AY402" s="18" t="n">
        <v>3100000</v>
      </c>
      <c r="AZ402" s="18">
        <f>1000000000-999443916.9669</f>
        <v/>
      </c>
      <c r="BA402" s="20">
        <f>1000000000-AV402-AW402-AX402-AY402-AZ402</f>
        <v/>
      </c>
      <c r="BB402" s="21" t="n">
        <v>243.154254</v>
      </c>
      <c r="BC402" s="21">
        <f>BA402/1000000-BB402</f>
        <v/>
      </c>
      <c r="BD402" s="22">
        <f>BA402*24.29</f>
        <v/>
      </c>
    </row>
    <row r="403">
      <c r="A403" s="10" t="n">
        <v>46025</v>
      </c>
      <c r="B403" s="11" t="n">
        <v>3230074061.402584</v>
      </c>
      <c r="C403" s="11" t="n">
        <v>79804737.01122037</v>
      </c>
      <c r="D403" s="11" t="n">
        <v>97545435</v>
      </c>
      <c r="E403" s="11" t="n"/>
      <c r="F403" s="24" t="n">
        <v>8506720.622646645</v>
      </c>
      <c r="G403" s="24" t="n">
        <v>11475587.72281034</v>
      </c>
      <c r="H403" s="24" t="n">
        <v>1262529.23203587</v>
      </c>
      <c r="I403" s="24" t="n">
        <v>37746432.0966144</v>
      </c>
      <c r="J403" s="24" t="n">
        <v>90906.08949622378</v>
      </c>
      <c r="K403" s="24" t="n">
        <v>20722561.24761691</v>
      </c>
      <c r="L403" s="22">
        <f>SUM(F403:K403)</f>
        <v/>
      </c>
      <c r="M403" s="22">
        <f>Z403/(1-R403)</f>
        <v/>
      </c>
      <c r="N403" s="11" t="n">
        <v>14221.6387420013</v>
      </c>
      <c r="O403" s="11" t="n">
        <v>62476</v>
      </c>
      <c r="P403" s="11" t="n"/>
      <c r="Q403" s="22">
        <f>M403+N403+O403+P403</f>
        <v/>
      </c>
      <c r="R403" s="12" t="n">
        <v>0.01</v>
      </c>
      <c r="S403" s="22">
        <f>M403*R403</f>
        <v/>
      </c>
      <c r="T403" s="22">
        <f>N403*R403</f>
        <v/>
      </c>
      <c r="U403" s="22">
        <f>(O403-V403)*R403</f>
        <v/>
      </c>
      <c r="V403" s="11" t="n">
        <v>15890</v>
      </c>
      <c r="W403" s="11" t="n">
        <v>0</v>
      </c>
      <c r="X403" s="22">
        <f>S403+T403+U403+V403+W403</f>
        <v/>
      </c>
      <c r="Y403" s="11" t="n">
        <v>103189.9043</v>
      </c>
      <c r="Z403" s="22">
        <f>AE403-AB403-AA403-AC403</f>
        <v/>
      </c>
      <c r="AA403" s="22">
        <f>N403-T403-W403</f>
        <v/>
      </c>
      <c r="AB403" s="22">
        <f>O403-V403-U403</f>
        <v/>
      </c>
      <c r="AC403" s="22">
        <f>P403</f>
        <v/>
      </c>
      <c r="AD403" s="23">
        <f>Z403+AA403+AB403+AC403</f>
        <v/>
      </c>
      <c r="AE403" s="11" t="n">
        <v>1002009.44</v>
      </c>
      <c r="AF403" s="24">
        <f>AD403-AE403</f>
        <v/>
      </c>
      <c r="AG403" s="13">
        <f>IF(OR(B403="",B403=0,M403=""),"",M403/B403*10000)</f>
        <v/>
      </c>
      <c r="AH403" s="13">
        <f>IF(OR(C403="",C403=0),"",N403/C403*10000)</f>
        <v/>
      </c>
      <c r="AI403" s="13">
        <f>IF(OR(D403="",D403=0),"",O403/D403*10000)</f>
        <v/>
      </c>
      <c r="AJ403" s="11" t="n">
        <v>7939.062371925125</v>
      </c>
      <c r="AK403" s="11" t="n">
        <v>12370.61</v>
      </c>
      <c r="AL403" s="22">
        <f>AE403+AJ403+AK403</f>
        <v/>
      </c>
      <c r="AM403" s="22">
        <f>AE403</f>
        <v/>
      </c>
      <c r="AN403" s="14" t="n">
        <v>40475</v>
      </c>
      <c r="AO403" s="15" t="n">
        <v>24.756256</v>
      </c>
      <c r="AP403" s="14" t="n">
        <v>38005028.39255512</v>
      </c>
      <c r="AQ403" s="14" t="n">
        <v>26396.0166</v>
      </c>
      <c r="AR403" s="14" t="n">
        <v>1639.5284</v>
      </c>
      <c r="AS403" s="14" t="n"/>
      <c r="AT403" s="16" t="n">
        <v>431.7486515570541</v>
      </c>
      <c r="AU403" s="17" t="n">
        <v>0.0214346975</v>
      </c>
      <c r="AV403" s="14" t="n">
        <v>418339830.211</v>
      </c>
      <c r="AW403" s="18" t="n">
        <v>60100000</v>
      </c>
      <c r="AX403" s="19" t="n">
        <v>38005028.39255512</v>
      </c>
      <c r="AY403" s="18" t="n">
        <v>3100000</v>
      </c>
      <c r="AZ403" s="18">
        <f>1000000000-999442277.4385</f>
        <v/>
      </c>
      <c r="BA403" s="20">
        <f>1000000000-AV403-AW403-AX403-AY403-AZ403</f>
        <v/>
      </c>
      <c r="BB403" s="21" t="n">
        <v>243.154254</v>
      </c>
      <c r="BC403" s="21">
        <f>BA403/1000000-BB403</f>
        <v/>
      </c>
      <c r="BD403" s="22">
        <f>BA403*24.58</f>
        <v/>
      </c>
    </row>
    <row r="404">
      <c r="A404" s="10" t="n">
        <v>46026</v>
      </c>
      <c r="B404" s="11" t="n">
        <v>3505549432.501831</v>
      </c>
      <c r="C404" s="11" t="n">
        <v>75856115.84248272</v>
      </c>
      <c r="D404" s="11" t="n">
        <v>77369559</v>
      </c>
      <c r="E404" s="11" t="n"/>
      <c r="F404" s="24" t="n">
        <v>8434145.322809987</v>
      </c>
      <c r="G404" s="24" t="n">
        <v>13914095.29027161</v>
      </c>
      <c r="H404" s="24" t="n">
        <v>1912177.863308461</v>
      </c>
      <c r="I404" s="24" t="n">
        <v>37553305.97568129</v>
      </c>
      <c r="J404" s="24" t="n">
        <v>45138.34404736204</v>
      </c>
      <c r="K404" s="24" t="n">
        <v>13997253.046364</v>
      </c>
      <c r="L404" s="22">
        <f>SUM(F404:K404)</f>
        <v/>
      </c>
      <c r="M404" s="22">
        <f>Z404/(1-R404)</f>
        <v/>
      </c>
      <c r="N404" s="11" t="n">
        <v>13829.89314000166</v>
      </c>
      <c r="O404" s="11" t="n">
        <v>39784</v>
      </c>
      <c r="P404" s="11" t="n"/>
      <c r="Q404" s="22">
        <f>M404+N404+O404+P404</f>
        <v/>
      </c>
      <c r="R404" s="12" t="n">
        <v>0.01</v>
      </c>
      <c r="S404" s="22">
        <f>M404*R404</f>
        <v/>
      </c>
      <c r="T404" s="22">
        <f>N404*R404</f>
        <v/>
      </c>
      <c r="U404" s="22">
        <f>(O404-V404)*R404</f>
        <v/>
      </c>
      <c r="V404" s="11" t="n">
        <v>10068</v>
      </c>
      <c r="W404" s="11" t="n">
        <v>0</v>
      </c>
      <c r="X404" s="22">
        <f>S404+T404+U404+V404+W404</f>
        <v/>
      </c>
      <c r="Y404" s="11" t="n">
        <v>93718.3317</v>
      </c>
      <c r="Z404" s="22">
        <f>AE404-AB404-AA404-AC404</f>
        <v/>
      </c>
      <c r="AA404" s="22">
        <f>N404-T404-W404</f>
        <v/>
      </c>
      <c r="AB404" s="22">
        <f>O404-V404-U404</f>
        <v/>
      </c>
      <c r="AC404" s="22">
        <f>P404</f>
        <v/>
      </c>
      <c r="AD404" s="23">
        <f>Z404+AA404+AB404+AC404</f>
        <v/>
      </c>
      <c r="AE404" s="11" t="n">
        <v>1024144.58</v>
      </c>
      <c r="AF404" s="24">
        <f>AD404-AE404</f>
        <v/>
      </c>
      <c r="AG404" s="13">
        <f>IF(OR(B404="",B404=0,M404=""),"",M404/B404*10000)</f>
        <v/>
      </c>
      <c r="AH404" s="13">
        <f>IF(OR(C404="",C404=0),"",N404/C404*10000)</f>
        <v/>
      </c>
      <c r="AI404" s="13">
        <f>IF(OR(D404="",D404=0),"",O404/D404*10000)</f>
        <v/>
      </c>
      <c r="AJ404" s="11" t="n">
        <v>9542.379886769841</v>
      </c>
      <c r="AK404" s="11" t="n">
        <v>12833.11</v>
      </c>
      <c r="AL404" s="22">
        <f>AE404+AJ404+AK404</f>
        <v/>
      </c>
      <c r="AM404" s="22">
        <f>AE404</f>
        <v/>
      </c>
      <c r="AN404" s="14" t="n">
        <v>39990.23</v>
      </c>
      <c r="AO404" s="15" t="n">
        <v>25.60987</v>
      </c>
      <c r="AP404" s="14" t="n">
        <v>38044332.31255512</v>
      </c>
      <c r="AQ404" s="14" t="n">
        <v>26350.9539</v>
      </c>
      <c r="AR404" s="14" t="n">
        <v>2062.1422</v>
      </c>
      <c r="AS404" s="14" t="n"/>
      <c r="AT404" s="16" t="n">
        <v>431.6602049894424</v>
      </c>
      <c r="AU404" s="17" t="n">
        <v>0.021436868</v>
      </c>
      <c r="AV404" s="14" t="n">
        <v>418313479.2572</v>
      </c>
      <c r="AW404" s="18" t="n">
        <v>60100000</v>
      </c>
      <c r="AX404" s="19" t="n">
        <v>38044332.31255512</v>
      </c>
      <c r="AY404" s="18" t="n">
        <v>3100000</v>
      </c>
      <c r="AZ404" s="18">
        <f>1000000000-999440215.2962</f>
        <v/>
      </c>
      <c r="BA404" s="20">
        <f>1000000000-AV404-AW404-AX404-AY404-AZ404</f>
        <v/>
      </c>
      <c r="BB404" s="21" t="n">
        <v>243.154254</v>
      </c>
      <c r="BC404" s="21">
        <f>BA404/1000000-BB404</f>
        <v/>
      </c>
      <c r="BD404" s="22">
        <f>BA404*25.18</f>
        <v/>
      </c>
    </row>
    <row r="405">
      <c r="A405" s="10" t="n">
        <v>46027</v>
      </c>
      <c r="B405" s="11" t="n">
        <v>7232989104.228195</v>
      </c>
      <c r="C405" s="11" t="n">
        <v>332533491.1479264</v>
      </c>
      <c r="D405" s="11" t="n">
        <v>153796466</v>
      </c>
      <c r="E405" s="11" t="n"/>
      <c r="F405" s="24" t="n">
        <v>44385650.87703804</v>
      </c>
      <c r="G405" s="24" t="n">
        <v>22183816.78130233</v>
      </c>
      <c r="H405" s="24" t="n">
        <v>1677595.692716618</v>
      </c>
      <c r="I405" s="24" t="n">
        <v>175188203.135415</v>
      </c>
      <c r="J405" s="24" t="n">
        <v>319378.9915713498</v>
      </c>
      <c r="K405" s="24" t="n">
        <v>88778845.669883</v>
      </c>
      <c r="L405" s="22">
        <f>SUM(F405:K405)</f>
        <v/>
      </c>
      <c r="M405" s="22">
        <f>Z405/(1-R405)</f>
        <v/>
      </c>
      <c r="N405" s="11" t="n">
        <v>42641.29703799954</v>
      </c>
      <c r="O405" s="11" t="n">
        <v>79063</v>
      </c>
      <c r="P405" s="11" t="n"/>
      <c r="Q405" s="22">
        <f>M405+N405+O405+P405</f>
        <v/>
      </c>
      <c r="R405" s="12" t="n">
        <v>0.01</v>
      </c>
      <c r="S405" s="22">
        <f>M405*R405</f>
        <v/>
      </c>
      <c r="T405" s="22">
        <f>N405*R405</f>
        <v/>
      </c>
      <c r="U405" s="22">
        <f>(O405-V405)*R405</f>
        <v/>
      </c>
      <c r="V405" s="11" t="n">
        <v>20654</v>
      </c>
      <c r="W405" s="11" t="n">
        <v>0</v>
      </c>
      <c r="X405" s="22">
        <f>S405+T405+U405+V405+W405</f>
        <v/>
      </c>
      <c r="Y405" s="11" t="n">
        <v>163479.2466</v>
      </c>
      <c r="Z405" s="22">
        <f>AE405-AB405-AA405-AC405</f>
        <v/>
      </c>
      <c r="AA405" s="22">
        <f>N405-T405-W405</f>
        <v/>
      </c>
      <c r="AB405" s="22">
        <f>O405-V405-U405</f>
        <v/>
      </c>
      <c r="AC405" s="22">
        <f>P405</f>
        <v/>
      </c>
      <c r="AD405" s="23">
        <f>Z405+AA405+AB405+AC405</f>
        <v/>
      </c>
      <c r="AE405" s="11" t="n">
        <v>2086165.61</v>
      </c>
      <c r="AF405" s="24">
        <f>AD405-AE405</f>
        <v/>
      </c>
      <c r="AG405" s="13">
        <f>IF(OR(B405="",B405=0,M405=""),"",M405/B405*10000)</f>
        <v/>
      </c>
      <c r="AH405" s="13">
        <f>IF(OR(C405="",C405=0),"",N405/C405*10000)</f>
        <v/>
      </c>
      <c r="AI405" s="13">
        <f>IF(OR(D405="",D405=0),"",O405/D405*10000)</f>
        <v/>
      </c>
      <c r="AJ405" s="11" t="n">
        <v>17385.42542818884</v>
      </c>
      <c r="AK405" s="11" t="n">
        <v>13668.27</v>
      </c>
      <c r="AL405" s="22">
        <f>AE405+AJ405+AK405</f>
        <v/>
      </c>
      <c r="AM405" s="22">
        <f>AE405</f>
        <v/>
      </c>
      <c r="AN405" s="14" t="n">
        <v>78485.08</v>
      </c>
      <c r="AO405" s="15" t="n">
        <v>26.58041</v>
      </c>
      <c r="AP405" s="14" t="n">
        <v>38120898.50255512</v>
      </c>
      <c r="AQ405" s="14" t="n">
        <v>26387.3723</v>
      </c>
      <c r="AR405" s="14" t="n">
        <v>901.9737</v>
      </c>
      <c r="AS405" s="14" t="n"/>
      <c r="AT405" s="16" t="n">
        <v>431.8697967720277</v>
      </c>
      <c r="AU405" s="17" t="n">
        <v>0.0214317257</v>
      </c>
      <c r="AV405" s="14" t="n">
        <v>418287091.8849</v>
      </c>
      <c r="AW405" s="18" t="n">
        <v>60100000</v>
      </c>
      <c r="AX405" s="19" t="n">
        <v>38120898.50255512</v>
      </c>
      <c r="AY405" s="18" t="n">
        <v>3100000</v>
      </c>
      <c r="AZ405" s="18">
        <f>1000000000-999439313.3225</f>
        <v/>
      </c>
      <c r="BA405" s="20">
        <f>1000000000-AV405-AW405-AX405-AY405-AZ405</f>
        <v/>
      </c>
      <c r="BB405" s="21" t="n">
        <v>243.154254</v>
      </c>
      <c r="BC405" s="21">
        <f>BA405/1000000-BB405</f>
        <v/>
      </c>
      <c r="BD405" s="22">
        <f>BA405*26.58</f>
        <v/>
      </c>
    </row>
    <row r="406">
      <c r="A406" s="10" t="n">
        <v>46028</v>
      </c>
      <c r="B406" s="11" t="n">
        <v>7912429844.502151</v>
      </c>
      <c r="C406" s="11" t="n">
        <v>327284749.6650463</v>
      </c>
      <c r="D406" s="11" t="n">
        <v>179663491</v>
      </c>
      <c r="E406" s="11" t="n"/>
      <c r="F406" s="24" t="n">
        <v>70051344.54217443</v>
      </c>
      <c r="G406" s="24" t="n">
        <v>23796263.12345016</v>
      </c>
      <c r="H406" s="24" t="n">
        <v>2298618.646007163</v>
      </c>
      <c r="I406" s="24" t="n">
        <v>154848744.2452502</v>
      </c>
      <c r="J406" s="24" t="n">
        <v>483376.3072598437</v>
      </c>
      <c r="K406" s="24" t="n">
        <v>75806402.80090454</v>
      </c>
      <c r="L406" s="22">
        <f>SUM(F406:K406)</f>
        <v/>
      </c>
      <c r="M406" s="22">
        <f>Z406/(1-R406)</f>
        <v/>
      </c>
      <c r="N406" s="11" t="n">
        <v>46645.66009600041</v>
      </c>
      <c r="O406" s="11" t="n">
        <v>95638</v>
      </c>
      <c r="P406" s="11" t="n"/>
      <c r="Q406" s="22">
        <f>M406+N406+O406+P406</f>
        <v/>
      </c>
      <c r="R406" s="12" t="n">
        <v>0.01</v>
      </c>
      <c r="S406" s="22">
        <f>M406*R406</f>
        <v/>
      </c>
      <c r="T406" s="22">
        <f>N406*R406</f>
        <v/>
      </c>
      <c r="U406" s="22">
        <f>(O406-V406)*R406</f>
        <v/>
      </c>
      <c r="V406" s="11" t="n">
        <v>21293</v>
      </c>
      <c r="W406" s="11" t="n">
        <v>0</v>
      </c>
      <c r="X406" s="22">
        <f>S406+T406+U406+V406+W406</f>
        <v/>
      </c>
      <c r="Y406" s="11" t="n">
        <v>152308.9249</v>
      </c>
      <c r="Z406" s="22">
        <f>AE406-AB406-AA406-AC406</f>
        <v/>
      </c>
      <c r="AA406" s="22">
        <f>N406-T406-W406</f>
        <v/>
      </c>
      <c r="AB406" s="22">
        <f>O406-V406-U406</f>
        <v/>
      </c>
      <c r="AC406" s="22">
        <f>P406</f>
        <v/>
      </c>
      <c r="AD406" s="23">
        <f>Z406+AA406+AB406+AC406</f>
        <v/>
      </c>
      <c r="AE406" s="11" t="n">
        <v>2374650.41</v>
      </c>
      <c r="AF406" s="24">
        <f>AD406-AE406</f>
        <v/>
      </c>
      <c r="AG406" s="13">
        <f>IF(OR(B406="",B406=0,M406=""),"",M406/B406*10000)</f>
        <v/>
      </c>
      <c r="AH406" s="13">
        <f>IF(OR(C406="",C406=0),"",N406/C406*10000)</f>
        <v/>
      </c>
      <c r="AI406" s="13">
        <f>IF(OR(D406="",D406=0),"",O406/D406*10000)</f>
        <v/>
      </c>
      <c r="AJ406" s="11" t="n">
        <v>18797.20049602148</v>
      </c>
      <c r="AK406" s="11" t="n">
        <v>16907.82</v>
      </c>
      <c r="AL406" s="22">
        <f>AE406+AJ406+AK406</f>
        <v/>
      </c>
      <c r="AM406" s="22">
        <f>AE406</f>
        <v/>
      </c>
      <c r="AN406" s="14" t="n">
        <v>88011.81</v>
      </c>
      <c r="AO406" s="15" t="n">
        <v>26.981043</v>
      </c>
      <c r="AP406" s="14" t="n">
        <v>38212022.86255512</v>
      </c>
      <c r="AQ406" s="14" t="n">
        <v>26389.3646</v>
      </c>
      <c r="AR406" s="14" t="n">
        <v>2534.2663</v>
      </c>
      <c r="AS406" s="14" t="n">
        <v>1125766</v>
      </c>
      <c r="AT406" s="16" t="n">
        <v>431.3273661347142</v>
      </c>
      <c r="AU406" s="17" t="n">
        <v>0.0214450419</v>
      </c>
      <c r="AV406" s="14" t="n">
        <v>418260702.5203</v>
      </c>
      <c r="AW406" s="18" t="n">
        <v>60100000</v>
      </c>
      <c r="AX406" s="19" t="n">
        <v>38212022.86255512</v>
      </c>
      <c r="AY406" s="18" t="n">
        <v>3100000</v>
      </c>
      <c r="AZ406" s="18">
        <f>1000000000-999436779.0563</f>
        <v/>
      </c>
      <c r="BA406" s="20">
        <f>1000000000-AV406-AW406-AX406-AY406-AZ406</f>
        <v/>
      </c>
      <c r="BB406" s="21" t="n">
        <v>242.028488</v>
      </c>
      <c r="BC406" s="21">
        <f>BA406/1000000-BB406</f>
        <v/>
      </c>
      <c r="BD406" s="22">
        <f>BA406*26.72</f>
        <v/>
      </c>
    </row>
    <row r="407">
      <c r="A407" s="10" t="n">
        <v>46029</v>
      </c>
      <c r="B407" s="11" t="n">
        <v>6101231211.096231</v>
      </c>
      <c r="C407" s="11" t="n">
        <v>331731507.0705518</v>
      </c>
      <c r="D407" s="11" t="n">
        <v>122833352</v>
      </c>
      <c r="E407" s="11" t="n"/>
      <c r="F407" s="24" t="n">
        <v>76373385.29601179</v>
      </c>
      <c r="G407" s="24" t="n">
        <v>19967191.04047044</v>
      </c>
      <c r="H407" s="24" t="n">
        <v>3522493.983325214</v>
      </c>
      <c r="I407" s="24" t="n">
        <v>149805134.6007076</v>
      </c>
      <c r="J407" s="24" t="n">
        <v>380452.6999638447</v>
      </c>
      <c r="K407" s="24" t="n">
        <v>81682849.45007294</v>
      </c>
      <c r="L407" s="22">
        <f>SUM(F407:K407)</f>
        <v/>
      </c>
      <c r="M407" s="22">
        <f>Z407/(1-R407)</f>
        <v/>
      </c>
      <c r="N407" s="11" t="n">
        <v>38248.62430300005</v>
      </c>
      <c r="O407" s="11" t="n">
        <v>61994</v>
      </c>
      <c r="P407" s="11" t="n"/>
      <c r="Q407" s="22">
        <f>M407+N407+O407+P407</f>
        <v/>
      </c>
      <c r="R407" s="12" t="n">
        <v>0.01</v>
      </c>
      <c r="S407" s="22">
        <f>M407*R407</f>
        <v/>
      </c>
      <c r="T407" s="22">
        <f>N407*R407</f>
        <v/>
      </c>
      <c r="U407" s="22">
        <f>(O407-V407)*R407</f>
        <v/>
      </c>
      <c r="V407" s="11" t="n">
        <v>13350</v>
      </c>
      <c r="W407" s="11" t="n">
        <v>0</v>
      </c>
      <c r="X407" s="22">
        <f>S407+T407+U407+V407+W407</f>
        <v/>
      </c>
      <c r="Y407" s="11" t="n">
        <v>130250.0977</v>
      </c>
      <c r="Z407" s="22">
        <f>AE407-AB407-AA407-AC407</f>
        <v/>
      </c>
      <c r="AA407" s="22">
        <f>N407-T407-W407</f>
        <v/>
      </c>
      <c r="AB407" s="22">
        <f>O407-V407-U407</f>
        <v/>
      </c>
      <c r="AC407" s="22">
        <f>P407</f>
        <v/>
      </c>
      <c r="AD407" s="23">
        <f>Z407+AA407+AB407+AC407</f>
        <v/>
      </c>
      <c r="AE407" s="11" t="n">
        <v>1865729.21</v>
      </c>
      <c r="AF407" s="24">
        <f>AD407-AE407</f>
        <v/>
      </c>
      <c r="AG407" s="13">
        <f>IF(OR(B407="",B407=0,M407=""),"",M407/B407*10000)</f>
        <v/>
      </c>
      <c r="AH407" s="13">
        <f>IF(OR(C407="",C407=0),"",N407/C407*10000)</f>
        <v/>
      </c>
      <c r="AI407" s="13">
        <f>IF(OR(D407="",D407=0),"",O407/D407*10000)</f>
        <v/>
      </c>
      <c r="AJ407" s="11" t="n">
        <v>15018.5260501421</v>
      </c>
      <c r="AK407" s="11" t="n">
        <v>0</v>
      </c>
      <c r="AL407" s="22">
        <f>AE407+AJ407+AK407</f>
        <v/>
      </c>
      <c r="AM407" s="22">
        <f>AE407</f>
        <v/>
      </c>
      <c r="AN407" s="14" t="n">
        <v>68872.57000000001</v>
      </c>
      <c r="AO407" s="15" t="n">
        <v>27.089583</v>
      </c>
      <c r="AP407" s="14" t="n">
        <v>38277974.16255512</v>
      </c>
      <c r="AQ407" s="14" t="n">
        <v>26373.0482</v>
      </c>
      <c r="AR407" s="14" t="n">
        <v>2947.2225</v>
      </c>
      <c r="AS407" s="14" t="n"/>
      <c r="AT407" s="16" t="n">
        <v>431.3245029100179</v>
      </c>
      <c r="AU407" s="17" t="n">
        <v>0.0214451123</v>
      </c>
      <c r="AV407" s="14" t="n">
        <v>418234329.472</v>
      </c>
      <c r="AW407" s="18" t="n">
        <v>60100000</v>
      </c>
      <c r="AX407" s="19" t="n">
        <v>38277974.16255512</v>
      </c>
      <c r="AY407" s="18" t="n">
        <v>3100000</v>
      </c>
      <c r="AZ407" s="18">
        <f>1000000000-999433831.8338</f>
        <v/>
      </c>
      <c r="BA407" s="20">
        <f>1000000000-AV407-AW407-AX407-AY407-AZ407</f>
        <v/>
      </c>
      <c r="BB407" s="21" t="n">
        <v>242.028488</v>
      </c>
      <c r="BC407" s="21">
        <f>BA407/1000000-BB407</f>
        <v/>
      </c>
      <c r="BD407" s="22">
        <f>BA407*28.01</f>
        <v/>
      </c>
    </row>
    <row r="408">
      <c r="A408" s="10" t="n">
        <v>46030</v>
      </c>
      <c r="B408" s="11" t="n">
        <v>7137201153.464712</v>
      </c>
      <c r="C408" s="11" t="n">
        <v>418653697.5954576</v>
      </c>
      <c r="D408" s="11" t="n">
        <v>120194070</v>
      </c>
      <c r="E408" s="11" t="n"/>
      <c r="F408" s="24" t="n">
        <v>48428934.25734083</v>
      </c>
      <c r="G408" s="24" t="n">
        <v>26331571.65193117</v>
      </c>
      <c r="H408" s="24" t="n">
        <v>2295676.857833385</v>
      </c>
      <c r="I408" s="24" t="n">
        <v>211893220.7479604</v>
      </c>
      <c r="J408" s="24" t="n">
        <v>216807.4343690356</v>
      </c>
      <c r="K408" s="24" t="n">
        <v>129487486.6460228</v>
      </c>
      <c r="L408" s="22">
        <f>SUM(F408:K408)</f>
        <v/>
      </c>
      <c r="M408" s="22">
        <f>Z408/(1-R408)</f>
        <v/>
      </c>
      <c r="N408" s="11" t="n">
        <v>39266.49470599934</v>
      </c>
      <c r="O408" s="11" t="n">
        <v>62662</v>
      </c>
      <c r="P408" s="11" t="n"/>
      <c r="Q408" s="22">
        <f>M408+N408+O408+P408</f>
        <v/>
      </c>
      <c r="R408" s="12" t="n">
        <v>0.01</v>
      </c>
      <c r="S408" s="22">
        <f>M408*R408</f>
        <v/>
      </c>
      <c r="T408" s="22">
        <f>N408*R408</f>
        <v/>
      </c>
      <c r="U408" s="22">
        <f>(O408-V408)*R408</f>
        <v/>
      </c>
      <c r="V408" s="11" t="n">
        <v>15833</v>
      </c>
      <c r="W408" s="11" t="n">
        <v>0</v>
      </c>
      <c r="X408" s="22">
        <f>S408+T408+U408+V408+W408</f>
        <v/>
      </c>
      <c r="Y408" s="11" t="n">
        <v>129361.2114</v>
      </c>
      <c r="Z408" s="22">
        <f>AE408-AB408-AA408-AC408</f>
        <v/>
      </c>
      <c r="AA408" s="22">
        <f>N408-T408-W408</f>
        <v/>
      </c>
      <c r="AB408" s="22">
        <f>O408-V408-U408</f>
        <v/>
      </c>
      <c r="AC408" s="22">
        <f>P408</f>
        <v/>
      </c>
      <c r="AD408" s="23">
        <f>Z408+AA408+AB408+AC408</f>
        <v/>
      </c>
      <c r="AE408" s="11" t="n">
        <v>2091921.83</v>
      </c>
      <c r="AF408" s="24">
        <f>AD408-AE408</f>
        <v/>
      </c>
      <c r="AG408" s="13">
        <f>IF(OR(B408="",B408=0,M408=""),"",M408/B408*10000)</f>
        <v/>
      </c>
      <c r="AH408" s="13">
        <f>IF(OR(C408="",C408=0),"",N408/C408*10000)</f>
        <v/>
      </c>
      <c r="AI408" s="13">
        <f>IF(OR(D408="",D408=0),"",O408/D408*10000)</f>
        <v/>
      </c>
      <c r="AJ408" s="11" t="n">
        <v>8232.556354310345</v>
      </c>
      <c r="AK408" s="11" t="n">
        <v>13696.13</v>
      </c>
      <c r="AL408" s="22">
        <f>AE408+AJ408+AK408</f>
        <v/>
      </c>
      <c r="AM408" s="22">
        <f>AE408</f>
        <v/>
      </c>
      <c r="AN408" s="14" t="n">
        <v>80019.35000000001</v>
      </c>
      <c r="AO408" s="15" t="n">
        <v>26.1427</v>
      </c>
      <c r="AP408" s="14" t="n">
        <v>38357236.18255512</v>
      </c>
      <c r="AQ408" s="14" t="n">
        <v>26374.6414</v>
      </c>
      <c r="AR408" s="14" t="n">
        <v>1968.7768</v>
      </c>
      <c r="AS408" s="14" t="n"/>
      <c r="AT408" s="16" t="n">
        <v>431.3361607032663</v>
      </c>
      <c r="AU408" s="17" t="n">
        <v>0.0214448258</v>
      </c>
      <c r="AV408" s="14" t="n">
        <v>418207954.8306</v>
      </c>
      <c r="AW408" s="18" t="n">
        <v>60100000</v>
      </c>
      <c r="AX408" s="19" t="n">
        <v>38357236.18255512</v>
      </c>
      <c r="AY408" s="18" t="n">
        <v>3100000</v>
      </c>
      <c r="AZ408" s="18">
        <f>1000000000-999431863.057</f>
        <v/>
      </c>
      <c r="BA408" s="20">
        <f>1000000000-AV408-AW408-AX408-AY408-AZ408</f>
        <v/>
      </c>
      <c r="BB408" s="21" t="n">
        <v>242.028488</v>
      </c>
      <c r="BC408" s="21">
        <f>BA408/1000000-BB408</f>
        <v/>
      </c>
      <c r="BD408" s="22">
        <f>BA408*26.79</f>
        <v/>
      </c>
    </row>
    <row r="409">
      <c r="A409" s="10" t="n">
        <v>46031</v>
      </c>
      <c r="B409" s="11" t="n">
        <v>6935373445.740133</v>
      </c>
      <c r="C409" s="11" t="n">
        <v>311595911.5685806</v>
      </c>
      <c r="D409" s="11" t="n">
        <v>109133587</v>
      </c>
      <c r="E409" s="11" t="n"/>
      <c r="F409" s="24" t="n">
        <v>49159727.96044946</v>
      </c>
      <c r="G409" s="24" t="n">
        <v>20390091.46623971</v>
      </c>
      <c r="H409" s="24" t="n">
        <v>2384794.641159026</v>
      </c>
      <c r="I409" s="24" t="n">
        <v>179621456.3222018</v>
      </c>
      <c r="J409" s="24" t="n">
        <v>116010.0971806475</v>
      </c>
      <c r="K409" s="24" t="n">
        <v>59923831.08134994</v>
      </c>
      <c r="L409" s="22">
        <f>SUM(F409:K409)</f>
        <v/>
      </c>
      <c r="M409" s="22">
        <f>Z409/(1-R409)</f>
        <v/>
      </c>
      <c r="N409" s="11" t="n">
        <v>29912.05125000017</v>
      </c>
      <c r="O409" s="11" t="n">
        <v>52906</v>
      </c>
      <c r="P409" s="11" t="n"/>
      <c r="Q409" s="22">
        <f>M409+N409+O409+P409</f>
        <v/>
      </c>
      <c r="R409" s="12" t="n">
        <v>0.01</v>
      </c>
      <c r="S409" s="22">
        <f>M409*R409</f>
        <v/>
      </c>
      <c r="T409" s="22">
        <f>N409*R409</f>
        <v/>
      </c>
      <c r="U409" s="22">
        <f>(O409-V409)*R409</f>
        <v/>
      </c>
      <c r="V409" s="11" t="n">
        <v>12949</v>
      </c>
      <c r="W409" s="11" t="n">
        <v>0</v>
      </c>
      <c r="X409" s="22">
        <f>S409+T409+U409+V409+W409</f>
        <v/>
      </c>
      <c r="Y409" s="11" t="n">
        <v>95636.63349999998</v>
      </c>
      <c r="Z409" s="22">
        <f>AE409-AB409-AA409-AC409</f>
        <v/>
      </c>
      <c r="AA409" s="22">
        <f>N409-T409-W409</f>
        <v/>
      </c>
      <c r="AB409" s="22">
        <f>O409-V409-U409</f>
        <v/>
      </c>
      <c r="AC409" s="22">
        <f>P409</f>
        <v/>
      </c>
      <c r="AD409" s="23">
        <f>Z409+AA409+AB409+AC409</f>
        <v/>
      </c>
      <c r="AE409" s="11" t="n">
        <v>1786727.57</v>
      </c>
      <c r="AF409" s="24">
        <f>AD409-AE409</f>
        <v/>
      </c>
      <c r="AG409" s="13">
        <f>IF(OR(B409="",B409=0,M409=""),"",M409/B409*10000)</f>
        <v/>
      </c>
      <c r="AH409" s="13">
        <f>IF(OR(C409="",C409=0),"",N409/C409*10000)</f>
        <v/>
      </c>
      <c r="AI409" s="13">
        <f>IF(OR(D409="",D409=0),"",O409/D409*10000)</f>
        <v/>
      </c>
      <c r="AJ409" s="11" t="n">
        <v>9329.631237383208</v>
      </c>
      <c r="AK409" s="11" t="n">
        <v>13068.86</v>
      </c>
      <c r="AL409" s="22">
        <f>AE409+AJ409+AK409</f>
        <v/>
      </c>
      <c r="AM409" s="22">
        <f>AE409</f>
        <v/>
      </c>
      <c r="AN409" s="14" t="n">
        <v>69974.7</v>
      </c>
      <c r="AO409" s="15" t="n">
        <v>25.533908</v>
      </c>
      <c r="AP409" s="14" t="n">
        <v>38428013.39255512</v>
      </c>
      <c r="AQ409" s="14" t="n">
        <v>26370.8818</v>
      </c>
      <c r="AR409" s="14" t="n">
        <v>2704.8659</v>
      </c>
      <c r="AS409" s="14" t="n"/>
      <c r="AT409" s="16" t="n">
        <v>431.3523970672756</v>
      </c>
      <c r="AU409" s="17" t="n">
        <v>0.0214444269</v>
      </c>
      <c r="AV409" s="14" t="n">
        <v>418181583.9488</v>
      </c>
      <c r="AW409" s="18" t="n">
        <v>60100000</v>
      </c>
      <c r="AX409" s="19" t="n">
        <v>38428013.39255512</v>
      </c>
      <c r="AY409" s="18" t="n">
        <v>3100000</v>
      </c>
      <c r="AZ409" s="18">
        <f>1000000000-999429158.1911</f>
        <v/>
      </c>
      <c r="BA409" s="20">
        <f>1000000000-AV409-AW409-AX409-AY409-AZ409</f>
        <v/>
      </c>
      <c r="BB409" s="21" t="n">
        <v>242.028488</v>
      </c>
      <c r="BC409" s="21">
        <f>BA409/1000000-BB409</f>
        <v/>
      </c>
      <c r="BD409" s="22">
        <f>BA409*25.53</f>
        <v/>
      </c>
    </row>
    <row r="410">
      <c r="A410" s="10" t="n">
        <v>46032</v>
      </c>
      <c r="B410" s="11" t="n">
        <v>1435639721.201833</v>
      </c>
      <c r="C410" s="11" t="n">
        <v>78156263.00439692</v>
      </c>
      <c r="D410" s="11" t="n">
        <v>56606100</v>
      </c>
      <c r="E410" s="11" t="n"/>
      <c r="F410" s="24" t="n">
        <v>15276129.13069496</v>
      </c>
      <c r="G410" s="24" t="n">
        <v>10855100.86897293</v>
      </c>
      <c r="H410" s="24" t="n">
        <v>427930.7268233385</v>
      </c>
      <c r="I410" s="24" t="n">
        <v>39611402.82197861</v>
      </c>
      <c r="J410" s="24" t="n">
        <v>38530.19108399451</v>
      </c>
      <c r="K410" s="24" t="n">
        <v>11947169.26484307</v>
      </c>
      <c r="L410" s="22">
        <f>SUM(F410:K410)</f>
        <v/>
      </c>
      <c r="M410" s="22">
        <f>Z410/(1-R410)</f>
        <v/>
      </c>
      <c r="N410" s="11" t="n">
        <v>14958.12373599988</v>
      </c>
      <c r="O410" s="11" t="n">
        <v>29394</v>
      </c>
      <c r="P410" s="11" t="n"/>
      <c r="Q410" s="22">
        <f>M410+N410+O410+P410</f>
        <v/>
      </c>
      <c r="R410" s="12" t="n">
        <v>0.01</v>
      </c>
      <c r="S410" s="22">
        <f>M410*R410</f>
        <v/>
      </c>
      <c r="T410" s="22">
        <f>N410*R410</f>
        <v/>
      </c>
      <c r="U410" s="22">
        <f>(O410-V410)*R410</f>
        <v/>
      </c>
      <c r="V410" s="11" t="n">
        <v>3569</v>
      </c>
      <c r="W410" s="11" t="n">
        <v>0</v>
      </c>
      <c r="X410" s="22">
        <f>S410+T410+U410+V410+W410</f>
        <v/>
      </c>
      <c r="Y410" s="11" t="n">
        <v>36593.73409999999</v>
      </c>
      <c r="Z410" s="22">
        <f>AE410-AB410-AA410-AC410</f>
        <v/>
      </c>
      <c r="AA410" s="22">
        <f>N410-T410-W410</f>
        <v/>
      </c>
      <c r="AB410" s="22">
        <f>O410-V410-U410</f>
        <v/>
      </c>
      <c r="AC410" s="22">
        <f>P410</f>
        <v/>
      </c>
      <c r="AD410" s="23">
        <f>Z410+AA410+AB410+AC410</f>
        <v/>
      </c>
      <c r="AE410" s="11" t="n">
        <v>462563.83</v>
      </c>
      <c r="AF410" s="24">
        <f>AD410-AE410</f>
        <v/>
      </c>
      <c r="AG410" s="13">
        <f>IF(OR(B410="",B410=0,M410=""),"",M410/B410*10000)</f>
        <v/>
      </c>
      <c r="AH410" s="13">
        <f>IF(OR(C410="",C410=0),"",N410/C410*10000)</f>
        <v/>
      </c>
      <c r="AI410" s="13">
        <f>IF(OR(D410="",D410=0),"",O410/D410*10000)</f>
        <v/>
      </c>
      <c r="AJ410" s="11" t="n">
        <v>6540.2466349735</v>
      </c>
      <c r="AK410" s="11" t="n">
        <v>13892.53</v>
      </c>
      <c r="AL410" s="22">
        <f>AE410+AJ410+AK410</f>
        <v/>
      </c>
      <c r="AM410" s="22">
        <f>AE410</f>
        <v/>
      </c>
      <c r="AN410" s="14" t="n">
        <v>18968.35</v>
      </c>
      <c r="AO410" s="15" t="n">
        <v>24.386087</v>
      </c>
      <c r="AP410" s="14" t="n">
        <v>38446138.52255512</v>
      </c>
      <c r="AQ410" s="14" t="n">
        <v>26361.0916</v>
      </c>
      <c r="AR410" s="14" t="n">
        <v>955.1403</v>
      </c>
      <c r="AS410" s="14" t="n"/>
      <c r="AT410" s="16" t="n">
        <v>430.7218384408246</v>
      </c>
      <c r="AU410" s="17" t="n">
        <v>0.0214599366</v>
      </c>
      <c r="AV410" s="14" t="n">
        <v>418155222.8573</v>
      </c>
      <c r="AW410" s="18" t="n">
        <v>60100000</v>
      </c>
      <c r="AX410" s="19" t="n">
        <v>38446138.52255512</v>
      </c>
      <c r="AY410" s="18" t="n">
        <v>3100000</v>
      </c>
      <c r="AZ410" s="18">
        <f>1000000000-999428203.0509</f>
        <v/>
      </c>
      <c r="BA410" s="20">
        <f>1000000000-AV410-AW410-AX410-AY410-AZ410</f>
        <v/>
      </c>
      <c r="BB410" s="21" t="n">
        <v>242.028488</v>
      </c>
      <c r="BC410" s="21">
        <f>BA410/1000000-BB410</f>
        <v/>
      </c>
      <c r="BD410" s="22">
        <f>BA410*24.91</f>
        <v/>
      </c>
    </row>
    <row r="411">
      <c r="A411" s="10" t="n">
        <v>46033</v>
      </c>
      <c r="B411" s="11" t="n">
        <v>2889863862.314668</v>
      </c>
      <c r="C411" s="11" t="n">
        <v>172610355.366315</v>
      </c>
      <c r="D411" s="11" t="n">
        <v>57524305</v>
      </c>
      <c r="E411" s="11" t="n"/>
      <c r="F411" s="24" t="n">
        <v>14627668.57147826</v>
      </c>
      <c r="G411" s="24" t="n">
        <v>17611828.86061705</v>
      </c>
      <c r="H411" s="24" t="n">
        <v>74996947.50090861</v>
      </c>
      <c r="I411" s="24" t="n">
        <v>48873719.9491245</v>
      </c>
      <c r="J411" s="24" t="n">
        <v>76317.81822054784</v>
      </c>
      <c r="K411" s="24" t="n">
        <v>16423872.66596607</v>
      </c>
      <c r="L411" s="22">
        <f>SUM(F411:K411)</f>
        <v/>
      </c>
      <c r="M411" s="22">
        <f>Z411/(1-R411)</f>
        <v/>
      </c>
      <c r="N411" s="11" t="n">
        <v>61194.5463039999</v>
      </c>
      <c r="O411" s="11" t="n">
        <v>28522</v>
      </c>
      <c r="P411" s="11" t="n"/>
      <c r="Q411" s="22">
        <f>M411+N411+O411+P411</f>
        <v/>
      </c>
      <c r="R411" s="12" t="n">
        <v>0.01</v>
      </c>
      <c r="S411" s="22">
        <f>M411*R411</f>
        <v/>
      </c>
      <c r="T411" s="22">
        <f>N411*R411</f>
        <v/>
      </c>
      <c r="U411" s="22">
        <f>(O411-V411)*R411</f>
        <v/>
      </c>
      <c r="V411" s="11" t="n">
        <v>10175</v>
      </c>
      <c r="W411" s="11" t="n">
        <v>0</v>
      </c>
      <c r="X411" s="22">
        <f>S411+T411+U411+V411+W411</f>
        <v/>
      </c>
      <c r="Y411" s="11" t="n">
        <v>120367.5385</v>
      </c>
      <c r="Z411" s="22">
        <f>AE411-AB411-AA411-AC411</f>
        <v/>
      </c>
      <c r="AA411" s="22">
        <f>N411-T411-W411</f>
        <v/>
      </c>
      <c r="AB411" s="22">
        <f>O411-V411-U411</f>
        <v/>
      </c>
      <c r="AC411" s="22">
        <f>P411</f>
        <v/>
      </c>
      <c r="AD411" s="23">
        <f>Z411+AA411+AB411+AC411</f>
        <v/>
      </c>
      <c r="AE411" s="11" t="n">
        <v>812593.78</v>
      </c>
      <c r="AF411" s="24">
        <f>AD411-AE411</f>
        <v/>
      </c>
      <c r="AG411" s="13">
        <f>IF(OR(B411="",B411=0,M411=""),"",M411/B411*10000)</f>
        <v/>
      </c>
      <c r="AH411" s="13">
        <f>IF(OR(C411="",C411=0),"",N411/C411*10000)</f>
        <v/>
      </c>
      <c r="AI411" s="13">
        <f>IF(OR(D411="",D411=0),"",O411/D411*10000)</f>
        <v/>
      </c>
      <c r="AJ411" s="11" t="n">
        <v>3093.375142771304</v>
      </c>
      <c r="AK411" s="11" t="n">
        <v>0</v>
      </c>
      <c r="AL411" s="22">
        <f>AE411+AJ411+AK411</f>
        <v/>
      </c>
      <c r="AM411" s="22">
        <f>AE411</f>
        <v/>
      </c>
      <c r="AN411" s="14" t="n">
        <v>33286.67</v>
      </c>
      <c r="AO411" s="15" t="n">
        <v>24.411988</v>
      </c>
      <c r="AP411" s="14" t="n">
        <v>38480704.90255512</v>
      </c>
      <c r="AQ411" s="14" t="n">
        <v>26258.6631</v>
      </c>
      <c r="AR411" s="14" t="n">
        <v>2542.9764</v>
      </c>
      <c r="AS411" s="14" t="n"/>
      <c r="AT411" s="16" t="n">
        <v>431.3118334522403</v>
      </c>
      <c r="AU411" s="17" t="n">
        <v>0.0214454236</v>
      </c>
      <c r="AV411" s="14" t="n">
        <v>418128964.1941</v>
      </c>
      <c r="AW411" s="18" t="n">
        <v>60100000</v>
      </c>
      <c r="AX411" s="19" t="n">
        <v>38480704.90255512</v>
      </c>
      <c r="AY411" s="18" t="n">
        <v>3100000</v>
      </c>
      <c r="AZ411" s="18">
        <f>1000000000-999425660.0745</f>
        <v/>
      </c>
      <c r="BA411" s="20">
        <f>1000000000-AV411-AW411-AX411-AY411-AZ411</f>
        <v/>
      </c>
      <c r="BB411" s="21" t="n">
        <v>242.028488</v>
      </c>
      <c r="BC411" s="21">
        <f>BA411/1000000-BB411</f>
        <v/>
      </c>
      <c r="BD411" s="22">
        <f>BA411*24.08</f>
        <v/>
      </c>
    </row>
    <row r="412">
      <c r="A412" s="10" t="n">
        <v>46034</v>
      </c>
      <c r="B412" s="11" t="n">
        <v>6709622206.356564</v>
      </c>
      <c r="C412" s="11" t="n">
        <v>446511236.5837302</v>
      </c>
      <c r="D412" s="11" t="n">
        <v>123128335</v>
      </c>
      <c r="E412" s="11" t="n"/>
      <c r="F412" s="24" t="n">
        <v>112218197.6608417</v>
      </c>
      <c r="G412" s="24" t="n">
        <v>37097033.65839797</v>
      </c>
      <c r="H412" s="24" t="n">
        <v>13329524.65495828</v>
      </c>
      <c r="I412" s="24" t="n">
        <v>194072105.3921058</v>
      </c>
      <c r="J412" s="24" t="n">
        <v>157027.92932527</v>
      </c>
      <c r="K412" s="24" t="n">
        <v>89637347.28810123</v>
      </c>
      <c r="L412" s="22">
        <f>SUM(F412:K412)</f>
        <v/>
      </c>
      <c r="M412" s="22">
        <f>Z412/(1-R412)</f>
        <v/>
      </c>
      <c r="N412" s="11" t="n">
        <v>67179.57109500006</v>
      </c>
      <c r="O412" s="11" t="n">
        <v>56846</v>
      </c>
      <c r="P412" s="11" t="n"/>
      <c r="Q412" s="22">
        <f>M412+N412+O412+P412</f>
        <v/>
      </c>
      <c r="R412" s="12" t="n">
        <v>0.01</v>
      </c>
      <c r="S412" s="22">
        <f>M412*R412</f>
        <v/>
      </c>
      <c r="T412" s="22">
        <f>N412*R412</f>
        <v/>
      </c>
      <c r="U412" s="22">
        <f>(O412-V412)*R412</f>
        <v/>
      </c>
      <c r="V412" s="11" t="n">
        <v>11001</v>
      </c>
      <c r="W412" s="11" t="n">
        <v>0</v>
      </c>
      <c r="X412" s="22">
        <f>S412+T412+U412+V412+W412</f>
        <v/>
      </c>
      <c r="Y412" s="11" t="n">
        <v>146731.2074</v>
      </c>
      <c r="Z412" s="22">
        <f>AE412-AB412-AA412-AC412</f>
        <v/>
      </c>
      <c r="AA412" s="22">
        <f>N412-T412-W412</f>
        <v/>
      </c>
      <c r="AB412" s="22">
        <f>O412-V412-U412</f>
        <v/>
      </c>
      <c r="AC412" s="22">
        <f>P412</f>
        <v/>
      </c>
      <c r="AD412" s="23">
        <f>Z412+AA412+AB412+AC412</f>
        <v/>
      </c>
      <c r="AE412" s="11" t="n">
        <v>1900776.69</v>
      </c>
      <c r="AF412" s="24">
        <f>AD412-AE412</f>
        <v/>
      </c>
      <c r="AG412" s="13">
        <f>IF(OR(B412="",B412=0,M412=""),"",M412/B412*10000)</f>
        <v/>
      </c>
      <c r="AH412" s="13">
        <f>IF(OR(C412="",C412=0),"",N412/C412*10000)</f>
        <v/>
      </c>
      <c r="AI412" s="13">
        <f>IF(OR(D412="",D412=0),"",O412/D412*10000)</f>
        <v/>
      </c>
      <c r="AJ412" s="11" t="n">
        <v>12861.4047105096</v>
      </c>
      <c r="AK412" s="11" t="n">
        <v>12393.69</v>
      </c>
      <c r="AL412" s="22">
        <f>AE412+AJ412+AK412</f>
        <v/>
      </c>
      <c r="AM412" s="22">
        <f>AE412</f>
        <v/>
      </c>
      <c r="AN412" s="14" t="n">
        <v>79151.85000000001</v>
      </c>
      <c r="AO412" s="15" t="n">
        <v>24.014305</v>
      </c>
      <c r="AP412" s="14" t="n">
        <v>38558757.57255512</v>
      </c>
      <c r="AQ412" s="14" t="n">
        <v>26359.8174</v>
      </c>
      <c r="AR412" s="14" t="n">
        <v>1943.4075</v>
      </c>
      <c r="AS412" s="14" t="n"/>
      <c r="AT412" s="16" t="n">
        <v>431.3867144352841</v>
      </c>
      <c r="AU412" s="17" t="n">
        <v>0.0214435837</v>
      </c>
      <c r="AV412" s="14" t="n">
        <v>418102604.3767</v>
      </c>
      <c r="AW412" s="18" t="n">
        <v>60100000</v>
      </c>
      <c r="AX412" s="19" t="n">
        <v>38558757.57255512</v>
      </c>
      <c r="AY412" s="18" t="n">
        <v>3100000</v>
      </c>
      <c r="AZ412" s="18">
        <f>1000000000-999423716.6671</f>
        <v/>
      </c>
      <c r="BA412" s="20">
        <f>1000000000-AV412-AW412-AX412-AY412-AZ412</f>
        <v/>
      </c>
      <c r="BB412" s="21" t="n">
        <v>242.028488</v>
      </c>
      <c r="BC412" s="21">
        <f>BA412/1000000-BB412</f>
        <v/>
      </c>
      <c r="BD412" s="22">
        <f>BA412*24.41</f>
        <v/>
      </c>
    </row>
    <row r="413">
      <c r="A413" s="10" t="n">
        <v>46035</v>
      </c>
      <c r="B413" s="11" t="n">
        <v>8434852963.697891</v>
      </c>
      <c r="C413" s="11" t="n">
        <v>582248001.2304231</v>
      </c>
      <c r="D413" s="11" t="n">
        <v>133261195</v>
      </c>
      <c r="E413" s="11" t="n"/>
      <c r="F413" s="24" t="n">
        <v>138991437.449532</v>
      </c>
      <c r="G413" s="24" t="n">
        <v>37288903.09473705</v>
      </c>
      <c r="H413" s="24" t="n">
        <v>4305397.003945475</v>
      </c>
      <c r="I413" s="24" t="n">
        <v>271911626.9675046</v>
      </c>
      <c r="J413" s="24" t="n">
        <v>222522.2799122425</v>
      </c>
      <c r="K413" s="24" t="n">
        <v>129528114.4347919</v>
      </c>
      <c r="L413" s="22">
        <f>SUM(F413:K413)</f>
        <v/>
      </c>
      <c r="M413" s="22">
        <f>Z413/(1-R413)</f>
        <v/>
      </c>
      <c r="N413" s="11" t="n">
        <v>64827.3491140004</v>
      </c>
      <c r="O413" s="11" t="n">
        <v>65354</v>
      </c>
      <c r="P413" s="11" t="n"/>
      <c r="Q413" s="22">
        <f>M413+N413+O413+P413</f>
        <v/>
      </c>
      <c r="R413" s="12" t="n">
        <v>0.01</v>
      </c>
      <c r="S413" s="22">
        <f>M413*R413</f>
        <v/>
      </c>
      <c r="T413" s="22">
        <f>N413*R413</f>
        <v/>
      </c>
      <c r="U413" s="22">
        <f>(O413-V413)*R413</f>
        <v/>
      </c>
      <c r="V413" s="11" t="n">
        <v>19693</v>
      </c>
      <c r="W413" s="11" t="n">
        <v>0</v>
      </c>
      <c r="X413" s="22">
        <f>S413+T413+U413+V413+W413</f>
        <v/>
      </c>
      <c r="Y413" s="11" t="n">
        <v>174972.9217</v>
      </c>
      <c r="Z413" s="22">
        <f>AE413-AB413-AA413-AC413</f>
        <v/>
      </c>
      <c r="AA413" s="22">
        <f>N413-T413-W413</f>
        <v/>
      </c>
      <c r="AB413" s="22">
        <f>O413-V413-U413</f>
        <v/>
      </c>
      <c r="AC413" s="22">
        <f>P413</f>
        <v/>
      </c>
      <c r="AD413" s="23">
        <f>Z413+AA413+AB413+AC413</f>
        <v/>
      </c>
      <c r="AE413" s="11" t="n">
        <v>2300107.22</v>
      </c>
      <c r="AF413" s="24">
        <f>AD413-AE413</f>
        <v/>
      </c>
      <c r="AG413" s="13">
        <f>IF(OR(B413="",B413=0,M413=""),"",M413/B413*10000)</f>
        <v/>
      </c>
      <c r="AH413" s="13">
        <f>IF(OR(C413="",C413=0),"",N413/C413*10000)</f>
        <v/>
      </c>
      <c r="AI413" s="13">
        <f>IF(OR(D413="",D413=0),"",O413/D413*10000)</f>
        <v/>
      </c>
      <c r="AJ413" s="11" t="n">
        <v>10856.77658164534</v>
      </c>
      <c r="AK413" s="11" t="n">
        <v>12108.73</v>
      </c>
      <c r="AL413" s="22">
        <f>AE413+AJ413+AK413</f>
        <v/>
      </c>
      <c r="AM413" s="22">
        <f>AE413</f>
        <v/>
      </c>
      <c r="AN413" s="14" t="n">
        <v>92963.94</v>
      </c>
      <c r="AO413" s="15" t="n">
        <v>24.741929</v>
      </c>
      <c r="AP413" s="14" t="n">
        <v>38651124.06255512</v>
      </c>
      <c r="AQ413" s="14" t="n">
        <v>26369.6542</v>
      </c>
      <c r="AR413" s="14" t="n">
        <v>2800.1185</v>
      </c>
      <c r="AS413" s="14" t="n"/>
      <c r="AT413" s="16" t="n">
        <v>430.9617538067485</v>
      </c>
      <c r="AU413" s="17" t="n">
        <v>0.02145403150000001</v>
      </c>
      <c r="AV413" s="14" t="n">
        <v>418076234.7225</v>
      </c>
      <c r="AW413" s="18" t="n">
        <v>60100000</v>
      </c>
      <c r="AX413" s="19" t="n">
        <v>38651124.06255512</v>
      </c>
      <c r="AY413" s="18" t="n">
        <v>3100000</v>
      </c>
      <c r="AZ413" s="18">
        <f>1000000000-999420916.5486</f>
        <v/>
      </c>
      <c r="BA413" s="20">
        <f>1000000000-AV413-AW413-AX413-AY413-AZ413</f>
        <v/>
      </c>
      <c r="BB413" s="21" t="n">
        <v>242.028488</v>
      </c>
      <c r="BC413" s="21">
        <f>BA413/1000000-BB413</f>
        <v/>
      </c>
      <c r="BD413" s="22">
        <f>BA413*24.09</f>
        <v/>
      </c>
    </row>
    <row r="414">
      <c r="A414" s="10" t="n">
        <v>46036</v>
      </c>
      <c r="B414" s="11" t="n">
        <v>8217246746.707877</v>
      </c>
      <c r="C414" s="11" t="n">
        <v>707725155.8831208</v>
      </c>
      <c r="D414" s="11" t="n">
        <v>152194040</v>
      </c>
      <c r="E414" s="11" t="n"/>
      <c r="F414" s="24" t="n">
        <v>192718959.3067412</v>
      </c>
      <c r="G414" s="24" t="n">
        <v>41987285.43112465</v>
      </c>
      <c r="H414" s="24" t="n">
        <v>2980251.149991199</v>
      </c>
      <c r="I414" s="24" t="n">
        <v>345989957.1522493</v>
      </c>
      <c r="J414" s="24" t="n">
        <v>881905.4155959574</v>
      </c>
      <c r="K414" s="24" t="n">
        <v>123166797.4274184</v>
      </c>
      <c r="L414" s="22">
        <f>SUM(F414:K414)</f>
        <v/>
      </c>
      <c r="M414" s="22">
        <f>Z414/(1-R414)</f>
        <v/>
      </c>
      <c r="N414" s="11" t="n">
        <v>78120.93136099966</v>
      </c>
      <c r="O414" s="11" t="n">
        <v>76627</v>
      </c>
      <c r="P414" s="11" t="n"/>
      <c r="Q414" s="22">
        <f>M414+N414+O414+P414</f>
        <v/>
      </c>
      <c r="R414" s="12" t="n">
        <v>0.01</v>
      </c>
      <c r="S414" s="22">
        <f>M414*R414</f>
        <v/>
      </c>
      <c r="T414" s="22">
        <f>N414*R414</f>
        <v/>
      </c>
      <c r="U414" s="22">
        <f>(O414-V414)*R414</f>
        <v/>
      </c>
      <c r="V414" s="11" t="n">
        <v>18527</v>
      </c>
      <c r="W414" s="11" t="n">
        <v>0</v>
      </c>
      <c r="X414" s="22">
        <f>S414+T414+U414+V414+W414</f>
        <v/>
      </c>
      <c r="Y414" s="11" t="n">
        <v>193508.1231</v>
      </c>
      <c r="Z414" s="22">
        <f>AE414-AB414-AA414-AC414</f>
        <v/>
      </c>
      <c r="AA414" s="22">
        <f>N414-T414-W414</f>
        <v/>
      </c>
      <c r="AB414" s="22">
        <f>O414-V414-U414</f>
        <v/>
      </c>
      <c r="AC414" s="22">
        <f>P414</f>
        <v/>
      </c>
      <c r="AD414" s="23">
        <f>Z414+AA414+AB414+AC414</f>
        <v/>
      </c>
      <c r="AE414" s="11" t="n">
        <v>2313856.05</v>
      </c>
      <c r="AF414" s="24">
        <f>AD414-AE414</f>
        <v/>
      </c>
      <c r="AG414" s="13">
        <f>IF(OR(B414="",B414=0,M414=""),"",M414/B414*10000)</f>
        <v/>
      </c>
      <c r="AH414" s="13">
        <f>IF(OR(C414="",C414=0),"",N414/C414*10000)</f>
        <v/>
      </c>
      <c r="AI414" s="13">
        <f>IF(OR(D414="",D414=0),"",O414/D414*10000)</f>
        <v/>
      </c>
      <c r="AJ414" s="11" t="n">
        <v>10304.37519916794</v>
      </c>
      <c r="AK414" s="11" t="n">
        <v>13064.31</v>
      </c>
      <c r="AL414" s="22">
        <f>AE414+AJ414+AK414</f>
        <v/>
      </c>
      <c r="AM414" s="22">
        <f>AE414</f>
        <v/>
      </c>
      <c r="AN414" s="14" t="n">
        <v>88651.64</v>
      </c>
      <c r="AO414" s="15" t="n">
        <v>26.100544</v>
      </c>
      <c r="AP414" s="14" t="n">
        <v>38741830.29255512</v>
      </c>
      <c r="AQ414" s="14" t="n">
        <v>26298.3228</v>
      </c>
      <c r="AR414" s="14" t="n">
        <v>1022.0645</v>
      </c>
      <c r="AS414" s="14" t="n"/>
      <c r="AT414" s="16" t="n">
        <v>432.3332715355886</v>
      </c>
      <c r="AU414" s="17" t="n">
        <v>0.0214203674</v>
      </c>
      <c r="AV414" s="14" t="n">
        <v>418049936.3997</v>
      </c>
      <c r="AW414" s="18" t="n">
        <v>60100000</v>
      </c>
      <c r="AX414" s="19" t="n">
        <v>38741830.29255512</v>
      </c>
      <c r="AY414" s="18" t="n">
        <v>3100000</v>
      </c>
      <c r="AZ414" s="18">
        <f>1000000000-999419894.484</f>
        <v/>
      </c>
      <c r="BA414" s="20">
        <f>1000000000-AV414-AW414-AX414-AY414-AZ414</f>
        <v/>
      </c>
      <c r="BB414" s="21" t="n">
        <v>242.028488</v>
      </c>
      <c r="BC414" s="21">
        <f>BA414/1000000-BB414</f>
        <v/>
      </c>
      <c r="BD414" s="22">
        <f>BA414*25.73</f>
        <v/>
      </c>
    </row>
    <row r="415">
      <c r="A415" s="10" t="n">
        <v>46037</v>
      </c>
      <c r="B415" s="11" t="n">
        <v>6564852215.098778</v>
      </c>
      <c r="C415" s="11" t="n">
        <v>725515172.1107113</v>
      </c>
      <c r="D415" s="11" t="n">
        <v>136715830</v>
      </c>
      <c r="E415" s="11" t="n"/>
      <c r="F415" s="24" t="n">
        <v>247309277.3675539</v>
      </c>
      <c r="G415" s="24" t="n">
        <v>35424103.4001386</v>
      </c>
      <c r="H415" s="24" t="n">
        <v>3770486.643454183</v>
      </c>
      <c r="I415" s="24" t="n">
        <v>323546981.1232677</v>
      </c>
      <c r="J415" s="24" t="n">
        <v>623536.2415975081</v>
      </c>
      <c r="K415" s="24" t="n">
        <v>114840787.3346994</v>
      </c>
      <c r="L415" s="22">
        <f>SUM(F415:K415)</f>
        <v/>
      </c>
      <c r="M415" s="22">
        <f>Z415/(1-R415)</f>
        <v/>
      </c>
      <c r="N415" s="11" t="n">
        <v>74016.31520200025</v>
      </c>
      <c r="O415" s="11" t="n">
        <v>67540</v>
      </c>
      <c r="P415" s="11" t="n"/>
      <c r="Q415" s="22">
        <f>M415+N415+O415+P415</f>
        <v/>
      </c>
      <c r="R415" s="12" t="n">
        <v>0.01</v>
      </c>
      <c r="S415" s="22">
        <f>M415*R415</f>
        <v/>
      </c>
      <c r="T415" s="22">
        <f>N415*R415</f>
        <v/>
      </c>
      <c r="U415" s="22">
        <f>(O415-V415)*R415</f>
        <v/>
      </c>
      <c r="V415" s="11" t="n">
        <v>18679</v>
      </c>
      <c r="W415" s="11" t="n">
        <v>0</v>
      </c>
      <c r="X415" s="22">
        <f>S415+T415+U415+V415+W415</f>
        <v/>
      </c>
      <c r="Y415" s="11" t="n">
        <v>196355.4733</v>
      </c>
      <c r="Z415" s="22">
        <f>AE415-AB415-AA415-AC415</f>
        <v/>
      </c>
      <c r="AA415" s="22">
        <f>N415-T415-W415</f>
        <v/>
      </c>
      <c r="AB415" s="22">
        <f>O415-V415-U415</f>
        <v/>
      </c>
      <c r="AC415" s="22">
        <f>P415</f>
        <v/>
      </c>
      <c r="AD415" s="23">
        <f>Z415+AA415+AB415+AC415</f>
        <v/>
      </c>
      <c r="AE415" s="11" t="n">
        <v>1862422.03</v>
      </c>
      <c r="AF415" s="24">
        <f>AD415-AE415</f>
        <v/>
      </c>
      <c r="AG415" s="13">
        <f>IF(OR(B415="",B415=0,M415=""),"",M415/B415*10000)</f>
        <v/>
      </c>
      <c r="AH415" s="13">
        <f>IF(OR(C415="",C415=0),"",N415/C415*10000)</f>
        <v/>
      </c>
      <c r="AI415" s="13">
        <f>IF(OR(D415="",D415=0),"",O415/D415*10000)</f>
        <v/>
      </c>
      <c r="AJ415" s="11" t="n">
        <v>10035.10816878126</v>
      </c>
      <c r="AK415" s="11" t="n">
        <v>18621.99</v>
      </c>
      <c r="AL415" s="22">
        <f>AE415+AJ415+AK415</f>
        <v/>
      </c>
      <c r="AM415" s="22">
        <f>AE415</f>
        <v/>
      </c>
      <c r="AN415" s="14" t="n">
        <v>74458.25</v>
      </c>
      <c r="AO415" s="15" t="n">
        <v>25.012971</v>
      </c>
      <c r="AP415" s="14" t="n">
        <v>38814233.95255512</v>
      </c>
      <c r="AQ415" s="14" t="n">
        <v>26149.3286</v>
      </c>
      <c r="AR415" s="14" t="n">
        <v>3113.108</v>
      </c>
      <c r="AS415" s="14" t="n"/>
      <c r="AT415" s="16" t="n">
        <v>433.4726786079722</v>
      </c>
      <c r="AU415" s="17" t="n">
        <v>0.0213925212</v>
      </c>
      <c r="AV415" s="14" t="n">
        <v>418023787.0711</v>
      </c>
      <c r="AW415" s="18" t="n">
        <v>60100000</v>
      </c>
      <c r="AX415" s="19" t="n">
        <v>38814233.95255512</v>
      </c>
      <c r="AY415" s="18" t="n">
        <v>3100000</v>
      </c>
      <c r="AZ415" s="18">
        <f>1000000000-999416781.376</f>
        <v/>
      </c>
      <c r="BA415" s="20">
        <f>1000000000-AV415-AW415-AX415-AY415-AZ415</f>
        <v/>
      </c>
      <c r="BB415" s="21" t="n">
        <v>242.028488</v>
      </c>
      <c r="BC415" s="21">
        <f>BA415/1000000-BB415</f>
        <v/>
      </c>
      <c r="BD415" s="22">
        <f>BA415*25.76</f>
        <v/>
      </c>
    </row>
    <row r="416">
      <c r="A416" s="10" t="n">
        <v>46038</v>
      </c>
      <c r="B416" s="11" t="n">
        <v>3700458729.209459</v>
      </c>
      <c r="C416" s="11" t="n">
        <v>545687520.2592974</v>
      </c>
      <c r="D416" s="11" t="n">
        <v>75921802</v>
      </c>
      <c r="E416" s="11" t="n"/>
      <c r="F416" s="24" t="n">
        <v>218761552.9194947</v>
      </c>
      <c r="G416" s="24" t="n">
        <v>19107043.26620528</v>
      </c>
      <c r="H416" s="24" t="n">
        <v>3523332.788579637</v>
      </c>
      <c r="I416" s="24" t="n">
        <v>211189339.1675489</v>
      </c>
      <c r="J416" s="24" t="n">
        <v>1122419.806661319</v>
      </c>
      <c r="K416" s="24" t="n">
        <v>91983832.31080763</v>
      </c>
      <c r="L416" s="22">
        <f>SUM(F416:K416)</f>
        <v/>
      </c>
      <c r="M416" s="22">
        <f>Z416/(1-R416)</f>
        <v/>
      </c>
      <c r="N416" s="11" t="n">
        <v>68520.5545720001</v>
      </c>
      <c r="O416" s="11" t="n">
        <v>37561</v>
      </c>
      <c r="P416" s="11" t="n"/>
      <c r="Q416" s="22">
        <f>M416+N416+O416+P416</f>
        <v/>
      </c>
      <c r="R416" s="12" t="n">
        <v>0.01</v>
      </c>
      <c r="S416" s="22">
        <f>M416*R416</f>
        <v/>
      </c>
      <c r="T416" s="22">
        <f>N416*R416</f>
        <v/>
      </c>
      <c r="U416" s="22">
        <f>(O416-V416)*R416</f>
        <v/>
      </c>
      <c r="V416" s="11" t="n">
        <v>9555</v>
      </c>
      <c r="W416" s="11" t="n">
        <v>0</v>
      </c>
      <c r="X416" s="22">
        <f>S416+T416+U416+V416+W416</f>
        <v/>
      </c>
      <c r="Y416" s="11" t="n">
        <v>213071.221</v>
      </c>
      <c r="Z416" s="22">
        <f>AE416-AB416-AA416-AC416</f>
        <v/>
      </c>
      <c r="AA416" s="22">
        <f>N416-T416-W416</f>
        <v/>
      </c>
      <c r="AB416" s="22">
        <f>O416-V416-U416</f>
        <v/>
      </c>
      <c r="AC416" s="22">
        <f>P416</f>
        <v/>
      </c>
      <c r="AD416" s="23">
        <f>Z416+AA416+AB416+AC416</f>
        <v/>
      </c>
      <c r="AE416" s="11" t="n">
        <v>1117452.67</v>
      </c>
      <c r="AF416" s="24">
        <f>AD416-AE416</f>
        <v/>
      </c>
      <c r="AG416" s="13">
        <f>IF(OR(B416="",B416=0,M416=""),"",M416/B416*10000)</f>
        <v/>
      </c>
      <c r="AH416" s="13">
        <f>IF(OR(C416="",C416=0),"",N416/C416*10000)</f>
        <v/>
      </c>
      <c r="AI416" s="13">
        <f>IF(OR(D416="",D416=0),"",O416/D416*10000)</f>
        <v/>
      </c>
      <c r="AJ416" s="11" t="n">
        <v>4890.131495158788</v>
      </c>
      <c r="AK416" s="11" t="n">
        <v>27261.76</v>
      </c>
      <c r="AL416" s="22">
        <f>AE416+AJ416+AK416</f>
        <v/>
      </c>
      <c r="AM416" s="22">
        <f>AE416</f>
        <v/>
      </c>
      <c r="AN416" s="14" t="n">
        <v>44909.63</v>
      </c>
      <c r="AO416" s="15" t="n">
        <v>24.882251</v>
      </c>
      <c r="AP416" s="14" t="n">
        <v>38859944.72255512</v>
      </c>
      <c r="AQ416" s="14" t="n">
        <v>26275.8944</v>
      </c>
      <c r="AR416" s="14" t="n">
        <v>3062.658</v>
      </c>
      <c r="AS416" s="14" t="n"/>
      <c r="AT416" s="16" t="n">
        <v>433.7270432394878</v>
      </c>
      <c r="AU416" s="17" t="n">
        <v>0.02138631959999999</v>
      </c>
      <c r="AV416" s="14" t="n">
        <v>417997511.1767</v>
      </c>
      <c r="AW416" s="18" t="n">
        <v>60100000</v>
      </c>
      <c r="AX416" s="19" t="n">
        <v>38859944.72255512</v>
      </c>
      <c r="AY416" s="18" t="n">
        <v>3100000</v>
      </c>
      <c r="AZ416" s="18">
        <f>1000000000-999413718.718</f>
        <v/>
      </c>
      <c r="BA416" s="20">
        <f>1000000000-AV416-AW416-AX416-AY416-AZ416</f>
        <v/>
      </c>
      <c r="BB416" s="21" t="n">
        <v>242.028488</v>
      </c>
      <c r="BC416" s="21">
        <f>BA416/1000000-BB416</f>
        <v/>
      </c>
      <c r="BD416" s="22">
        <f>BA416*24.81</f>
        <v/>
      </c>
    </row>
    <row r="417">
      <c r="A417" s="10" t="n">
        <v>46039</v>
      </c>
      <c r="B417" s="11" t="n">
        <v>1633954740.187271</v>
      </c>
      <c r="C417" s="11" t="n">
        <v>172284379.4975003</v>
      </c>
      <c r="D417" s="11" t="n">
        <v>51251339</v>
      </c>
      <c r="E417" s="11" t="n"/>
      <c r="F417" s="24" t="n">
        <v>14071709.95181839</v>
      </c>
      <c r="G417" s="24" t="n">
        <v>15696372.5763256</v>
      </c>
      <c r="H417" s="24" t="n">
        <v>2187094.06751779</v>
      </c>
      <c r="I417" s="24" t="n">
        <v>124142589.3205036</v>
      </c>
      <c r="J417" s="24" t="n">
        <v>172377.8708553449</v>
      </c>
      <c r="K417" s="24" t="n">
        <v>16014235.71047954</v>
      </c>
      <c r="L417" s="22">
        <f>SUM(F417:K417)</f>
        <v/>
      </c>
      <c r="M417" s="22">
        <f>Z417/(1-R417)</f>
        <v/>
      </c>
      <c r="N417" s="11" t="n">
        <v>39456.55191800022</v>
      </c>
      <c r="O417" s="11" t="n">
        <v>26219</v>
      </c>
      <c r="P417" s="11" t="n"/>
      <c r="Q417" s="22">
        <f>M417+N417+O417+P417</f>
        <v/>
      </c>
      <c r="R417" s="12" t="n">
        <v>0.01</v>
      </c>
      <c r="S417" s="22">
        <f>M417*R417</f>
        <v/>
      </c>
      <c r="T417" s="22">
        <f>N417*R417</f>
        <v/>
      </c>
      <c r="U417" s="22">
        <f>(O417-V417)*R417</f>
        <v/>
      </c>
      <c r="V417" s="11" t="n">
        <v>5439</v>
      </c>
      <c r="W417" s="11" t="n">
        <v>0</v>
      </c>
      <c r="X417" s="22">
        <f>S417+T417+U417+V417+W417</f>
        <v/>
      </c>
      <c r="Y417" s="11" t="n">
        <v>135345.1419</v>
      </c>
      <c r="Z417" s="22">
        <f>AE417-AB417-AA417-AC417</f>
        <v/>
      </c>
      <c r="AA417" s="22">
        <f>N417-T417-W417</f>
        <v/>
      </c>
      <c r="AB417" s="22">
        <f>O417-V417-U417</f>
        <v/>
      </c>
      <c r="AC417" s="22">
        <f>P417</f>
        <v/>
      </c>
      <c r="AD417" s="23">
        <f>Z417+AA417+AB417+AC417</f>
        <v/>
      </c>
      <c r="AE417" s="11" t="n">
        <v>515585.26</v>
      </c>
      <c r="AF417" s="24">
        <f>AD417-AE417</f>
        <v/>
      </c>
      <c r="AG417" s="13">
        <f>IF(OR(B417="",B417=0,M417=""),"",M417/B417*10000)</f>
        <v/>
      </c>
      <c r="AH417" s="13">
        <f>IF(OR(C417="",C417=0),"",N417/C417*10000)</f>
        <v/>
      </c>
      <c r="AI417" s="13">
        <f>IF(OR(D417="",D417=0),"",O417/D417*10000)</f>
        <v/>
      </c>
      <c r="AJ417" s="11" t="n">
        <v>3159.812827700472</v>
      </c>
      <c r="AK417" s="11" t="n">
        <v>0</v>
      </c>
      <c r="AL417" s="22">
        <f>AE417+AJ417+AK417</f>
        <v/>
      </c>
      <c r="AM417" s="22">
        <f>AE417</f>
        <v/>
      </c>
      <c r="AN417" s="14" t="n">
        <v>20400.66</v>
      </c>
      <c r="AO417" s="15" t="n">
        <v>25.27297</v>
      </c>
      <c r="AP417" s="14" t="n">
        <v>38879909.61255512</v>
      </c>
      <c r="AQ417" s="14" t="n">
        <v>26449.2554</v>
      </c>
      <c r="AR417" s="14" t="n">
        <v>3640.35</v>
      </c>
      <c r="AS417" s="14" t="n"/>
      <c r="AT417" s="16" t="n">
        <v>433.7718604359366</v>
      </c>
      <c r="AU417" s="17" t="n">
        <v>0.0213852275</v>
      </c>
      <c r="AV417" s="14" t="n">
        <v>417971061.9213</v>
      </c>
      <c r="AW417" s="18" t="n">
        <v>60100000</v>
      </c>
      <c r="AX417" s="19" t="n">
        <v>38879909.61255512</v>
      </c>
      <c r="AY417" s="18" t="n">
        <v>3100000</v>
      </c>
      <c r="AZ417" s="18">
        <f>1000000000-999410078.368</f>
        <v/>
      </c>
      <c r="BA417" s="20">
        <f>1000000000-AV417-AW417-AX417-AY417-AZ417</f>
        <v/>
      </c>
      <c r="BB417" s="21" t="n">
        <v>242.028488</v>
      </c>
      <c r="BC417" s="21">
        <f>BA417/1000000-BB417</f>
        <v/>
      </c>
      <c r="BD417" s="22">
        <f>BA417*24.98</f>
        <v/>
      </c>
    </row>
    <row r="418">
      <c r="A418" s="10" t="n">
        <v>46040</v>
      </c>
      <c r="B418" s="11" t="n">
        <v>2654233352.495624</v>
      </c>
      <c r="C418" s="11" t="n">
        <v>185217000.3864244</v>
      </c>
      <c r="D418" s="11" t="n">
        <v>57878167</v>
      </c>
      <c r="E418" s="11" t="n"/>
      <c r="F418" s="24" t="n">
        <v>38988582.6366589</v>
      </c>
      <c r="G418" s="24" t="n">
        <v>23622880.95071879</v>
      </c>
      <c r="H418" s="24" t="n">
        <v>2786678.866149193</v>
      </c>
      <c r="I418" s="24" t="n">
        <v>108051991.7839203</v>
      </c>
      <c r="J418" s="24" t="n">
        <v>844551.8952546204</v>
      </c>
      <c r="K418" s="24" t="n">
        <v>10922314.25372259</v>
      </c>
      <c r="L418" s="22">
        <f>SUM(F418:K418)</f>
        <v/>
      </c>
      <c r="M418" s="22">
        <f>Z418/(1-R418)</f>
        <v/>
      </c>
      <c r="N418" s="11" t="n">
        <v>32038.96450800002</v>
      </c>
      <c r="O418" s="11" t="n">
        <v>29239</v>
      </c>
      <c r="P418" s="11" t="n"/>
      <c r="Q418" s="22">
        <f>M418+N418+O418+P418</f>
        <v/>
      </c>
      <c r="R418" s="12" t="n">
        <v>0.01</v>
      </c>
      <c r="S418" s="22">
        <f>M418*R418</f>
        <v/>
      </c>
      <c r="T418" s="22">
        <f>N418*R418</f>
        <v/>
      </c>
      <c r="U418" s="22">
        <f>(O418-V418)*R418</f>
        <v/>
      </c>
      <c r="V418" s="11" t="n">
        <v>7104</v>
      </c>
      <c r="W418" s="11" t="n">
        <v>0</v>
      </c>
      <c r="X418" s="22">
        <f>S418+T418+U418+V418+W418</f>
        <v/>
      </c>
      <c r="Y418" s="11" t="n">
        <v>70232.71089999999</v>
      </c>
      <c r="Z418" s="22">
        <f>AE418-AB418-AA418-AC418</f>
        <v/>
      </c>
      <c r="AA418" s="22">
        <f>N418-T418-W418</f>
        <v/>
      </c>
      <c r="AB418" s="22">
        <f>O418-V418-U418</f>
        <v/>
      </c>
      <c r="AC418" s="22">
        <f>P418</f>
        <v/>
      </c>
      <c r="AD418" s="23">
        <f>Z418+AA418+AB418+AC418</f>
        <v/>
      </c>
      <c r="AE418" s="11" t="n">
        <v>810327.8100000001</v>
      </c>
      <c r="AF418" s="24">
        <f>AD418-AE418</f>
        <v/>
      </c>
      <c r="AG418" s="13">
        <f>IF(OR(B418="",B418=0,M418=""),"",M418/B418*10000)</f>
        <v/>
      </c>
      <c r="AH418" s="13">
        <f>IF(OR(C418="",C418=0),"",N418/C418*10000)</f>
        <v/>
      </c>
      <c r="AI418" s="13">
        <f>IF(OR(D418="",D418=0),"",O418/D418*10000)</f>
        <v/>
      </c>
      <c r="AJ418" s="11" t="n">
        <v>5204.203763989413</v>
      </c>
      <c r="AK418" s="11" t="n">
        <v>13669.84</v>
      </c>
      <c r="AL418" s="22">
        <f>AE418+AJ418+AK418</f>
        <v/>
      </c>
      <c r="AM418" s="22">
        <f>AE418</f>
        <v/>
      </c>
      <c r="AN418" s="14" t="n">
        <v>32107.65</v>
      </c>
      <c r="AO418" s="15" t="n">
        <v>25.237842</v>
      </c>
      <c r="AP418" s="14" t="n">
        <v>38931974.93255512</v>
      </c>
      <c r="AQ418" s="14" t="n">
        <v>26383.4165</v>
      </c>
      <c r="AR418" s="14" t="n">
        <v>205.2242</v>
      </c>
      <c r="AS418" s="14" t="n"/>
      <c r="AT418" s="16" t="n">
        <v>434.1266696842809</v>
      </c>
      <c r="AU418" s="17" t="n">
        <v>0.0213765867</v>
      </c>
      <c r="AV418" s="14" t="n">
        <v>417944678.5048</v>
      </c>
      <c r="AW418" s="18" t="n">
        <v>60100000</v>
      </c>
      <c r="AX418" s="19" t="n">
        <v>38931974.93255512</v>
      </c>
      <c r="AY418" s="18" t="n">
        <v>3100000</v>
      </c>
      <c r="AZ418" s="18">
        <f>1000000000-999409873.1439</f>
        <v/>
      </c>
      <c r="BA418" s="20">
        <f>1000000000-AV418-AW418-AX418-AY418-AZ418</f>
        <v/>
      </c>
      <c r="BB418" s="21" t="n">
        <v>242.028488</v>
      </c>
      <c r="BC418" s="21">
        <f>BA418/1000000-BB418</f>
        <v/>
      </c>
      <c r="BD418" s="22">
        <f>BA418*25.51</f>
        <v/>
      </c>
    </row>
    <row r="419">
      <c r="A419" s="10" t="n">
        <v>46041</v>
      </c>
      <c r="B419" s="11" t="n">
        <v>6055027321.480039</v>
      </c>
      <c r="C419" s="11" t="n">
        <v>427030670.3051172</v>
      </c>
      <c r="D419" s="11" t="n">
        <v>117444553</v>
      </c>
      <c r="E419" s="11" t="n"/>
      <c r="F419" s="24" t="n">
        <v>162002956.8963159</v>
      </c>
      <c r="G419" s="24" t="n">
        <v>31286747.27085353</v>
      </c>
      <c r="H419" s="24" t="n">
        <v>3563161.564888208</v>
      </c>
      <c r="I419" s="24" t="n">
        <v>184612227.1375298</v>
      </c>
      <c r="J419" s="24" t="n">
        <v>225373.9564996773</v>
      </c>
      <c r="K419" s="24" t="n">
        <v>45340203.47903007</v>
      </c>
      <c r="L419" s="22">
        <f>SUM(F419:K419)</f>
        <v/>
      </c>
      <c r="M419" s="22">
        <f>Z419/(1-R419)</f>
        <v/>
      </c>
      <c r="N419" s="11" t="n">
        <v>53119.26322399984</v>
      </c>
      <c r="O419" s="11" t="n">
        <v>56525</v>
      </c>
      <c r="P419" s="11" t="n"/>
      <c r="Q419" s="22">
        <f>M419+N419+O419+P419</f>
        <v/>
      </c>
      <c r="R419" s="12" t="n">
        <v>0.01</v>
      </c>
      <c r="S419" s="22">
        <f>M419*R419</f>
        <v/>
      </c>
      <c r="T419" s="22">
        <f>N419*R419</f>
        <v/>
      </c>
      <c r="U419" s="22">
        <f>(O419-V419)*R419</f>
        <v/>
      </c>
      <c r="V419" s="11" t="n">
        <v>15427</v>
      </c>
      <c r="W419" s="11" t="n">
        <v>0</v>
      </c>
      <c r="X419" s="22">
        <f>S419+T419+U419+V419+W419</f>
        <v/>
      </c>
      <c r="Y419" s="11" t="n">
        <v>107374.0812</v>
      </c>
      <c r="Z419" s="22">
        <f>AE419-AB419-AA419-AC419</f>
        <v/>
      </c>
      <c r="AA419" s="22">
        <f>N419-T419-W419</f>
        <v/>
      </c>
      <c r="AB419" s="22">
        <f>O419-V419-U419</f>
        <v/>
      </c>
      <c r="AC419" s="22">
        <f>P419</f>
        <v/>
      </c>
      <c r="AD419" s="23">
        <f>Z419+AA419+AB419+AC419</f>
        <v/>
      </c>
      <c r="AE419" s="11" t="n">
        <v>1716617.49</v>
      </c>
      <c r="AF419" s="24">
        <f>AD419-AE419</f>
        <v/>
      </c>
      <c r="AG419" s="13">
        <f>IF(OR(B419="",B419=0,M419=""),"",M419/B419*10000)</f>
        <v/>
      </c>
      <c r="AH419" s="13">
        <f>IF(OR(C419="",C419=0),"",N419/C419*10000)</f>
        <v/>
      </c>
      <c r="AI419" s="13">
        <f>IF(OR(D419="",D419=0),"",O419/D419*10000)</f>
        <v/>
      </c>
      <c r="AJ419" s="11" t="n">
        <v>21469.4981242083</v>
      </c>
      <c r="AK419" s="11" t="n">
        <v>12419.83</v>
      </c>
      <c r="AL419" s="22">
        <f>AE419+AJ419+AK419</f>
        <v/>
      </c>
      <c r="AM419" s="22">
        <f>AE419</f>
        <v/>
      </c>
      <c r="AN419" s="14" t="n">
        <v>71932.35000000001</v>
      </c>
      <c r="AO419" s="15" t="n">
        <v>23.864332</v>
      </c>
      <c r="AP419" s="14" t="n">
        <v>38984999.26255512</v>
      </c>
      <c r="AQ419" s="14" t="n">
        <v>26462.1688</v>
      </c>
      <c r="AR419" s="14" t="n">
        <v>3042.965</v>
      </c>
      <c r="AS419" s="14" t="n"/>
      <c r="AT419" s="16" t="n">
        <v>434.2184754963914</v>
      </c>
      <c r="AU419" s="17" t="n">
        <v>0.0213743528</v>
      </c>
      <c r="AV419" s="14" t="n">
        <v>417918216.336</v>
      </c>
      <c r="AW419" s="18" t="n">
        <v>60100000</v>
      </c>
      <c r="AX419" s="19" t="n">
        <v>38984999.26255512</v>
      </c>
      <c r="AY419" s="18" t="n">
        <v>3100000</v>
      </c>
      <c r="AZ419" s="18">
        <f>1000000000-999406830.1788</f>
        <v/>
      </c>
      <c r="BA419" s="20">
        <f>1000000000-AV419-AW419-AX419-AY419-AZ419</f>
        <v/>
      </c>
      <c r="BB419" s="21" t="n">
        <v>242.028488</v>
      </c>
      <c r="BC419" s="21">
        <f>BA419/1000000-BB419</f>
        <v/>
      </c>
      <c r="BD419" s="22">
        <f>BA419*23.83</f>
        <v/>
      </c>
    </row>
    <row r="420">
      <c r="A420" s="10" t="n">
        <v>46042</v>
      </c>
      <c r="B420" s="11" t="n">
        <v>8426159287.146941</v>
      </c>
      <c r="C420" s="11" t="n">
        <v>761916733.7767287</v>
      </c>
      <c r="D420" s="11" t="n">
        <v>197108564</v>
      </c>
      <c r="E420" s="11" t="n"/>
      <c r="F420" s="24" t="n">
        <v>222232337.2536356</v>
      </c>
      <c r="G420" s="24" t="n">
        <v>39265609.34661542</v>
      </c>
      <c r="H420" s="24" t="n">
        <v>6388110.341772326</v>
      </c>
      <c r="I420" s="24" t="n">
        <v>314741588.5678797</v>
      </c>
      <c r="J420" s="24" t="n">
        <v>68032.36461437744</v>
      </c>
      <c r="K420" s="24" t="n">
        <v>179221055.9022114</v>
      </c>
      <c r="L420" s="22">
        <f>SUM(F420:K420)</f>
        <v/>
      </c>
      <c r="M420" s="22">
        <f>Z420/(1-R420)</f>
        <v/>
      </c>
      <c r="N420" s="11" t="n">
        <v>73099.75740500094</v>
      </c>
      <c r="O420" s="11" t="n">
        <v>91965</v>
      </c>
      <c r="P420" s="11" t="n"/>
      <c r="Q420" s="22">
        <f>M420+N420+O420+P420</f>
        <v/>
      </c>
      <c r="R420" s="12" t="n">
        <v>0.01</v>
      </c>
      <c r="S420" s="22">
        <f>M420*R420</f>
        <v/>
      </c>
      <c r="T420" s="22">
        <f>N420*R420</f>
        <v/>
      </c>
      <c r="U420" s="22">
        <f>(O420-V420)*R420</f>
        <v/>
      </c>
      <c r="V420" s="11" t="n">
        <v>20706</v>
      </c>
      <c r="W420" s="11" t="n">
        <v>0</v>
      </c>
      <c r="X420" s="22">
        <f>S420+T420+U420+V420+W420</f>
        <v/>
      </c>
      <c r="Y420" s="11" t="n">
        <v>147307.9303</v>
      </c>
      <c r="Z420" s="22">
        <f>AE420-AB420-AA420-AC420</f>
        <v/>
      </c>
      <c r="AA420" s="22">
        <f>N420-T420-W420</f>
        <v/>
      </c>
      <c r="AB420" s="22">
        <f>O420-V420-U420</f>
        <v/>
      </c>
      <c r="AC420" s="22">
        <f>P420</f>
        <v/>
      </c>
      <c r="AD420" s="23">
        <f>Z420+AA420+AB420+AC420</f>
        <v/>
      </c>
      <c r="AE420" s="11" t="n">
        <v>2517934.18</v>
      </c>
      <c r="AF420" s="24">
        <f>AD420-AE420</f>
        <v/>
      </c>
      <c r="AG420" s="13">
        <f>IF(OR(B420="",B420=0,M420=""),"",M420/B420*10000)</f>
        <v/>
      </c>
      <c r="AH420" s="13">
        <f>IF(OR(C420="",C420=0),"",N420/C420*10000)</f>
        <v/>
      </c>
      <c r="AI420" s="13">
        <f>IF(OR(D420="",D420=0),"",O420/D420*10000)</f>
        <v/>
      </c>
      <c r="AJ420" s="11" t="n">
        <v>18372.72732450072</v>
      </c>
      <c r="AK420" s="11" t="n">
        <v>0</v>
      </c>
      <c r="AL420" s="22">
        <f>AE420+AJ420+AK420</f>
        <v/>
      </c>
      <c r="AM420" s="22">
        <f>AE420</f>
        <v/>
      </c>
      <c r="AN420" s="14" t="n">
        <v>113308.89</v>
      </c>
      <c r="AO420" s="15" t="n">
        <v>22.221859</v>
      </c>
      <c r="AP420" s="14" t="n">
        <v>39098741.18255512</v>
      </c>
      <c r="AQ420" s="14" t="n">
        <v>26446.4191</v>
      </c>
      <c r="AR420" s="14" t="n">
        <v>4560.8335</v>
      </c>
      <c r="AS420" s="14" t="n"/>
      <c r="AT420" s="16" t="n">
        <v>433.838194836338</v>
      </c>
      <c r="AU420" s="17" t="n">
        <v>0.0213836113</v>
      </c>
      <c r="AV420" s="14" t="n">
        <v>417891769.9169</v>
      </c>
      <c r="AW420" s="18" t="n">
        <v>60100000</v>
      </c>
      <c r="AX420" s="19" t="n">
        <v>39098741.18255512</v>
      </c>
      <c r="AY420" s="18" t="n">
        <v>3100000</v>
      </c>
      <c r="AZ420" s="18">
        <f>1000000000-999402269.3453</f>
        <v/>
      </c>
      <c r="BA420" s="20">
        <f>1000000000-AV420-AW420-AX420-AY420-AZ420</f>
        <v/>
      </c>
      <c r="BB420" s="21" t="n">
        <v>242.028488</v>
      </c>
      <c r="BC420" s="21">
        <f>BA420/1000000-BB420</f>
        <v/>
      </c>
      <c r="BD420" s="22">
        <f>BA420*23.51</f>
        <v/>
      </c>
    </row>
    <row r="421">
      <c r="A421" s="10" t="n">
        <v>46043</v>
      </c>
      <c r="B421" s="11" t="n">
        <v>8999010540.874674</v>
      </c>
      <c r="C421" s="11" t="n">
        <v>983595173.1902163</v>
      </c>
      <c r="D421" s="11" t="n">
        <v>151704575</v>
      </c>
      <c r="E421" s="11" t="n"/>
      <c r="F421" s="24" t="n">
        <v>343181350.3475884</v>
      </c>
      <c r="G421" s="24" t="n">
        <v>42426463.91544199</v>
      </c>
      <c r="H421" s="24" t="n">
        <v>4669929.812809087</v>
      </c>
      <c r="I421" s="24" t="n">
        <v>400665555.4727665</v>
      </c>
      <c r="J421" s="24" t="n">
        <v>298860.6318054518</v>
      </c>
      <c r="K421" s="24" t="n">
        <v>192353013.0098049</v>
      </c>
      <c r="L421" s="22">
        <f>SUM(F421:K421)</f>
        <v/>
      </c>
      <c r="M421" s="22">
        <f>Z421/(1-R421)</f>
        <v/>
      </c>
      <c r="N421" s="11" t="n">
        <v>105015.5010709998</v>
      </c>
      <c r="O421" s="11" t="n">
        <v>70936</v>
      </c>
      <c r="P421" s="11" t="n"/>
      <c r="Q421" s="22">
        <f>M421+N421+O421+P421</f>
        <v/>
      </c>
      <c r="R421" s="12" t="n">
        <v>0.01</v>
      </c>
      <c r="S421" s="22">
        <f>M421*R421</f>
        <v/>
      </c>
      <c r="T421" s="22">
        <f>N421*R421</f>
        <v/>
      </c>
      <c r="U421" s="22">
        <f>(O421-V421)*R421</f>
        <v/>
      </c>
      <c r="V421" s="11" t="n">
        <v>16628</v>
      </c>
      <c r="W421" s="11" t="n">
        <v>0</v>
      </c>
      <c r="X421" s="22">
        <f>S421+T421+U421+V421+W421</f>
        <v/>
      </c>
      <c r="Y421" s="11" t="n">
        <v>161944.5213</v>
      </c>
      <c r="Z421" s="22">
        <f>AE421-AB421-AA421-AC421</f>
        <v/>
      </c>
      <c r="AA421" s="22">
        <f>N421-T421-W421</f>
        <v/>
      </c>
      <c r="AB421" s="22">
        <f>O421-V421-U421</f>
        <v/>
      </c>
      <c r="AC421" s="22">
        <f>P421</f>
        <v/>
      </c>
      <c r="AD421" s="23">
        <f>Z421+AA421+AB421+AC421</f>
        <v/>
      </c>
      <c r="AE421" s="11" t="n">
        <v>2460042.19</v>
      </c>
      <c r="AF421" s="24">
        <f>AD421-AE421</f>
        <v/>
      </c>
      <c r="AG421" s="13">
        <f>IF(OR(B421="",B421=0,M421=""),"",M421/B421*10000)</f>
        <v/>
      </c>
      <c r="AH421" s="13">
        <f>IF(OR(C421="",C421=0),"",N421/C421*10000)</f>
        <v/>
      </c>
      <c r="AI421" s="13">
        <f>IF(OR(D421="",D421=0),"",O421/D421*10000)</f>
        <v/>
      </c>
      <c r="AJ421" s="11" t="n">
        <v>12242.98376322578</v>
      </c>
      <c r="AK421" s="11" t="n">
        <v>0</v>
      </c>
      <c r="AL421" s="22">
        <f>AE421+AJ421+AK421</f>
        <v/>
      </c>
      <c r="AM421" s="22">
        <f>AE421</f>
        <v/>
      </c>
      <c r="AN421" s="14" t="n">
        <v>115805.51</v>
      </c>
      <c r="AO421" s="15" t="n">
        <v>21.242877</v>
      </c>
      <c r="AP421" s="14" t="n">
        <v>39213632.08255512</v>
      </c>
      <c r="AQ421" s="14" t="n">
        <v>26461.826</v>
      </c>
      <c r="AR421" s="14" t="n">
        <v>22480.5803</v>
      </c>
      <c r="AS421" s="14" t="n"/>
      <c r="AT421" s="16" t="n">
        <v>434.981313426192</v>
      </c>
      <c r="AU421" s="17" t="n">
        <v>0.0213558185</v>
      </c>
      <c r="AV421" s="14" t="n">
        <v>417865308.0909</v>
      </c>
      <c r="AW421" s="18" t="n">
        <v>60100000</v>
      </c>
      <c r="AX421" s="19" t="n">
        <v>39213632.08255512</v>
      </c>
      <c r="AY421" s="18" t="n">
        <v>3100000</v>
      </c>
      <c r="AZ421" s="18">
        <f>1000000000-999379788.765</f>
        <v/>
      </c>
      <c r="BA421" s="20">
        <f>1000000000-AV421-AW421-AX421-AY421-AZ421</f>
        <v/>
      </c>
      <c r="BB421" s="21" t="n">
        <v>242.028488</v>
      </c>
      <c r="BC421" s="21">
        <f>BA421/1000000-BB421</f>
        <v/>
      </c>
      <c r="BD421" s="22">
        <f>BA421*21</f>
        <v/>
      </c>
    </row>
    <row r="422">
      <c r="A422" s="10" t="n">
        <v>46044</v>
      </c>
      <c r="B422" s="11" t="n">
        <v>5235745673.592916</v>
      </c>
      <c r="C422" s="11" t="n">
        <v>923819229.8266213</v>
      </c>
      <c r="D422" s="11" t="n">
        <v>96399001</v>
      </c>
      <c r="E422" s="11" t="n"/>
      <c r="F422" s="24" t="n">
        <v>251301753.1803728</v>
      </c>
      <c r="G422" s="24" t="n">
        <v>21570953.83431172</v>
      </c>
      <c r="H422" s="24" t="n">
        <v>4587096.739358741</v>
      </c>
      <c r="I422" s="24" t="n">
        <v>437447711.7582891</v>
      </c>
      <c r="J422" s="24" t="n">
        <v>541962.4912657542</v>
      </c>
      <c r="K422" s="24" t="n">
        <v>208369751.8230233</v>
      </c>
      <c r="L422" s="22">
        <f>SUM(F422:K422)</f>
        <v/>
      </c>
      <c r="M422" s="22">
        <f>Z422/(1-R422)</f>
        <v/>
      </c>
      <c r="N422" s="11" t="n">
        <v>123623.3278510009</v>
      </c>
      <c r="O422" s="11" t="n">
        <v>90001</v>
      </c>
      <c r="P422" s="11" t="n"/>
      <c r="Q422" s="22">
        <f>M422+N422+O422+P422</f>
        <v/>
      </c>
      <c r="R422" s="12" t="n">
        <v>0.01</v>
      </c>
      <c r="S422" s="22">
        <f>M422*R422</f>
        <v/>
      </c>
      <c r="T422" s="22">
        <f>N422*R422</f>
        <v/>
      </c>
      <c r="U422" s="22">
        <f>(O422-V422)*R422</f>
        <v/>
      </c>
      <c r="V422" s="11" t="n">
        <v>10968</v>
      </c>
      <c r="W422" s="11" t="n">
        <v>0</v>
      </c>
      <c r="X422" s="22">
        <f>S422+T422+U422+V422+W422</f>
        <v/>
      </c>
      <c r="Y422" s="11" t="n">
        <v>286738.2098</v>
      </c>
      <c r="Z422" s="22">
        <f>AE422-AB422-AA422-AC422</f>
        <v/>
      </c>
      <c r="AA422" s="22">
        <f>N422-T422-W422</f>
        <v/>
      </c>
      <c r="AB422" s="22">
        <f>O422-V422-U422</f>
        <v/>
      </c>
      <c r="AC422" s="22">
        <f>P422</f>
        <v/>
      </c>
      <c r="AD422" s="23">
        <f>Z422+AA422+AB422+AC422</f>
        <v/>
      </c>
      <c r="AE422" s="11" t="n">
        <v>1420236.26</v>
      </c>
      <c r="AF422" s="24">
        <f>AD422-AE422</f>
        <v/>
      </c>
      <c r="AG422" s="13">
        <f>IF(OR(B422="",B422=0,M422=""),"",M422/B422*10000)</f>
        <v/>
      </c>
      <c r="AH422" s="13">
        <f>IF(OR(C422="",C422=0),"",N422/C422*10000)</f>
        <v/>
      </c>
      <c r="AI422" s="13">
        <f>IF(OR(D422="",D422=0),"",O422/D422*10000)</f>
        <v/>
      </c>
      <c r="AJ422" s="11" t="n">
        <v>4702.83474983464</v>
      </c>
      <c r="AK422" s="11" t="n">
        <v>12264.84</v>
      </c>
      <c r="AL422" s="22">
        <f>AE422+AJ422+AK422</f>
        <v/>
      </c>
      <c r="AM422" s="22">
        <f>AE422</f>
        <v/>
      </c>
      <c r="AN422" s="14" t="n">
        <v>65939.42</v>
      </c>
      <c r="AO422" s="15" t="n">
        <v>21.538501</v>
      </c>
      <c r="AP422" s="14" t="n">
        <v>39279106.22255512</v>
      </c>
      <c r="AQ422" s="14" t="n">
        <v>26448.6614</v>
      </c>
      <c r="AR422" s="14" t="n">
        <v>3372.392</v>
      </c>
      <c r="AS422" s="14" t="n"/>
      <c r="AT422" s="16" t="n">
        <v>435.0714892871349</v>
      </c>
      <c r="AU422" s="17" t="n">
        <v>0.0213689738</v>
      </c>
      <c r="AV422" s="14" t="n">
        <v>417838859.4295</v>
      </c>
      <c r="AW422" s="18" t="n">
        <v>60100000</v>
      </c>
      <c r="AX422" s="19" t="n">
        <v>39279106.22255512</v>
      </c>
      <c r="AY422" s="18" t="n">
        <v>3100000</v>
      </c>
      <c r="AZ422" s="18">
        <f>1000000000-999376416.373</f>
        <v/>
      </c>
      <c r="BA422" s="20">
        <f>1000000000-AV422-AW422-AX422-AY422-AZ422</f>
        <v/>
      </c>
      <c r="BB422" s="21" t="n">
        <v>242.028488</v>
      </c>
      <c r="BC422" s="21">
        <f>BA422/1000000-BB422</f>
        <v/>
      </c>
      <c r="BD422" s="22">
        <f>BA422*21.7</f>
        <v/>
      </c>
    </row>
    <row r="423">
      <c r="A423" s="10" t="n">
        <v>46045</v>
      </c>
      <c r="B423" s="11" t="n">
        <v>6159324709.34402</v>
      </c>
      <c r="C423" s="11" t="n">
        <v>879688066.6161902</v>
      </c>
      <c r="D423" s="11" t="n">
        <v>119850134</v>
      </c>
      <c r="E423" s="11" t="n"/>
      <c r="F423" s="24" t="n">
        <v>395684558.9152898</v>
      </c>
      <c r="G423" s="24" t="n">
        <v>28460830.48744605</v>
      </c>
      <c r="H423" s="24" t="n">
        <v>7797508.132499385</v>
      </c>
      <c r="I423" s="24" t="n">
        <v>281497844.7641851</v>
      </c>
      <c r="J423" s="24" t="n">
        <v>384471.2952153549</v>
      </c>
      <c r="K423" s="24" t="n">
        <v>165862853.0215546</v>
      </c>
      <c r="L423" s="22">
        <f>SUM(F423:K423)</f>
        <v/>
      </c>
      <c r="M423" s="22">
        <f>Z423/(1-R423)</f>
        <v/>
      </c>
      <c r="N423" s="11" t="n">
        <v>90286.65904300001</v>
      </c>
      <c r="O423" s="11" t="n">
        <v>190413</v>
      </c>
      <c r="P423" s="11" t="n"/>
      <c r="Q423" s="22">
        <f>M423+N423+O423+P423</f>
        <v/>
      </c>
      <c r="R423" s="12" t="n">
        <v>0.01</v>
      </c>
      <c r="S423" s="22">
        <f>M423*R423</f>
        <v/>
      </c>
      <c r="T423" s="22">
        <f>N423*R423</f>
        <v/>
      </c>
      <c r="U423" s="22">
        <f>(O423-V423)*R423</f>
        <v/>
      </c>
      <c r="V423" s="11" t="n">
        <v>9950</v>
      </c>
      <c r="W423" s="11" t="n">
        <v>0</v>
      </c>
      <c r="X423" s="22">
        <f>S423+T423+U423+V423+W423</f>
        <v/>
      </c>
      <c r="Y423" s="11" t="n">
        <v>175814.3378</v>
      </c>
      <c r="Z423" s="22">
        <f>AE423-AB423-AA423-AC423</f>
        <v/>
      </c>
      <c r="AA423" s="22">
        <f>N423-T423-W423</f>
        <v/>
      </c>
      <c r="AB423" s="22">
        <f>O423-V423-U423</f>
        <v/>
      </c>
      <c r="AC423" s="22">
        <f>P423</f>
        <v/>
      </c>
      <c r="AD423" s="23">
        <f>Z423+AA423+AB423+AC423</f>
        <v/>
      </c>
      <c r="AE423" s="11" t="n">
        <v>1582594.47</v>
      </c>
      <c r="AF423" s="24">
        <f>AD423-AE423</f>
        <v/>
      </c>
      <c r="AG423" s="13">
        <f>IF(OR(B423="",B423=0,M423=""),"",M423/B423*10000)</f>
        <v/>
      </c>
      <c r="AH423" s="13">
        <f>IF(OR(C423="",C423=0),"",N423/C423*10000)</f>
        <v/>
      </c>
      <c r="AI423" s="13">
        <f>IF(OR(D423="",D423=0),"",O423/D423*10000)</f>
        <v/>
      </c>
      <c r="AJ423" s="11" t="n">
        <v>8465.658842631186</v>
      </c>
      <c r="AK423" s="11" t="n">
        <v>10900.49</v>
      </c>
      <c r="AL423" s="22">
        <f>AE423+AJ423+AK423</f>
        <v/>
      </c>
      <c r="AM423" s="22">
        <f>AE423</f>
        <v/>
      </c>
      <c r="AN423" s="14" t="n">
        <v>71996.77</v>
      </c>
      <c r="AO423" s="15" t="n">
        <v>21.981465</v>
      </c>
      <c r="AP423" s="14" t="n">
        <v>39351404.04255512</v>
      </c>
      <c r="AQ423" s="14" t="n">
        <v>26483.302</v>
      </c>
      <c r="AR423" s="14" t="n">
        <v>868.2057</v>
      </c>
      <c r="AS423" s="14" t="n"/>
      <c r="AT423" s="16" t="n">
        <v>434.6326310984486</v>
      </c>
      <c r="AU423" s="17" t="n">
        <v>0.0213915197</v>
      </c>
      <c r="AV423" s="14" t="n">
        <v>417812376.1275</v>
      </c>
      <c r="AW423" s="18" t="n">
        <v>60100000</v>
      </c>
      <c r="AX423" s="19" t="n">
        <v>39351404.04255512</v>
      </c>
      <c r="AY423" s="18" t="n">
        <v>3100000</v>
      </c>
      <c r="AZ423" s="18">
        <f>1000000000-999375548.1673</f>
        <v/>
      </c>
      <c r="BA423" s="20">
        <f>1000000000-AV423-AW423-AX423-AY423-AZ423</f>
        <v/>
      </c>
      <c r="BB423" s="21" t="n">
        <v>242.028488</v>
      </c>
      <c r="BC423" s="21">
        <f>BA423/1000000-BB423</f>
        <v/>
      </c>
      <c r="BD423" s="22">
        <f>BA423*21.5</f>
        <v/>
      </c>
    </row>
    <row r="424">
      <c r="A424" s="10" t="n">
        <v>46046</v>
      </c>
      <c r="B424" s="11" t="n">
        <v>1341645430.80485</v>
      </c>
      <c r="C424" s="11" t="n">
        <v>196876544.874232</v>
      </c>
      <c r="D424" s="11" t="n">
        <v>89581735</v>
      </c>
      <c r="E424" s="11" t="n"/>
      <c r="F424" s="24" t="n">
        <v>103815593.1905495</v>
      </c>
      <c r="G424" s="24" t="n">
        <v>19126181.22420914</v>
      </c>
      <c r="H424" s="24" t="n">
        <v>2100984.612288791</v>
      </c>
      <c r="I424" s="24" t="n">
        <v>59927050.21531535</v>
      </c>
      <c r="J424" s="24" t="n">
        <v>62508.63943574338</v>
      </c>
      <c r="K424" s="24" t="n">
        <v>11844226.99243345</v>
      </c>
      <c r="L424" s="22">
        <f>SUM(F424:K424)</f>
        <v/>
      </c>
      <c r="M424" s="22">
        <f>Z424/(1-R424)</f>
        <v/>
      </c>
      <c r="N424" s="11" t="n">
        <v>31849.43313399988</v>
      </c>
      <c r="O424" s="11" t="n">
        <v>44628</v>
      </c>
      <c r="P424" s="11" t="n"/>
      <c r="Q424" s="22">
        <f>M424+N424+O424+P424</f>
        <v/>
      </c>
      <c r="R424" s="12" t="n">
        <v>0.01</v>
      </c>
      <c r="S424" s="22">
        <f>M424*R424</f>
        <v/>
      </c>
      <c r="T424" s="22">
        <f>N424*R424</f>
        <v/>
      </c>
      <c r="U424" s="22">
        <f>(O424-V424)*R424</f>
        <v/>
      </c>
      <c r="V424" s="11" t="n">
        <v>11201</v>
      </c>
      <c r="W424" s="11" t="n">
        <v>0</v>
      </c>
      <c r="X424" s="22">
        <f>S424+T424+U424+V424+W424</f>
        <v/>
      </c>
      <c r="Y424" s="11" t="n">
        <v>42882.403</v>
      </c>
      <c r="Z424" s="22">
        <f>AE424-AB424-AA424-AC424</f>
        <v/>
      </c>
      <c r="AA424" s="22">
        <f>N424-T424-W424</f>
        <v/>
      </c>
      <c r="AB424" s="22">
        <f>O424-V424-U424</f>
        <v/>
      </c>
      <c r="AC424" s="22">
        <f>P424</f>
        <v/>
      </c>
      <c r="AD424" s="23">
        <f>Z424+AA424+AB424+AC424</f>
        <v/>
      </c>
      <c r="AE424" s="11" t="n">
        <v>423383.14</v>
      </c>
      <c r="AF424" s="24">
        <f>AD424-AE424</f>
        <v/>
      </c>
      <c r="AG424" s="13">
        <f>IF(OR(B424="",B424=0,M424=""),"",M424/B424*10000)</f>
        <v/>
      </c>
      <c r="AH424" s="13">
        <f>IF(OR(C424="",C424=0),"",N424/C424*10000)</f>
        <v/>
      </c>
      <c r="AI424" s="13">
        <f>IF(OR(D424="",D424=0),"",O424/D424*10000)</f>
        <v/>
      </c>
      <c r="AJ424" s="11" t="n">
        <v>6982.09060798182</v>
      </c>
      <c r="AK424" s="11" t="n">
        <v>0</v>
      </c>
      <c r="AL424" s="22">
        <f>AE424+AJ424+AK424</f>
        <v/>
      </c>
      <c r="AM424" s="22">
        <f>AE424</f>
        <v/>
      </c>
      <c r="AN424" s="14" t="n">
        <v>18263.09</v>
      </c>
      <c r="AO424" s="15" t="n">
        <v>23.182448</v>
      </c>
      <c r="AP424" s="14" t="n">
        <v>39369328.12255512</v>
      </c>
      <c r="AQ424" s="14" t="n">
        <v>26498.5129</v>
      </c>
      <c r="AR424" s="14" t="n">
        <v>3397.8179</v>
      </c>
      <c r="AS424" s="14" t="n"/>
      <c r="AT424" s="16" t="n">
        <v>435.3859540618191</v>
      </c>
      <c r="AU424" s="17" t="n">
        <v>0.0213732183</v>
      </c>
      <c r="AV424" s="14" t="n">
        <v>417785877.6146</v>
      </c>
      <c r="AW424" s="18" t="n">
        <v>60100000</v>
      </c>
      <c r="AX424" s="19" t="n">
        <v>39369328.12255512</v>
      </c>
      <c r="AY424" s="18" t="n">
        <v>3100000</v>
      </c>
      <c r="AZ424" s="18">
        <f>1000000000-999372150.3493</f>
        <v/>
      </c>
      <c r="BA424" s="20">
        <f>1000000000-AV424-AW424-AX424-AY424-AZ424</f>
        <v/>
      </c>
      <c r="BB424" s="21" t="n">
        <v>242.028488</v>
      </c>
      <c r="BC424" s="21">
        <f>BA424/1000000-BB424</f>
        <v/>
      </c>
      <c r="BD424" s="22">
        <f>BA424*22.61</f>
        <v/>
      </c>
    </row>
    <row r="425">
      <c r="A425" s="10" t="n">
        <v>46047</v>
      </c>
      <c r="B425" s="11" t="n">
        <v>5441904362.915866</v>
      </c>
      <c r="C425" s="11" t="n">
        <v>446889135.8940578</v>
      </c>
      <c r="D425" s="11" t="n">
        <v>106819108</v>
      </c>
      <c r="E425" s="11" t="n"/>
      <c r="F425" s="24" t="n">
        <v>188273859.7425818</v>
      </c>
      <c r="G425" s="24" t="n">
        <v>43888128.14617636</v>
      </c>
      <c r="H425" s="24" t="n">
        <v>48782663.04534434</v>
      </c>
      <c r="I425" s="24" t="n">
        <v>110365867.2394221</v>
      </c>
      <c r="J425" s="24" t="n">
        <v>250657.1785000002</v>
      </c>
      <c r="K425" s="24" t="n">
        <v>55327960.5420332</v>
      </c>
      <c r="L425" s="22">
        <f>SUM(F425:K425)</f>
        <v/>
      </c>
      <c r="M425" s="22">
        <f>Z425/(1-R425)</f>
        <v/>
      </c>
      <c r="N425" s="11" t="n">
        <v>90461.52959699997</v>
      </c>
      <c r="O425" s="11" t="n">
        <v>47236</v>
      </c>
      <c r="P425" s="11" t="n"/>
      <c r="Q425" s="22">
        <f>M425+N425+O425+P425</f>
        <v/>
      </c>
      <c r="R425" s="12" t="n">
        <v>0.01</v>
      </c>
      <c r="S425" s="22">
        <f>M425*R425</f>
        <v/>
      </c>
      <c r="T425" s="22">
        <f>N425*R425</f>
        <v/>
      </c>
      <c r="U425" s="22">
        <f>(O425-V425)*R425</f>
        <v/>
      </c>
      <c r="V425" s="11" t="n">
        <v>10790</v>
      </c>
      <c r="W425" s="11" t="n">
        <v>0</v>
      </c>
      <c r="X425" s="22">
        <f>S425+T425+U425+V425+W425</f>
        <v/>
      </c>
      <c r="Y425" s="11" t="n">
        <v>162923.698</v>
      </c>
      <c r="Z425" s="22">
        <f>AE425-AB425-AA425-AC425</f>
        <v/>
      </c>
      <c r="AA425" s="22">
        <f>N425-T425-W425</f>
        <v/>
      </c>
      <c r="AB425" s="22">
        <f>O425-V425-U425</f>
        <v/>
      </c>
      <c r="AC425" s="22">
        <f>P425</f>
        <v/>
      </c>
      <c r="AD425" s="23">
        <f>Z425+AA425+AB425+AC425</f>
        <v/>
      </c>
      <c r="AE425" s="11" t="n">
        <v>1354082.47</v>
      </c>
      <c r="AF425" s="24">
        <f>AD425-AE425</f>
        <v/>
      </c>
      <c r="AG425" s="13">
        <f>IF(OR(B425="",B425=0,M425=""),"",M425/B425*10000)</f>
        <v/>
      </c>
      <c r="AH425" s="13">
        <f>IF(OR(C425="",C425=0),"",N425/C425*10000)</f>
        <v/>
      </c>
      <c r="AI425" s="13">
        <f>IF(OR(D425="",D425=0),"",O425/D425*10000)</f>
        <v/>
      </c>
      <c r="AJ425" s="11" t="n">
        <v>8127.996258586395</v>
      </c>
      <c r="AK425" s="11" t="n">
        <v>11678.41</v>
      </c>
      <c r="AL425" s="22">
        <f>AE425+AJ425+AK425</f>
        <v/>
      </c>
      <c r="AM425" s="22">
        <f>AE425</f>
        <v/>
      </c>
      <c r="AN425" s="14" t="n">
        <v>60926.13</v>
      </c>
      <c r="AO425" s="15" t="n">
        <v>22.224987</v>
      </c>
      <c r="AP425" s="14" t="n">
        <v>39436651.66255512</v>
      </c>
      <c r="AQ425" s="14" t="n">
        <v>26486.8658</v>
      </c>
      <c r="AR425" s="14" t="n">
        <v>1634.8405</v>
      </c>
      <c r="AS425" s="14" t="n"/>
      <c r="AT425" s="16" t="n">
        <v>435.6250007728917</v>
      </c>
      <c r="AU425" s="17" t="n">
        <v>0.0213674207</v>
      </c>
      <c r="AV425" s="14" t="n">
        <v>417759390.7487</v>
      </c>
      <c r="AW425" s="18" t="n">
        <v>60100000</v>
      </c>
      <c r="AX425" s="19" t="n">
        <v>39436651.66255512</v>
      </c>
      <c r="AY425" s="18" t="n">
        <v>3100000</v>
      </c>
      <c r="AZ425" s="18">
        <f>1000000000-999370515.5089</f>
        <v/>
      </c>
      <c r="BA425" s="20">
        <f>1000000000-AV425-AW425-AX425-AY425-AZ425</f>
        <v/>
      </c>
      <c r="BB425" s="21" t="n">
        <v>242.028488</v>
      </c>
      <c r="BC425" s="21">
        <f>BA425/1000000-BB425</f>
        <v/>
      </c>
      <c r="BD425" s="22">
        <f>BA425*23.27</f>
        <v/>
      </c>
    </row>
    <row r="426">
      <c r="A426" s="10" t="n">
        <v>46048</v>
      </c>
      <c r="B426" s="11" t="n">
        <v>5564154570.565574</v>
      </c>
      <c r="C426" s="11" t="n">
        <v>1712251755.796005</v>
      </c>
      <c r="D426" s="11" t="n">
        <v>120206697</v>
      </c>
      <c r="E426" s="11" t="n"/>
      <c r="F426" s="24" t="n">
        <v>1188939614.154241</v>
      </c>
      <c r="G426" s="24" t="n">
        <v>31424698.55983869</v>
      </c>
      <c r="H426" s="24" t="n">
        <v>23886360.94164218</v>
      </c>
      <c r="I426" s="24" t="n">
        <v>313542857.4099652</v>
      </c>
      <c r="J426" s="24" t="n">
        <v>387256.8374903497</v>
      </c>
      <c r="K426" s="24" t="n">
        <v>154070967.8928268</v>
      </c>
      <c r="L426" s="22">
        <f>SUM(F426:K426)</f>
        <v/>
      </c>
      <c r="M426" s="22">
        <f>Z426/(1-R426)</f>
        <v/>
      </c>
      <c r="N426" s="11" t="n">
        <v>167818.177372997</v>
      </c>
      <c r="O426" s="11" t="n">
        <v>57894</v>
      </c>
      <c r="P426" s="11" t="n"/>
      <c r="Q426" s="22">
        <f>M426+N426+O426+P426</f>
        <v/>
      </c>
      <c r="R426" s="12" t="n">
        <v>0.01</v>
      </c>
      <c r="S426" s="22">
        <f>M426*R426</f>
        <v/>
      </c>
      <c r="T426" s="22">
        <f>N426*R426</f>
        <v/>
      </c>
      <c r="U426" s="22">
        <f>(O426-V426)*R426</f>
        <v/>
      </c>
      <c r="V426" s="11" t="n">
        <v>9914</v>
      </c>
      <c r="W426" s="11" t="n">
        <v>0</v>
      </c>
      <c r="X426" s="22">
        <f>S426+T426+U426+V426+W426</f>
        <v/>
      </c>
      <c r="Y426" s="11" t="n">
        <v>199152.366</v>
      </c>
      <c r="Z426" s="22">
        <f>AE426-AB426-AA426-AC426</f>
        <v/>
      </c>
      <c r="AA426" s="22">
        <f>N426-T426-W426</f>
        <v/>
      </c>
      <c r="AB426" s="22">
        <f>O426-V426-U426</f>
        <v/>
      </c>
      <c r="AC426" s="22">
        <f>P426</f>
        <v/>
      </c>
      <c r="AD426" s="23">
        <f>Z426+AA426+AB426+AC426</f>
        <v/>
      </c>
      <c r="AE426" s="11" t="n">
        <v>1686069.29</v>
      </c>
      <c r="AF426" s="24">
        <f>AD426-AE426</f>
        <v/>
      </c>
      <c r="AG426" s="13">
        <f>IF(OR(B426="",B426=0,M426=""),"",M426/B426*10000)</f>
        <v/>
      </c>
      <c r="AH426" s="13">
        <f>IF(OR(C426="",C426=0),"",N426/C426*10000)</f>
        <v/>
      </c>
      <c r="AI426" s="13">
        <f>IF(OR(D426="",D426=0),"",O426/D426*10000)</f>
        <v/>
      </c>
      <c r="AJ426" s="11" t="n">
        <v>14122.5887757327</v>
      </c>
      <c r="AK426" s="11" t="n">
        <v>11141.66</v>
      </c>
      <c r="AL426" s="22">
        <f>AE426+AJ426+AK426</f>
        <v/>
      </c>
      <c r="AM426" s="22">
        <f>AE426</f>
        <v/>
      </c>
      <c r="AN426" s="14" t="n">
        <v>73480.55</v>
      </c>
      <c r="AO426" s="15" t="n">
        <v>22.94579</v>
      </c>
      <c r="AP426" s="14" t="n">
        <v>39504435.71255512</v>
      </c>
      <c r="AQ426" s="14" t="n">
        <v>26515.2185</v>
      </c>
      <c r="AR426" s="14" t="n">
        <v>14016.8459</v>
      </c>
      <c r="AS426" s="14" t="n"/>
      <c r="AT426" s="16" t="n">
        <v>435.5778950395568</v>
      </c>
      <c r="AU426" s="17" t="n">
        <v>0.0213685628</v>
      </c>
      <c r="AV426" s="14" t="n">
        <v>417732875.5303</v>
      </c>
      <c r="AW426" s="18" t="n">
        <v>60100000</v>
      </c>
      <c r="AX426" s="19" t="n">
        <v>39504435.71255512</v>
      </c>
      <c r="AY426" s="18" t="n">
        <v>3100000</v>
      </c>
      <c r="AZ426" s="18">
        <f>1000000000-999356498.663</f>
        <v/>
      </c>
      <c r="BA426" s="20">
        <f>1000000000-AV426-AW426-AX426-AY426-AZ426</f>
        <v/>
      </c>
      <c r="BB426" s="21" t="n">
        <v>242.028488</v>
      </c>
      <c r="BC426" s="21">
        <f>BA426/1000000-BB426</f>
        <v/>
      </c>
      <c r="BD426" s="22">
        <f>BA426*21.96</f>
        <v/>
      </c>
    </row>
    <row r="427">
      <c r="A427" s="10" t="n">
        <v>46049</v>
      </c>
      <c r="B427" s="11" t="n">
        <v>5204248656.503176</v>
      </c>
      <c r="C427" s="11" t="n">
        <v>1790572989.085442</v>
      </c>
      <c r="D427" s="11" t="n">
        <v>207050020</v>
      </c>
      <c r="E427" s="11" t="n"/>
      <c r="F427" s="24" t="n">
        <v>1344924922.352275</v>
      </c>
      <c r="G427" s="24" t="n">
        <v>35770467.6028413</v>
      </c>
      <c r="H427" s="24" t="n">
        <v>12003742.5589646</v>
      </c>
      <c r="I427" s="24" t="n">
        <v>256488041.5980743</v>
      </c>
      <c r="J427" s="24" t="n">
        <v>507692.7653293054</v>
      </c>
      <c r="K427" s="24" t="n">
        <v>140878122.2079577</v>
      </c>
      <c r="L427" s="22">
        <f>SUM(F427:K427)</f>
        <v/>
      </c>
      <c r="M427" s="22">
        <f>Z427/(1-R427)</f>
        <v/>
      </c>
      <c r="N427" s="11" t="n">
        <v>157726.9453200008</v>
      </c>
      <c r="O427" s="11" t="n">
        <v>110490</v>
      </c>
      <c r="P427" s="11" t="n"/>
      <c r="Q427" s="22">
        <f>M427+N427+O427+P427</f>
        <v/>
      </c>
      <c r="R427" s="12" t="n">
        <v>0.01</v>
      </c>
      <c r="S427" s="22">
        <f>M427*R427</f>
        <v/>
      </c>
      <c r="T427" s="22">
        <f>N427*R427</f>
        <v/>
      </c>
      <c r="U427" s="22">
        <f>(O427-V427)*R427</f>
        <v/>
      </c>
      <c r="V427" s="11" t="n">
        <v>11147</v>
      </c>
      <c r="W427" s="11" t="n">
        <v>0</v>
      </c>
      <c r="X427" s="22">
        <f>S427+T427+U427+V427+W427</f>
        <v/>
      </c>
      <c r="Y427" s="11" t="n">
        <v>165385.8654</v>
      </c>
      <c r="Z427" s="22">
        <f>AE427-AB427-AA427-AC427</f>
        <v/>
      </c>
      <c r="AA427" s="22">
        <f>N427-T427-W427</f>
        <v/>
      </c>
      <c r="AB427" s="22">
        <f>O427-V427-U427</f>
        <v/>
      </c>
      <c r="AC427" s="22">
        <f>P427</f>
        <v/>
      </c>
      <c r="AD427" s="23">
        <f>Z427+AA427+AB427+AC427</f>
        <v/>
      </c>
      <c r="AE427" s="11" t="n">
        <v>1379697.28</v>
      </c>
      <c r="AF427" s="24">
        <f>AD427-AE427</f>
        <v/>
      </c>
      <c r="AG427" s="13">
        <f>IF(OR(B427="",B427=0,M427=""),"",M427/B427*10000)</f>
        <v/>
      </c>
      <c r="AH427" s="13">
        <f>IF(OR(C427="",C427=0),"",N427/C427*10000)</f>
        <v/>
      </c>
      <c r="AI427" s="13">
        <f>IF(OR(D427="",D427=0),"",O427/D427*10000)</f>
        <v/>
      </c>
      <c r="AJ427" s="11" t="n">
        <v>32197.88640983001</v>
      </c>
      <c r="AK427" s="11" t="n">
        <v>12662.73</v>
      </c>
      <c r="AL427" s="22">
        <f>AE427+AJ427+AK427</f>
        <v/>
      </c>
      <c r="AM427" s="22">
        <f>AE427</f>
        <v/>
      </c>
      <c r="AN427" s="14" t="n">
        <v>49506.09</v>
      </c>
      <c r="AO427" s="15" t="n">
        <v>27.869244</v>
      </c>
      <c r="AP427" s="14" t="n">
        <v>39552810.69255512</v>
      </c>
      <c r="AQ427" s="14" t="n">
        <v>26518.0239</v>
      </c>
      <c r="AR427" s="14" t="n">
        <v>6036.8612</v>
      </c>
      <c r="AS427" s="14" t="n"/>
      <c r="AT427" s="16" t="n">
        <v>435.8809374728741</v>
      </c>
      <c r="AU427" s="17" t="n">
        <v>0.0213612187</v>
      </c>
      <c r="AV427" s="14" t="n">
        <v>417706357.5063</v>
      </c>
      <c r="AW427" s="18" t="n">
        <v>60100000</v>
      </c>
      <c r="AX427" s="19" t="n">
        <v>39552810.69255512</v>
      </c>
      <c r="AY427" s="18" t="n">
        <v>3100000</v>
      </c>
      <c r="AZ427" s="18">
        <f>1000000000-999350461.8018</f>
        <v/>
      </c>
      <c r="BA427" s="20">
        <f>1000000000-AV427-AW427-AX427-AY427-AZ427</f>
        <v/>
      </c>
      <c r="BB427" s="21" t="n">
        <v>242.028488</v>
      </c>
      <c r="BC427" s="21">
        <f>BA427/1000000-BB427</f>
        <v/>
      </c>
      <c r="BD427" s="22">
        <f>BA427*25.08</f>
        <v/>
      </c>
    </row>
    <row r="428">
      <c r="A428" s="10" t="n">
        <v>46050</v>
      </c>
      <c r="B428" s="11" t="n">
        <v>7085339604.23008</v>
      </c>
      <c r="C428" s="11" t="n">
        <v>2217417395.561294</v>
      </c>
      <c r="D428" s="11" t="n">
        <v>308503112</v>
      </c>
      <c r="E428" s="11" t="n"/>
      <c r="F428" s="24" t="n">
        <v>1487752541.32906</v>
      </c>
      <c r="G428" s="24" t="n">
        <v>42440650.13963056</v>
      </c>
      <c r="H428" s="24" t="n">
        <v>13647873.15072397</v>
      </c>
      <c r="I428" s="24" t="n">
        <v>415764764.5863042</v>
      </c>
      <c r="J428" s="24" t="n">
        <v>545433.3209701773</v>
      </c>
      <c r="K428" s="24" t="n">
        <v>257266133.0346053</v>
      </c>
      <c r="L428" s="22">
        <f>SUM(F428:K428)</f>
        <v/>
      </c>
      <c r="M428" s="22">
        <f>Z428/(1-R428)</f>
        <v/>
      </c>
      <c r="N428" s="11" t="n">
        <v>224675.4708309983</v>
      </c>
      <c r="O428" s="11" t="n">
        <v>158693</v>
      </c>
      <c r="P428" s="11" t="n"/>
      <c r="Q428" s="22">
        <f>M428+N428+O428+P428</f>
        <v/>
      </c>
      <c r="R428" s="12" t="n">
        <v>0.01</v>
      </c>
      <c r="S428" s="22">
        <f>M428*R428</f>
        <v/>
      </c>
      <c r="T428" s="22">
        <f>N428*R428</f>
        <v/>
      </c>
      <c r="U428" s="22">
        <f>(O428-V428)*R428</f>
        <v/>
      </c>
      <c r="V428" s="11" t="n">
        <v>15820</v>
      </c>
      <c r="W428" s="11" t="n">
        <v>0</v>
      </c>
      <c r="X428" s="22">
        <f>S428+T428+U428+V428+W428</f>
        <v/>
      </c>
      <c r="Y428" s="11" t="n">
        <v>175763.2178</v>
      </c>
      <c r="Z428" s="22">
        <f>AE428-AB428-AA428-AC428</f>
        <v/>
      </c>
      <c r="AA428" s="22">
        <f>N428-T428-W428</f>
        <v/>
      </c>
      <c r="AB428" s="22">
        <f>O428-V428-U428</f>
        <v/>
      </c>
      <c r="AC428" s="22">
        <f>P428</f>
        <v/>
      </c>
      <c r="AD428" s="23">
        <f>Z428+AA428+AB428+AC428</f>
        <v/>
      </c>
      <c r="AE428" s="11" t="n">
        <v>2162127.39</v>
      </c>
      <c r="AF428" s="24">
        <f>AD428-AE428</f>
        <v/>
      </c>
      <c r="AG428" s="13">
        <f>IF(OR(B428="",B428=0,M428=""),"",M428/B428*10000)</f>
        <v/>
      </c>
      <c r="AH428" s="13">
        <f>IF(OR(C428="",C428=0),"",N428/C428*10000)</f>
        <v/>
      </c>
      <c r="AI428" s="13">
        <f>IF(OR(D428="",D428=0),"",O428/D428*10000)</f>
        <v/>
      </c>
      <c r="AJ428" s="11" t="n">
        <v>53865.0501487842</v>
      </c>
      <c r="AK428" s="11" t="n">
        <v>18081.49</v>
      </c>
      <c r="AL428" s="22">
        <f>AE428+AJ428+AK428</f>
        <v/>
      </c>
      <c r="AM428" s="22">
        <f>AE428</f>
        <v/>
      </c>
      <c r="AN428" s="14" t="n">
        <v>65062</v>
      </c>
      <c r="AO428" s="15" t="n">
        <v>33.2318</v>
      </c>
      <c r="AP428" s="14" t="n">
        <v>39621747.41255512</v>
      </c>
      <c r="AQ428" s="14" t="n">
        <v>26544.181</v>
      </c>
      <c r="AR428" s="14" t="n">
        <v>2704.7994</v>
      </c>
      <c r="AS428" s="14" t="n"/>
      <c r="AT428" s="16" t="n">
        <v>436.6156548699132</v>
      </c>
      <c r="AU428" s="17" t="n">
        <v>0.0213434448</v>
      </c>
      <c r="AV428" s="14" t="n">
        <v>417679813.3254</v>
      </c>
      <c r="AW428" s="18" t="n">
        <v>60100000</v>
      </c>
      <c r="AX428" s="19" t="n">
        <v>39621747.41255512</v>
      </c>
      <c r="AY428" s="18" t="n">
        <v>3100000</v>
      </c>
      <c r="AZ428" s="18">
        <f>1000000000-999347757.0024</f>
        <v/>
      </c>
      <c r="BA428" s="20">
        <f>1000000000-AV428-AW428-AX428-AY428-AZ428</f>
        <v/>
      </c>
      <c r="BB428" s="21" t="n">
        <v>242.028488</v>
      </c>
      <c r="BC428" s="21">
        <f>BA428/1000000-BB428</f>
        <v/>
      </c>
      <c r="BD428" s="22">
        <f>BA428*31.01</f>
        <v/>
      </c>
    </row>
    <row r="429">
      <c r="A429" s="10" t="n">
        <v>46051</v>
      </c>
      <c r="B429" s="11" t="n">
        <v>11516896276.8007</v>
      </c>
      <c r="C429" s="11" t="n">
        <v>3321344474.402722</v>
      </c>
      <c r="D429" s="11" t="n">
        <v>330268020</v>
      </c>
      <c r="E429" s="11" t="n"/>
      <c r="F429" s="24" t="n">
        <v>2468060050.980289</v>
      </c>
      <c r="G429" s="24" t="n">
        <v>52910401.50695704</v>
      </c>
      <c r="H429" s="24" t="n">
        <v>8723377.122812429</v>
      </c>
      <c r="I429" s="24" t="n">
        <v>472071558.8945863</v>
      </c>
      <c r="J429" s="24" t="n">
        <v>616696.2604740193</v>
      </c>
      <c r="K429" s="24" t="n">
        <v>318962389.6376036</v>
      </c>
      <c r="L429" s="22">
        <f>SUM(F429:K429)</f>
        <v/>
      </c>
      <c r="M429" s="22">
        <f>Z429/(1-R429)</f>
        <v/>
      </c>
      <c r="N429" s="11" t="n">
        <v>333505.5739650025</v>
      </c>
      <c r="O429" s="11" t="n">
        <v>164983</v>
      </c>
      <c r="P429" s="11" t="n"/>
      <c r="Q429" s="22">
        <f>M429+N429+O429+P429</f>
        <v/>
      </c>
      <c r="R429" s="12" t="n">
        <v>0.01</v>
      </c>
      <c r="S429" s="22">
        <f>M429*R429</f>
        <v/>
      </c>
      <c r="T429" s="22">
        <f>N429*R429</f>
        <v/>
      </c>
      <c r="U429" s="22">
        <f>(O429-V429)*R429</f>
        <v/>
      </c>
      <c r="V429" s="11" t="n">
        <v>22986</v>
      </c>
      <c r="W429" s="11" t="n">
        <v>0</v>
      </c>
      <c r="X429" s="22">
        <f>S429+T429+U429+V429+W429</f>
        <v/>
      </c>
      <c r="Y429" s="11" t="n">
        <v>275344.5247</v>
      </c>
      <c r="Z429" s="22">
        <f>AE429-AB429-AA429-AC429</f>
        <v/>
      </c>
      <c r="AA429" s="22">
        <f>N429-T429-W429</f>
        <v/>
      </c>
      <c r="AB429" s="22">
        <f>O429-V429-U429</f>
        <v/>
      </c>
      <c r="AC429" s="22">
        <f>P429</f>
        <v/>
      </c>
      <c r="AD429" s="23">
        <f>Z429+AA429+AB429+AC429</f>
        <v/>
      </c>
      <c r="AE429" s="11" t="n">
        <v>3327618.82</v>
      </c>
      <c r="AF429" s="24">
        <f>AD429-AE429</f>
        <v/>
      </c>
      <c r="AG429" s="13">
        <f>IF(OR(B429="",B429=0,M429=""),"",M429/B429*10000)</f>
        <v/>
      </c>
      <c r="AH429" s="13">
        <f>IF(OR(C429="",C429=0),"",N429/C429*10000)</f>
        <v/>
      </c>
      <c r="AI429" s="13">
        <f>IF(OR(D429="",D429=0),"",O429/D429*10000)</f>
        <v/>
      </c>
      <c r="AJ429" s="11" t="n">
        <v>62176.31926300623</v>
      </c>
      <c r="AK429" s="11" t="n">
        <v>0</v>
      </c>
      <c r="AL429" s="22">
        <f>AE429+AJ429+AK429</f>
        <v/>
      </c>
      <c r="AM429" s="22">
        <f>AE429</f>
        <v/>
      </c>
      <c r="AN429" s="14" t="n">
        <v>101752.49</v>
      </c>
      <c r="AO429" s="15" t="n">
        <v>32.70307</v>
      </c>
      <c r="AP429" s="14" t="n">
        <v>39720956.13255512</v>
      </c>
      <c r="AQ429" s="14" t="n">
        <v>26419.8235</v>
      </c>
      <c r="AR429" s="14" t="n">
        <v>4190.0082</v>
      </c>
      <c r="AS429" s="14" t="n"/>
      <c r="AT429" s="16" t="n">
        <v>437.4583443479041</v>
      </c>
      <c r="AU429" s="17" t="n">
        <v>0.0213231135</v>
      </c>
      <c r="AV429" s="14" t="n">
        <v>417653393.5019</v>
      </c>
      <c r="AW429" s="18" t="n">
        <v>60100000</v>
      </c>
      <c r="AX429" s="19" t="n">
        <v>39720956.13255512</v>
      </c>
      <c r="AY429" s="18" t="n">
        <v>3100000</v>
      </c>
      <c r="AZ429" s="18">
        <f>1000000000-999343566.9942</f>
        <v/>
      </c>
      <c r="BA429" s="20">
        <f>1000000000-AV429-AW429-AX429-AY429-AZ429</f>
        <v/>
      </c>
      <c r="BB429" s="21" t="n">
        <v>242.028488</v>
      </c>
      <c r="BC429" s="21">
        <f>BA429/1000000-BB429</f>
        <v/>
      </c>
      <c r="BD429" s="22">
        <f>BA429*33.78</f>
        <v/>
      </c>
    </row>
    <row r="430">
      <c r="A430" s="10" t="n">
        <v>46052</v>
      </c>
      <c r="B430" s="11" t="n">
        <v>10738160694.19557</v>
      </c>
      <c r="C430" s="11" t="n">
        <v>4832638726.702464</v>
      </c>
      <c r="D430" s="11" t="n">
        <v>370980740</v>
      </c>
      <c r="E430" s="11" t="n"/>
      <c r="F430" s="24" t="n">
        <v>3957436113.527768</v>
      </c>
      <c r="G430" s="24" t="n">
        <v>54015626.80562559</v>
      </c>
      <c r="H430" s="24" t="n">
        <v>8676517.491859335</v>
      </c>
      <c r="I430" s="24" t="n">
        <v>538616694.0273877</v>
      </c>
      <c r="J430" s="24" t="n">
        <v>1659006.315691605</v>
      </c>
      <c r="K430" s="24" t="n">
        <v>272234768.5341318</v>
      </c>
      <c r="L430" s="22">
        <f>SUM(F430:K430)</f>
        <v/>
      </c>
      <c r="M430" s="22">
        <f>Z430/(1-R430)</f>
        <v/>
      </c>
      <c r="N430" s="11" t="n">
        <v>379618.9623719843</v>
      </c>
      <c r="O430" s="11" t="n">
        <v>177806</v>
      </c>
      <c r="P430" s="11" t="n"/>
      <c r="Q430" s="22">
        <f>M430+N430+O430+P430</f>
        <v/>
      </c>
      <c r="R430" s="12" t="n">
        <v>0.01</v>
      </c>
      <c r="S430" s="22">
        <f>M430*R430</f>
        <v/>
      </c>
      <c r="T430" s="22">
        <f>N430*R430</f>
        <v/>
      </c>
      <c r="U430" s="22">
        <f>(O430-V430)*R430</f>
        <v/>
      </c>
      <c r="V430" s="11" t="n">
        <v>23548</v>
      </c>
      <c r="W430" s="11" t="n">
        <v>0</v>
      </c>
      <c r="X430" s="22">
        <f>S430+T430+U430+V430+W430</f>
        <v/>
      </c>
      <c r="Y430" s="11" t="n">
        <v>268251.9723</v>
      </c>
      <c r="Z430" s="22">
        <f>AE430-AB430-AA430-AC430</f>
        <v/>
      </c>
      <c r="AA430" s="22">
        <f>N430-T430-W430</f>
        <v/>
      </c>
      <c r="AB430" s="22">
        <f>O430-V430-U430</f>
        <v/>
      </c>
      <c r="AC430" s="22">
        <f>P430</f>
        <v/>
      </c>
      <c r="AD430" s="23">
        <f>Z430+AA430+AB430+AC430</f>
        <v/>
      </c>
      <c r="AE430" s="11" t="n">
        <v>3218850.03</v>
      </c>
      <c r="AF430" s="24">
        <f>AD430-AE430</f>
        <v/>
      </c>
      <c r="AG430" s="13">
        <f>IF(OR(B430="",B430=0,M430=""),"",M430/B430*10000)</f>
        <v/>
      </c>
      <c r="AH430" s="13">
        <f>IF(OR(C430="",C430=0),"",N430/C430*10000)</f>
        <v/>
      </c>
      <c r="AI430" s="13">
        <f>IF(OR(D430="",D430=0),"",O430/D430*10000)</f>
        <v/>
      </c>
      <c r="AJ430" s="11" t="n">
        <v>47573.96236533747</v>
      </c>
      <c r="AK430" s="11" t="n">
        <v>0</v>
      </c>
      <c r="AL430" s="22">
        <f>AE430+AJ430+AK430</f>
        <v/>
      </c>
      <c r="AM430" s="22">
        <f>AE430</f>
        <v/>
      </c>
      <c r="AN430" s="14" t="n">
        <v>107902.6</v>
      </c>
      <c r="AO430" s="15" t="n">
        <v>29.83107</v>
      </c>
      <c r="AP430" s="14" t="n">
        <v>39827527.78255512</v>
      </c>
      <c r="AQ430" s="14" t="n">
        <v>26587.3493</v>
      </c>
      <c r="AR430" s="14" t="n">
        <v>3337.8629</v>
      </c>
      <c r="AS430" s="14" t="n"/>
      <c r="AT430" s="16" t="n">
        <v>437.2712749034426</v>
      </c>
      <c r="AU430" s="17" t="n">
        <v>0.0213276218</v>
      </c>
      <c r="AV430" s="14" t="n">
        <v>417626806.1526</v>
      </c>
      <c r="AW430" s="18" t="n">
        <v>60100000</v>
      </c>
      <c r="AX430" s="19" t="n">
        <v>39827527.78255512</v>
      </c>
      <c r="AY430" s="18" t="n">
        <v>3100000</v>
      </c>
      <c r="AZ430" s="18">
        <f>1000000000-999340229.1313</f>
        <v/>
      </c>
      <c r="BA430" s="20">
        <f>1000000000-AV430-AW430-AX430-AY430-AZ430</f>
        <v/>
      </c>
      <c r="BB430" s="21" t="n">
        <v>242.028488</v>
      </c>
      <c r="BC430" s="21">
        <f>BA430/1000000-BB430</f>
        <v/>
      </c>
      <c r="BD430" s="22">
        <f>BA430*30.05</f>
        <v/>
      </c>
    </row>
    <row r="431">
      <c r="A431" s="10" t="n">
        <v>46053</v>
      </c>
      <c r="B431" s="11" t="n">
        <v>12695531792.96625</v>
      </c>
      <c r="C431" s="11" t="n">
        <v>453482410.5860425</v>
      </c>
      <c r="D431" s="11" t="n">
        <v>353806191</v>
      </c>
      <c r="E431" s="11" t="n"/>
      <c r="F431" s="24" t="n">
        <v>261034281.4197865</v>
      </c>
      <c r="G431" s="24" t="n">
        <v>57960787.46603856</v>
      </c>
      <c r="H431" s="24" t="n">
        <v>2253600.87571512</v>
      </c>
      <c r="I431" s="24" t="n">
        <v>83975117.82128467</v>
      </c>
      <c r="J431" s="24" t="n">
        <v>439635.8704502436</v>
      </c>
      <c r="K431" s="24" t="n">
        <v>47818987.13276743</v>
      </c>
      <c r="L431" s="22">
        <f>SUM(F431:K431)</f>
        <v/>
      </c>
      <c r="M431" s="22">
        <f>Z431/(1-R431)</f>
        <v/>
      </c>
      <c r="N431" s="11" t="n">
        <v>57080.67238299992</v>
      </c>
      <c r="O431" s="11" t="n">
        <v>168742</v>
      </c>
      <c r="P431" s="11" t="n"/>
      <c r="Q431" s="22">
        <f>M431+N431+O431+P431</f>
        <v/>
      </c>
      <c r="R431" s="12" t="n">
        <v>0.01</v>
      </c>
      <c r="S431" s="22">
        <f>M431*R431</f>
        <v/>
      </c>
      <c r="T431" s="22">
        <f>N431*R431</f>
        <v/>
      </c>
      <c r="U431" s="22">
        <f>(O431-V431)*R431</f>
        <v/>
      </c>
      <c r="V431" s="11" t="n">
        <v>33402</v>
      </c>
      <c r="W431" s="11" t="n">
        <v>0</v>
      </c>
      <c r="X431" s="22">
        <f>S431+T431+U431+V431+W431</f>
        <v/>
      </c>
      <c r="Y431" s="11" t="n">
        <v>192057.6719</v>
      </c>
      <c r="Z431" s="22">
        <f>AE431-AB431-AA431-AC431</f>
        <v/>
      </c>
      <c r="AA431" s="22">
        <f>N431-T431-W431</f>
        <v/>
      </c>
      <c r="AB431" s="22">
        <f>O431-V431-U431</f>
        <v/>
      </c>
      <c r="AC431" s="22">
        <f>P431</f>
        <v/>
      </c>
      <c r="AD431" s="23">
        <f>Z431+AA431+AB431+AC431</f>
        <v/>
      </c>
      <c r="AE431" s="11" t="n">
        <v>3149151.15</v>
      </c>
      <c r="AF431" s="24">
        <f>AD431-AE431</f>
        <v/>
      </c>
      <c r="AG431" s="13">
        <f>IF(OR(B431="",B431=0,M431=""),"",M431/B431*10000)</f>
        <v/>
      </c>
      <c r="AH431" s="13">
        <f>IF(OR(C431="",C431=0),"",N431/C431*10000)</f>
        <v/>
      </c>
      <c r="AI431" s="13">
        <f>IF(OR(D431="",D431=0),"",O431/D431*10000)</f>
        <v/>
      </c>
      <c r="AJ431" s="11" t="n">
        <v>59160.6635866111</v>
      </c>
      <c r="AK431" s="11" t="n">
        <v>15438.01</v>
      </c>
      <c r="AL431" s="22">
        <f>AE431+AJ431+AK431</f>
        <v/>
      </c>
      <c r="AM431" s="22">
        <f>AE431</f>
        <v/>
      </c>
      <c r="AN431" s="14" t="n">
        <v>108741.69</v>
      </c>
      <c r="AO431" s="15" t="n">
        <v>28.959925</v>
      </c>
      <c r="AP431" s="14" t="n">
        <v>39936269.47255512</v>
      </c>
      <c r="AQ431" s="14" t="n">
        <v>26594.4561</v>
      </c>
      <c r="AR431" s="14" t="n">
        <v>2098.4135</v>
      </c>
      <c r="AS431" s="14" t="n"/>
      <c r="AT431" s="16" t="n">
        <v>438.1512159386824</v>
      </c>
      <c r="AU431" s="17" t="n">
        <v>0.0213064404</v>
      </c>
      <c r="AV431" s="14" t="n">
        <v>417600211.6965</v>
      </c>
      <c r="AW431" s="18" t="n">
        <v>60100000</v>
      </c>
      <c r="AX431" s="19" t="n">
        <v>39936269.47255512</v>
      </c>
      <c r="AY431" s="18" t="n">
        <v>3100000</v>
      </c>
      <c r="AZ431" s="18">
        <f>1000000000-999338130.7178</f>
        <v/>
      </c>
      <c r="BA431" s="20">
        <f>1000000000-AV431-AW431-AX431-AY431-AZ431</f>
        <v/>
      </c>
      <c r="BB431" s="21" t="n">
        <v>242.028488</v>
      </c>
      <c r="BC431" s="21">
        <f>BA431/1000000-BB431</f>
        <v/>
      </c>
      <c r="BD431" s="22">
        <f>BA431*31.04</f>
        <v/>
      </c>
    </row>
    <row r="432">
      <c r="A432" s="10" t="n">
        <v>46054</v>
      </c>
      <c r="B432" s="11" t="n">
        <v>7693066874.786963</v>
      </c>
      <c r="C432" s="11" t="n">
        <v>572206942.7024667</v>
      </c>
      <c r="D432" s="11" t="n">
        <v>216693089</v>
      </c>
      <c r="E432" s="11" t="n"/>
      <c r="F432" s="24" t="n">
        <v>350216815.3572245</v>
      </c>
      <c r="G432" s="24" t="n">
        <v>39473508.44717323</v>
      </c>
      <c r="H432" s="24" t="n">
        <v>2970315.88460239</v>
      </c>
      <c r="I432" s="24" t="n">
        <v>97235593.11369888</v>
      </c>
      <c r="J432" s="24" t="n">
        <v>112245.5833838753</v>
      </c>
      <c r="K432" s="24" t="n">
        <v>82198464.31638388</v>
      </c>
      <c r="L432" s="22">
        <f>SUM(F432:K432)</f>
        <v/>
      </c>
      <c r="M432" s="22">
        <f>Z432/(1-R432)</f>
        <v/>
      </c>
      <c r="N432" s="11" t="n">
        <v>72333.26268899969</v>
      </c>
      <c r="O432" s="11" t="n">
        <v>103743</v>
      </c>
      <c r="P432" s="11" t="n"/>
      <c r="Q432" s="22">
        <f>M432+N432+O432+P432</f>
        <v/>
      </c>
      <c r="R432" s="12" t="n">
        <v>0.01</v>
      </c>
      <c r="S432" s="22">
        <f>M432*R432</f>
        <v/>
      </c>
      <c r="T432" s="22">
        <f>N432*R432</f>
        <v/>
      </c>
      <c r="U432" s="22">
        <f>(O432-V432)*R432</f>
        <v/>
      </c>
      <c r="V432" s="11" t="n">
        <v>15350</v>
      </c>
      <c r="W432" s="11" t="n">
        <v>0</v>
      </c>
      <c r="X432" s="22">
        <f>S432+T432+U432+V432+W432</f>
        <v/>
      </c>
      <c r="Y432" s="11" t="n">
        <v>234810.1607</v>
      </c>
      <c r="Z432" s="22">
        <f>AE432-AB432-AA432-AC432</f>
        <v/>
      </c>
      <c r="AA432" s="22">
        <f>N432-T432-W432</f>
        <v/>
      </c>
      <c r="AB432" s="22">
        <f>O432-V432-U432</f>
        <v/>
      </c>
      <c r="AC432" s="22">
        <f>P432</f>
        <v/>
      </c>
      <c r="AD432" s="23">
        <f>Z432+AA432+AB432+AC432</f>
        <v/>
      </c>
      <c r="AE432" s="11" t="n">
        <v>2372679.2</v>
      </c>
      <c r="AF432" s="24">
        <f>AD432-AE432</f>
        <v/>
      </c>
      <c r="AG432" s="13">
        <f>IF(OR(B432="",B432=0,M432=""),"",M432/B432*10000)</f>
        <v/>
      </c>
      <c r="AH432" s="13">
        <f>IF(OR(C432="",C432=0),"",N432/C432*10000)</f>
        <v/>
      </c>
      <c r="AI432" s="13">
        <f>IF(OR(D432="",D432=0),"",O432/D432*10000)</f>
        <v/>
      </c>
      <c r="AJ432" s="11" t="n">
        <v>41555.79686956266</v>
      </c>
      <c r="AK432" s="11" t="n">
        <v>0</v>
      </c>
      <c r="AL432" s="22">
        <f>AE432+AJ432+AK432</f>
        <v/>
      </c>
      <c r="AM432" s="22">
        <f>AE432</f>
        <v/>
      </c>
      <c r="AN432" s="14" t="n">
        <v>78538.12</v>
      </c>
      <c r="AO432" s="15" t="n">
        <v>30.210542</v>
      </c>
      <c r="AP432" s="14" t="n">
        <v>40017749.00255512</v>
      </c>
      <c r="AQ432" s="14" t="n">
        <v>26605.0098</v>
      </c>
      <c r="AR432" s="14" t="n">
        <v>3582.5667</v>
      </c>
      <c r="AS432" s="14" t="n"/>
      <c r="AT432" s="16" t="n">
        <v>437.8861199054313</v>
      </c>
      <c r="AU432" s="17" t="n">
        <v>0.021312815</v>
      </c>
      <c r="AV432" s="14" t="n">
        <v>417573606.6867</v>
      </c>
      <c r="AW432" s="18" t="n">
        <v>60100000</v>
      </c>
      <c r="AX432" s="19" t="n">
        <v>40017749.00255512</v>
      </c>
      <c r="AY432" s="18" t="n">
        <v>3100000</v>
      </c>
      <c r="AZ432" s="18">
        <f>1000000000-999334548.1511</f>
        <v/>
      </c>
      <c r="BA432" s="20">
        <f>1000000000-AV432-AW432-AX432-AY432-AZ432</f>
        <v/>
      </c>
      <c r="BB432" s="21" t="n">
        <v>242.028488</v>
      </c>
      <c r="BC432" s="21">
        <f>BA432/1000000-BB432</f>
        <v/>
      </c>
      <c r="BD432" s="22">
        <f>BA432*32.19</f>
        <v/>
      </c>
    </row>
    <row r="433">
      <c r="A433" s="10" t="n">
        <v>46055</v>
      </c>
      <c r="B433" s="11" t="n">
        <v>8374913109.986902</v>
      </c>
      <c r="C433" s="11" t="n">
        <v>3497482624.999456</v>
      </c>
      <c r="D433" s="11" t="n">
        <v>345233535</v>
      </c>
      <c r="E433" s="11" t="n"/>
      <c r="F433" s="24" t="n">
        <v>2377277219.840918</v>
      </c>
      <c r="G433" s="24" t="n">
        <v>52541791.34560781</v>
      </c>
      <c r="H433" s="24" t="n">
        <v>7485631.498641593</v>
      </c>
      <c r="I433" s="24" t="n">
        <v>691270093.6507863</v>
      </c>
      <c r="J433" s="24" t="n">
        <v>353365.5694594138</v>
      </c>
      <c r="K433" s="24" t="n">
        <v>368554523.0940438</v>
      </c>
      <c r="L433" s="22">
        <f>SUM(F433:K433)</f>
        <v/>
      </c>
      <c r="M433" s="22">
        <f>Z433/(1-R433)</f>
        <v/>
      </c>
      <c r="N433" s="11" t="n">
        <v>263735.639975008</v>
      </c>
      <c r="O433" s="11" t="n">
        <v>165128</v>
      </c>
      <c r="P433" s="11" t="n"/>
      <c r="Q433" s="22">
        <f>M433+N433+O433+P433</f>
        <v/>
      </c>
      <c r="R433" s="12" t="n">
        <v>0.01</v>
      </c>
      <c r="S433" s="22">
        <f>M433*R433</f>
        <v/>
      </c>
      <c r="T433" s="22">
        <f>N433*R433</f>
        <v/>
      </c>
      <c r="U433" s="22">
        <f>(O433-V433)*R433</f>
        <v/>
      </c>
      <c r="V433" s="11" t="n">
        <v>25362</v>
      </c>
      <c r="W433" s="11" t="n">
        <v>0</v>
      </c>
      <c r="X433" s="22">
        <f>S433+T433+U433+V433+W433</f>
        <v/>
      </c>
      <c r="Y433" s="11" t="n">
        <v>218806.7482</v>
      </c>
      <c r="Z433" s="22">
        <f>AE433-AB433-AA433-AC433</f>
        <v/>
      </c>
      <c r="AA433" s="22">
        <f>N433-T433-W433</f>
        <v/>
      </c>
      <c r="AB433" s="22">
        <f>O433-V433-U433</f>
        <v/>
      </c>
      <c r="AC433" s="22">
        <f>P433</f>
        <v/>
      </c>
      <c r="AD433" s="23">
        <f>Z433+AA433+AB433+AC433</f>
        <v/>
      </c>
      <c r="AE433" s="11" t="n">
        <v>2661584.87</v>
      </c>
      <c r="AF433" s="24">
        <f>AD433-AE433</f>
        <v/>
      </c>
      <c r="AG433" s="13">
        <f>IF(OR(B433="",B433=0,M433=""),"",M433/B433*10000)</f>
        <v/>
      </c>
      <c r="AH433" s="13">
        <f>IF(OR(C433="",C433=0),"",N433/C433*10000)</f>
        <v/>
      </c>
      <c r="AI433" s="13">
        <f>IF(OR(D433="",D433=0),"",O433/D433*10000)</f>
        <v/>
      </c>
      <c r="AJ433" s="11" t="n">
        <v>61219.4633033833</v>
      </c>
      <c r="AK433" s="11" t="n">
        <v>15343.14</v>
      </c>
      <c r="AL433" s="22">
        <f>AE433+AJ433+AK433</f>
        <v/>
      </c>
      <c r="AM433" s="22">
        <f>AE433</f>
        <v/>
      </c>
      <c r="AN433" s="14" t="n">
        <v>84867.33</v>
      </c>
      <c r="AO433" s="15" t="n">
        <v>31.361713</v>
      </c>
      <c r="AP433" s="14" t="n">
        <v>40100277.24255512</v>
      </c>
      <c r="AQ433" s="14" t="n">
        <v>26595.9414</v>
      </c>
      <c r="AR433" s="14" t="n">
        <v>1593.839</v>
      </c>
      <c r="AS433" s="14" t="n"/>
      <c r="AT433" s="16" t="n">
        <v>437.3280322603123</v>
      </c>
      <c r="AU433" s="17" t="n">
        <v>0.0213262537</v>
      </c>
      <c r="AV433" s="14" t="n">
        <v>417547010.7452</v>
      </c>
      <c r="AW433" s="18" t="n">
        <v>60100000</v>
      </c>
      <c r="AX433" s="19" t="n">
        <v>40100277.24255512</v>
      </c>
      <c r="AY433" s="18" t="n">
        <v>3100000</v>
      </c>
      <c r="AZ433" s="18">
        <f>1000000000-999332954.3121</f>
        <v/>
      </c>
      <c r="BA433" s="20">
        <f>1000000000-AV433-AW433-AX433-AY433-AZ433</f>
        <v/>
      </c>
      <c r="BB433" s="21" t="n">
        <v>242.028488</v>
      </c>
      <c r="BC433" s="21">
        <f>BA433/1000000-BB433</f>
        <v/>
      </c>
      <c r="BD433" s="22">
        <f>BA433*31.32</f>
        <v/>
      </c>
    </row>
    <row r="434">
      <c r="A434" s="10" t="n">
        <v>46056</v>
      </c>
      <c r="B434" s="11" t="n">
        <v>10425213310.63333</v>
      </c>
      <c r="C434" s="11" t="n">
        <v>2764670754.554521</v>
      </c>
      <c r="D434" s="11" t="n">
        <v>418094057</v>
      </c>
      <c r="E434" s="11" t="n"/>
      <c r="F434" s="24" t="n">
        <v>1879305230.796649</v>
      </c>
      <c r="G434" s="24" t="n">
        <v>65057094.58394404</v>
      </c>
      <c r="H434" s="24" t="n">
        <v>5724517.347997849</v>
      </c>
      <c r="I434" s="24" t="n">
        <v>437335116.962939</v>
      </c>
      <c r="J434" s="24" t="n">
        <v>2197441.821321658</v>
      </c>
      <c r="K434" s="24" t="n">
        <v>375051353.0416691</v>
      </c>
      <c r="L434" s="22">
        <f>SUM(F434:K434)</f>
        <v/>
      </c>
      <c r="M434" s="22">
        <f>Z434/(1-R434)</f>
        <v/>
      </c>
      <c r="N434" s="11" t="n">
        <v>218539.0866939993</v>
      </c>
      <c r="O434" s="11" t="n">
        <v>193813</v>
      </c>
      <c r="P434" s="11" t="n"/>
      <c r="Q434" s="22">
        <f>M434+N434+O434+P434</f>
        <v/>
      </c>
      <c r="R434" s="12" t="n">
        <v>0.01</v>
      </c>
      <c r="S434" s="22">
        <f>M434*R434</f>
        <v/>
      </c>
      <c r="T434" s="22">
        <f>N434*R434</f>
        <v/>
      </c>
      <c r="U434" s="22">
        <f>(O434-V434)*R434</f>
        <v/>
      </c>
      <c r="V434" s="11" t="n">
        <v>23374</v>
      </c>
      <c r="W434" s="11" t="n">
        <v>0</v>
      </c>
      <c r="X434" s="22">
        <f>S434+T434+U434+V434+W434</f>
        <v/>
      </c>
      <c r="Y434" s="11" t="n">
        <v>200145.2416</v>
      </c>
      <c r="Z434" s="22">
        <f>AE434-AB434-AA434-AC434</f>
        <v/>
      </c>
      <c r="AA434" s="22">
        <f>N434-T434-W434</f>
        <v/>
      </c>
      <c r="AB434" s="22">
        <f>O434-V434-U434</f>
        <v/>
      </c>
      <c r="AC434" s="22">
        <f>P434</f>
        <v/>
      </c>
      <c r="AD434" s="23">
        <f>Z434+AA434+AB434+AC434</f>
        <v/>
      </c>
      <c r="AE434" s="11" t="n">
        <v>3033451.62</v>
      </c>
      <c r="AF434" s="24">
        <f>AD434-AE434</f>
        <v/>
      </c>
      <c r="AG434" s="13">
        <f>IF(OR(B434="",B434=0,M434=""),"",M434/B434*10000)</f>
        <v/>
      </c>
      <c r="AH434" s="13">
        <f>IF(OR(C434="",C434=0),"",N434/C434*10000)</f>
        <v/>
      </c>
      <c r="AI434" s="13">
        <f>IF(OR(D434="",D434=0),"",O434/D434*10000)</f>
        <v/>
      </c>
      <c r="AJ434" s="11" t="n">
        <v>63062.75230017128</v>
      </c>
      <c r="AK434" s="11" t="n">
        <v>0</v>
      </c>
      <c r="AL434" s="22">
        <f>AE434+AJ434+AK434</f>
        <v/>
      </c>
      <c r="AM434" s="22">
        <f>AE434</f>
        <v/>
      </c>
      <c r="AN434" s="14" t="n">
        <v>87809.98</v>
      </c>
      <c r="AO434" s="15" t="n">
        <v>34.545636</v>
      </c>
      <c r="AP434" s="14" t="n">
        <v>40188408.39255512</v>
      </c>
      <c r="AQ434" s="14" t="n">
        <v>26582.1282</v>
      </c>
      <c r="AR434" s="14" t="n">
        <v>5980.5172</v>
      </c>
      <c r="AS434" s="14" t="n"/>
      <c r="AT434" s="16" t="n">
        <v>437.3244867551601</v>
      </c>
      <c r="AU434" s="17" t="n">
        <v>0.0213263391</v>
      </c>
      <c r="AV434" s="14" t="n">
        <v>417520428.617</v>
      </c>
      <c r="AW434" s="18" t="n">
        <v>60100000</v>
      </c>
      <c r="AX434" s="19" t="n">
        <v>40188408.39255512</v>
      </c>
      <c r="AY434" s="18" t="n">
        <v>3100000</v>
      </c>
      <c r="AZ434" s="18">
        <f>1000000000-999326973.7949</f>
        <v/>
      </c>
      <c r="BA434" s="20">
        <f>1000000000-AV434-AW434-AX434-AY434-AZ434</f>
        <v/>
      </c>
      <c r="BB434" s="21" t="n">
        <v>242.028488</v>
      </c>
      <c r="BC434" s="21">
        <f>BA434/1000000-BB434</f>
        <v/>
      </c>
      <c r="BD434" s="22">
        <f>BA434*33.75</f>
        <v/>
      </c>
    </row>
    <row r="435">
      <c r="A435" s="10" t="n">
        <v>46057</v>
      </c>
      <c r="B435" s="11" t="n">
        <v>10181135861.25943</v>
      </c>
      <c r="C435" s="11" t="n">
        <v>2646761457.16073</v>
      </c>
      <c r="D435" s="11" t="n">
        <v>535928526</v>
      </c>
      <c r="E435" s="11" t="n"/>
      <c r="F435" s="24" t="n">
        <v>1715615292.169146</v>
      </c>
      <c r="G435" s="24" t="n">
        <v>55859977.85425263</v>
      </c>
      <c r="H435" s="24" t="n">
        <v>6904628.736113938</v>
      </c>
      <c r="I435" s="24" t="n">
        <v>552999531.8595661</v>
      </c>
      <c r="J435" s="24" t="n">
        <v>980479.437675614</v>
      </c>
      <c r="K435" s="24" t="n">
        <v>314401547.1039762</v>
      </c>
      <c r="L435" s="22">
        <f>SUM(F435:K435)</f>
        <v/>
      </c>
      <c r="M435" s="22">
        <f>Z435/(1-R435)</f>
        <v/>
      </c>
      <c r="N435" s="11" t="n">
        <v>171098.0110569987</v>
      </c>
      <c r="O435" s="11" t="n">
        <v>291087</v>
      </c>
      <c r="P435" s="11" t="n"/>
      <c r="Q435" s="22">
        <f>M435+N435+O435+P435</f>
        <v/>
      </c>
      <c r="R435" s="12" t="n">
        <v>0.01</v>
      </c>
      <c r="S435" s="22">
        <f>M435*R435</f>
        <v/>
      </c>
      <c r="T435" s="22">
        <f>N435*R435</f>
        <v/>
      </c>
      <c r="U435" s="22">
        <f>(O435-V435)*R435</f>
        <v/>
      </c>
      <c r="V435" s="11" t="n">
        <v>41998</v>
      </c>
      <c r="W435" s="11" t="n">
        <v>0</v>
      </c>
      <c r="X435" s="22">
        <f>S435+T435+U435+V435+W435</f>
        <v/>
      </c>
      <c r="Y435" s="11" t="n">
        <v>204296.7318</v>
      </c>
      <c r="Z435" s="22">
        <f>AE435-AB435-AA435-AC435</f>
        <v/>
      </c>
      <c r="AA435" s="22">
        <f>N435-T435-W435</f>
        <v/>
      </c>
      <c r="AB435" s="22">
        <f>O435-V435-U435</f>
        <v/>
      </c>
      <c r="AC435" s="22">
        <f>P435</f>
        <v/>
      </c>
      <c r="AD435" s="23">
        <f>Z435+AA435+AB435+AC435</f>
        <v/>
      </c>
      <c r="AE435" s="11" t="n">
        <v>2965474.28</v>
      </c>
      <c r="AF435" s="24">
        <f>AD435-AE435</f>
        <v/>
      </c>
      <c r="AG435" s="13">
        <f>IF(OR(B435="",B435=0,M435=""),"",M435/B435*10000)</f>
        <v/>
      </c>
      <c r="AH435" s="13">
        <f>IF(OR(C435="",C435=0),"",N435/C435*10000)</f>
        <v/>
      </c>
      <c r="AI435" s="13">
        <f>IF(OR(D435="",D435=0),"",O435/D435*10000)</f>
        <v/>
      </c>
      <c r="AJ435" s="11" t="n">
        <v>41142.84807417785</v>
      </c>
      <c r="AK435" s="11" t="n">
        <v>17261.92</v>
      </c>
      <c r="AL435" s="22">
        <f>AE435+AJ435+AK435</f>
        <v/>
      </c>
      <c r="AM435" s="22">
        <f>AE435</f>
        <v/>
      </c>
      <c r="AN435" s="14" t="n">
        <v>87492.3</v>
      </c>
      <c r="AO435" s="15" t="n">
        <v>33.894117</v>
      </c>
      <c r="AP435" s="14" t="n">
        <v>40276755.65255512</v>
      </c>
      <c r="AQ435" s="14" t="n">
        <v>26560.1302</v>
      </c>
      <c r="AR435" s="14" t="n">
        <v>3229.2473</v>
      </c>
      <c r="AS435" s="14" t="n"/>
      <c r="AT435" s="16" t="n">
        <v>436.5201036773665</v>
      </c>
      <c r="AU435" s="17" t="n">
        <v>0.0213457538</v>
      </c>
      <c r="AV435" s="14" t="n">
        <v>417493868.4869</v>
      </c>
      <c r="AW435" s="18" t="n">
        <v>60100000</v>
      </c>
      <c r="AX435" s="19" t="n">
        <v>40276755.65255512</v>
      </c>
      <c r="AY435" s="18" t="n">
        <v>3100000</v>
      </c>
      <c r="AZ435" s="18">
        <f>1000000000-999323744.5476</f>
        <v/>
      </c>
      <c r="BA435" s="20">
        <f>1000000000-AV435-AW435-AX435-AY435-AZ435</f>
        <v/>
      </c>
      <c r="BB435" s="21" t="n">
        <v>242.028488</v>
      </c>
      <c r="BC435" s="21">
        <f>BA435/1000000-BB435</f>
        <v/>
      </c>
      <c r="BD435" s="22">
        <f>BA435*32.97</f>
        <v/>
      </c>
    </row>
    <row r="436">
      <c r="A436" s="10" t="n">
        <v>46058</v>
      </c>
      <c r="B436" s="11" t="n">
        <v>19855794095.086</v>
      </c>
      <c r="C436" s="11" t="n">
        <v>5176265508.328306</v>
      </c>
      <c r="D436" s="11" t="n">
        <v>661577186</v>
      </c>
      <c r="E436" s="11" t="n"/>
      <c r="F436" s="24" t="n">
        <v>3822260091.082785</v>
      </c>
      <c r="G436" s="24" t="n">
        <v>100873665.7160175</v>
      </c>
      <c r="H436" s="24" t="n">
        <v>5067032.807601682</v>
      </c>
      <c r="I436" s="24" t="n">
        <v>798491166.2148572</v>
      </c>
      <c r="J436" s="24" t="n">
        <v>790770.2909998738</v>
      </c>
      <c r="K436" s="24" t="n">
        <v>448782782.2160454</v>
      </c>
      <c r="L436" s="22">
        <f>SUM(F436:K436)</f>
        <v/>
      </c>
      <c r="M436" s="22">
        <f>Z436/(1-R436)</f>
        <v/>
      </c>
      <c r="N436" s="11" t="n">
        <v>216625.4057780122</v>
      </c>
      <c r="O436" s="11" t="n">
        <v>275345</v>
      </c>
      <c r="P436" s="11" t="n"/>
      <c r="Q436" s="22">
        <f>M436+N436+O436+P436</f>
        <v/>
      </c>
      <c r="R436" s="12" t="n">
        <v>0.01</v>
      </c>
      <c r="S436" s="22">
        <f>M436*R436</f>
        <v/>
      </c>
      <c r="T436" s="22">
        <f>N436*R436</f>
        <v/>
      </c>
      <c r="U436" s="22">
        <f>(O436-V436)*R436</f>
        <v/>
      </c>
      <c r="V436" s="11" t="n">
        <v>73499</v>
      </c>
      <c r="W436" s="11" t="n">
        <v>0</v>
      </c>
      <c r="X436" s="22">
        <f>S436+T436+U436+V436+W436</f>
        <v/>
      </c>
      <c r="Y436" s="11" t="n">
        <v>358041.8243</v>
      </c>
      <c r="Z436" s="22">
        <f>AE436-AB436-AA436-AC436</f>
        <v/>
      </c>
      <c r="AA436" s="22">
        <f>N436-T436-W436</f>
        <v/>
      </c>
      <c r="AB436" s="22">
        <f>O436-V436-U436</f>
        <v/>
      </c>
      <c r="AC436" s="22">
        <f>P436</f>
        <v/>
      </c>
      <c r="AD436" s="23">
        <f>Z436+AA436+AB436+AC436</f>
        <v/>
      </c>
      <c r="AE436" s="11" t="n">
        <v>5253972.94</v>
      </c>
      <c r="AF436" s="24">
        <f>AD436-AE436</f>
        <v/>
      </c>
      <c r="AG436" s="13">
        <f>IF(OR(B436="",B436=0,M436=""),"",M436/B436*10000)</f>
        <v/>
      </c>
      <c r="AH436" s="13">
        <f>IF(OR(C436="",C436=0),"",N436/C436*10000)</f>
        <v/>
      </c>
      <c r="AI436" s="13">
        <f>IF(OR(D436="",D436=0),"",O436/D436*10000)</f>
        <v/>
      </c>
      <c r="AJ436" s="11" t="n">
        <v>66507.0797556285</v>
      </c>
      <c r="AK436" s="11" t="n">
        <v>18103.06</v>
      </c>
      <c r="AL436" s="22">
        <f>AE436+AJ436+AK436</f>
        <v/>
      </c>
      <c r="AM436" s="22">
        <f>AE436</f>
        <v/>
      </c>
      <c r="AN436" s="14" t="n">
        <v>160754.65</v>
      </c>
      <c r="AO436" s="15" t="n">
        <v>32.683179</v>
      </c>
      <c r="AP436" s="14" t="n">
        <v>40448356.07255512</v>
      </c>
      <c r="AQ436" s="14" t="n">
        <v>26510.6708</v>
      </c>
      <c r="AR436" s="14" t="n">
        <v>1549.8525</v>
      </c>
      <c r="AS436" s="14" t="n"/>
      <c r="AT436" s="16" t="n">
        <v>436.5581596489466</v>
      </c>
      <c r="AU436" s="17" t="n">
        <v>0.021344834</v>
      </c>
      <c r="AV436" s="14" t="n">
        <v>417467357.8161</v>
      </c>
      <c r="AW436" s="18" t="n">
        <v>60100000</v>
      </c>
      <c r="AX436" s="19" t="n">
        <v>40448356.07255512</v>
      </c>
      <c r="AY436" s="18" t="n">
        <v>3100000</v>
      </c>
      <c r="AZ436" s="18">
        <f>1000000000-999322194.6951</f>
        <v/>
      </c>
      <c r="BA436" s="20">
        <f>1000000000-AV436-AW436-AX436-AY436-AZ436</f>
        <v/>
      </c>
      <c r="BB436" s="21" t="n">
        <v>242.028488</v>
      </c>
      <c r="BC436" s="21">
        <f>BA436/1000000-BB436</f>
        <v/>
      </c>
      <c r="BD436" s="22">
        <f>BA436*35.26</f>
        <v/>
      </c>
    </row>
    <row r="437">
      <c r="A437" s="10" t="n">
        <v>46059</v>
      </c>
      <c r="B437" s="11" t="n">
        <v>13953686760.20595</v>
      </c>
      <c r="C437" s="11" t="n">
        <v>3076801015.243139</v>
      </c>
      <c r="D437" s="11" t="n">
        <v>527718065</v>
      </c>
      <c r="E437" s="11" t="n"/>
      <c r="F437" s="24" t="n">
        <v>2071587743.182104</v>
      </c>
      <c r="G437" s="24" t="n">
        <v>79982295.26458672</v>
      </c>
      <c r="H437" s="24" t="n">
        <v>5952571.365148858</v>
      </c>
      <c r="I437" s="24" t="n">
        <v>548028950.1611953</v>
      </c>
      <c r="J437" s="24" t="n">
        <v>664903.9012489658</v>
      </c>
      <c r="K437" s="24" t="n">
        <v>370584551.3688562</v>
      </c>
      <c r="L437" s="22">
        <f>SUM(F437:K437)</f>
        <v/>
      </c>
      <c r="M437" s="22">
        <f>Z437/(1-R437)</f>
        <v/>
      </c>
      <c r="N437" s="11" t="n">
        <v>172812.245767011</v>
      </c>
      <c r="O437" s="11" t="n">
        <v>217386</v>
      </c>
      <c r="P437" s="11" t="n"/>
      <c r="Q437" s="22">
        <f>M437+N437+O437+P437</f>
        <v/>
      </c>
      <c r="R437" s="12" t="n">
        <v>0.01</v>
      </c>
      <c r="S437" s="22">
        <f>M437*R437</f>
        <v/>
      </c>
      <c r="T437" s="22">
        <f>N437*R437</f>
        <v/>
      </c>
      <c r="U437" s="22">
        <f>(O437-V437)*R437</f>
        <v/>
      </c>
      <c r="V437" s="11" t="n">
        <v>59636</v>
      </c>
      <c r="W437" s="11" t="n">
        <v>0</v>
      </c>
      <c r="X437" s="22">
        <f>S437+T437+U437+V437+W437</f>
        <v/>
      </c>
      <c r="Y437" s="11" t="n">
        <v>412886.0119000001</v>
      </c>
      <c r="Z437" s="22">
        <f>AE437-AB437-AA437-AC437</f>
        <v/>
      </c>
      <c r="AA437" s="22">
        <f>N437-T437-W437</f>
        <v/>
      </c>
      <c r="AB437" s="22">
        <f>O437-V437-U437</f>
        <v/>
      </c>
      <c r="AC437" s="22">
        <f>P437</f>
        <v/>
      </c>
      <c r="AD437" s="23">
        <f>Z437+AA437+AB437+AC437</f>
        <v/>
      </c>
      <c r="AE437" s="11" t="n">
        <v>3769215.5</v>
      </c>
      <c r="AF437" s="24">
        <f>AD437-AE437</f>
        <v/>
      </c>
      <c r="AG437" s="13">
        <f>IF(OR(B437="",B437=0,M437=""),"",M437/B437*10000)</f>
        <v/>
      </c>
      <c r="AH437" s="13">
        <f>IF(OR(C437="",C437=0),"",N437/C437*10000)</f>
        <v/>
      </c>
      <c r="AI437" s="13">
        <f>IF(OR(D437="",D437=0),"",O437/D437*10000)</f>
        <v/>
      </c>
      <c r="AJ437" s="11" t="n">
        <v>77936.4778885682</v>
      </c>
      <c r="AK437" s="11" t="n">
        <v>17003.19</v>
      </c>
      <c r="AL437" s="22">
        <f>AE437+AJ437+AK437</f>
        <v/>
      </c>
      <c r="AM437" s="22">
        <f>AE437</f>
        <v/>
      </c>
      <c r="AN437" s="14" t="n">
        <v>112041.27</v>
      </c>
      <c r="AO437" s="15" t="n">
        <v>33.641314</v>
      </c>
      <c r="AP437" s="14" t="n">
        <v>40549550.85255512</v>
      </c>
      <c r="AQ437" s="14" t="n">
        <v>26548.2108</v>
      </c>
      <c r="AR437" s="14" t="n">
        <v>3523.7199</v>
      </c>
      <c r="AS437" s="14" t="n">
        <v>140333</v>
      </c>
      <c r="AT437" s="16" t="n">
        <v>435.666968843881</v>
      </c>
      <c r="AU437" s="17" t="n">
        <v>0.0213664034</v>
      </c>
      <c r="AV437" s="14" t="n">
        <v>417440809.6052</v>
      </c>
      <c r="AW437" s="18" t="n">
        <v>60100000</v>
      </c>
      <c r="AX437" s="19" t="n">
        <v>40549550.85255512</v>
      </c>
      <c r="AY437" s="18" t="n">
        <v>3100000</v>
      </c>
      <c r="AZ437" s="18">
        <f>1000000000-999318670.9752</f>
        <v/>
      </c>
      <c r="BA437" s="20">
        <f>1000000000-AV437-AW437-AX437-AY437-AZ437</f>
        <v/>
      </c>
      <c r="BB437" s="21" t="n">
        <v>241.888155</v>
      </c>
      <c r="BC437" s="21">
        <f>BA437/1000000-BB437</f>
        <v/>
      </c>
      <c r="BD437" s="22">
        <f>BA437*32.69</f>
        <v/>
      </c>
    </row>
    <row r="438">
      <c r="A438" s="10" t="n">
        <v>46060</v>
      </c>
      <c r="B438" s="11" t="n">
        <v>6254534363.276567</v>
      </c>
      <c r="C438" s="11" t="n">
        <v>154001934.478934</v>
      </c>
      <c r="D438" s="11" t="n">
        <v>209507105</v>
      </c>
      <c r="E438" s="11" t="n"/>
      <c r="F438" s="24" t="n">
        <v>37405422.87057558</v>
      </c>
      <c r="G438" s="24" t="n">
        <v>33864212.54955097</v>
      </c>
      <c r="H438" s="24" t="n">
        <v>1015613.671844625</v>
      </c>
      <c r="I438" s="24" t="n">
        <v>52119444.59473897</v>
      </c>
      <c r="J438" s="24" t="n">
        <v>1462722.447907541</v>
      </c>
      <c r="K438" s="24" t="n">
        <v>28134518.34431635</v>
      </c>
      <c r="L438" s="22">
        <f>SUM(F438:K438)</f>
        <v/>
      </c>
      <c r="M438" s="22">
        <f>Z438/(1-R438)</f>
        <v/>
      </c>
      <c r="N438" s="11" t="n">
        <v>27404.74906900169</v>
      </c>
      <c r="O438" s="11" t="n">
        <v>73305</v>
      </c>
      <c r="P438" s="11" t="n"/>
      <c r="Q438" s="22">
        <f>M438+N438+O438+P438</f>
        <v/>
      </c>
      <c r="R438" s="12" t="n">
        <v>0.01</v>
      </c>
      <c r="S438" s="22">
        <f>M438*R438</f>
        <v/>
      </c>
      <c r="T438" s="22">
        <f>N438*R438</f>
        <v/>
      </c>
      <c r="U438" s="22">
        <f>(O438-V438)*R438</f>
        <v/>
      </c>
      <c r="V438" s="11" t="n">
        <v>20238</v>
      </c>
      <c r="W438" s="11" t="n">
        <v>0</v>
      </c>
      <c r="X438" s="22">
        <f>S438+T438+U438+V438+W438</f>
        <v/>
      </c>
      <c r="Y438" s="11" t="n">
        <v>196440.9188</v>
      </c>
      <c r="Z438" s="22">
        <f>AE438-AB438-AA438-AC438</f>
        <v/>
      </c>
      <c r="AA438" s="22">
        <f>N438-T438-W438</f>
        <v/>
      </c>
      <c r="AB438" s="22">
        <f>O438-V438-U438</f>
        <v/>
      </c>
      <c r="AC438" s="22">
        <f>P438</f>
        <v/>
      </c>
      <c r="AD438" s="23">
        <f>Z438+AA438+AB438+AC438</f>
        <v/>
      </c>
      <c r="AE438" s="11" t="n">
        <v>1633492.24</v>
      </c>
      <c r="AF438" s="24">
        <f>AD438-AE438</f>
        <v/>
      </c>
      <c r="AG438" s="13">
        <f>IF(OR(B438="",B438=0,M438=""),"",M438/B438*10000)</f>
        <v/>
      </c>
      <c r="AH438" s="13">
        <f>IF(OR(C438="",C438=0),"",N438/C438*10000)</f>
        <v/>
      </c>
      <c r="AI438" s="13">
        <f>IF(OR(D438="",D438=0),"",O438/D438*10000)</f>
        <v/>
      </c>
      <c r="AJ438" s="11" t="n">
        <v>32618.66486459848</v>
      </c>
      <c r="AK438" s="11" t="n">
        <v>0</v>
      </c>
      <c r="AL438" s="22">
        <f>AE438+AJ438+AK438</f>
        <v/>
      </c>
      <c r="AM438" s="22">
        <f>AE438</f>
        <v/>
      </c>
      <c r="AN438" s="14" t="n">
        <v>50422.63</v>
      </c>
      <c r="AO438" s="15" t="n">
        <v>32.396014</v>
      </c>
      <c r="AP438" s="14" t="n">
        <v>40599246.33255512</v>
      </c>
      <c r="AQ438" s="14" t="n">
        <v>26532.9696</v>
      </c>
      <c r="AR438" s="14" t="n">
        <v>3341.9098</v>
      </c>
      <c r="AS438" s="14" t="n"/>
      <c r="AT438" s="16" t="n">
        <v>436.786342923683</v>
      </c>
      <c r="AU438" s="17" t="n">
        <v>0.0213393219</v>
      </c>
      <c r="AV438" s="14" t="n">
        <v>417414276.6356</v>
      </c>
      <c r="AW438" s="18" t="n">
        <v>60100000</v>
      </c>
      <c r="AX438" s="19" t="n">
        <v>40599246.33255512</v>
      </c>
      <c r="AY438" s="18" t="n">
        <v>3100000</v>
      </c>
      <c r="AZ438" s="18">
        <f>1000000000-999315329.0654</f>
        <v/>
      </c>
      <c r="BA438" s="20">
        <f>1000000000-AV438-AW438-AX438-AY438-AZ438</f>
        <v/>
      </c>
      <c r="BB438" s="21" t="n">
        <v>241.888155</v>
      </c>
      <c r="BC438" s="21">
        <f>BA438/1000000-BB438</f>
        <v/>
      </c>
      <c r="BD438" s="22">
        <f>BA438*32.16</f>
        <v/>
      </c>
    </row>
    <row r="439">
      <c r="A439" s="10" t="n">
        <v>46061</v>
      </c>
      <c r="B439" s="11" t="n">
        <v>3615022225.791923</v>
      </c>
      <c r="C439" s="11" t="n">
        <v>268944613.6691098</v>
      </c>
      <c r="D439" s="11" t="n">
        <v>113846302</v>
      </c>
      <c r="E439" s="11" t="n"/>
      <c r="F439" s="24" t="n">
        <v>159612787.8698103</v>
      </c>
      <c r="G439" s="24" t="n">
        <v>19596975.38821074</v>
      </c>
      <c r="H439" s="24" t="n">
        <v>4039764.654229861</v>
      </c>
      <c r="I439" s="24" t="n">
        <v>64371005.88372435</v>
      </c>
      <c r="J439" s="24" t="n">
        <v>1188555.674715697</v>
      </c>
      <c r="K439" s="24" t="n">
        <v>20135524.1984189</v>
      </c>
      <c r="L439" s="22">
        <f>SUM(F439:K439)</f>
        <v/>
      </c>
      <c r="M439" s="22">
        <f>Z439/(1-R439)</f>
        <v/>
      </c>
      <c r="N439" s="11" t="n">
        <v>44668.96788900184</v>
      </c>
      <c r="O439" s="11" t="n">
        <v>44772</v>
      </c>
      <c r="P439" s="11" t="n"/>
      <c r="Q439" s="22">
        <f>M439+N439+O439+P439</f>
        <v/>
      </c>
      <c r="R439" s="12" t="n">
        <v>0.01</v>
      </c>
      <c r="S439" s="22">
        <f>M439*R439</f>
        <v/>
      </c>
      <c r="T439" s="22">
        <f>N439*R439</f>
        <v/>
      </c>
      <c r="U439" s="22">
        <f>(O439-V439)*R439</f>
        <v/>
      </c>
      <c r="V439" s="11" t="n">
        <v>9896</v>
      </c>
      <c r="W439" s="11" t="n">
        <v>0</v>
      </c>
      <c r="X439" s="22">
        <f>S439+T439+U439+V439+W439</f>
        <v/>
      </c>
      <c r="Y439" s="11" t="n">
        <v>115237.5721</v>
      </c>
      <c r="Z439" s="22">
        <f>AE439-AB439-AA439-AC439</f>
        <v/>
      </c>
      <c r="AA439" s="22">
        <f>N439-T439-W439</f>
        <v/>
      </c>
      <c r="AB439" s="22">
        <f>O439-V439-U439</f>
        <v/>
      </c>
      <c r="AC439" s="22">
        <f>P439</f>
        <v/>
      </c>
      <c r="AD439" s="23">
        <f>Z439+AA439+AB439+AC439</f>
        <v/>
      </c>
      <c r="AE439" s="11" t="n">
        <v>1086013.17</v>
      </c>
      <c r="AF439" s="24">
        <f>AD439-AE439</f>
        <v/>
      </c>
      <c r="AG439" s="13">
        <f>IF(OR(B439="",B439=0,M439=""),"",M439/B439*10000)</f>
        <v/>
      </c>
      <c r="AH439" s="13">
        <f>IF(OR(C439="",C439=0),"",N439/C439*10000)</f>
        <v/>
      </c>
      <c r="AI439" s="13">
        <f>IF(OR(D439="",D439=0),"",O439/D439*10000)</f>
        <v/>
      </c>
      <c r="AJ439" s="11" t="n">
        <v>19316.06384805416</v>
      </c>
      <c r="AK439" s="11" t="n">
        <v>16303.83</v>
      </c>
      <c r="AL439" s="22">
        <f>AE439+AJ439+AK439</f>
        <v/>
      </c>
      <c r="AM439" s="22">
        <f>AE439</f>
        <v/>
      </c>
      <c r="AN439" s="14" t="n">
        <v>34080.59</v>
      </c>
      <c r="AO439" s="15" t="n">
        <v>31.866032</v>
      </c>
      <c r="AP439" s="14" t="n">
        <v>40632889.54255512</v>
      </c>
      <c r="AQ439" s="14" t="n">
        <v>26560.8768</v>
      </c>
      <c r="AR439" s="14" t="n">
        <v>360.2197</v>
      </c>
      <c r="AS439" s="14" t="n"/>
      <c r="AT439" s="16" t="n">
        <v>436.4495847134893</v>
      </c>
      <c r="AU439" s="17" t="n">
        <v>0.02134745840000001</v>
      </c>
      <c r="AV439" s="14" t="n">
        <v>417387715.7588</v>
      </c>
      <c r="AW439" s="18" t="n">
        <v>60100000</v>
      </c>
      <c r="AX439" s="19" t="n">
        <v>40632889.54255512</v>
      </c>
      <c r="AY439" s="18" t="n">
        <v>3100000</v>
      </c>
      <c r="AZ439" s="18">
        <f>1000000000-999314968.8457</f>
        <v/>
      </c>
      <c r="BA439" s="20">
        <f>1000000000-AV439-AW439-AX439-AY439-AZ439</f>
        <v/>
      </c>
      <c r="BB439" s="21" t="n">
        <v>241.888155</v>
      </c>
      <c r="BC439" s="21">
        <f>BA439/1000000-BB439</f>
        <v/>
      </c>
      <c r="BD439" s="22">
        <f>BA439*31.24</f>
        <v/>
      </c>
    </row>
    <row r="440">
      <c r="A440" s="10" t="n">
        <v>46062</v>
      </c>
      <c r="B440" s="11" t="n">
        <v>5339025158.938624</v>
      </c>
      <c r="C440" s="11" t="n">
        <v>1365961363.075821</v>
      </c>
      <c r="D440" s="11" t="n">
        <v>153907485</v>
      </c>
      <c r="E440" s="11" t="n"/>
      <c r="F440" s="24" t="n">
        <v>726187198.0439976</v>
      </c>
      <c r="G440" s="24" t="n">
        <v>23980613.24246722</v>
      </c>
      <c r="H440" s="24" t="n">
        <v>6221189.741638872</v>
      </c>
      <c r="I440" s="24" t="n">
        <v>349624433.4969376</v>
      </c>
      <c r="J440" s="24" t="n">
        <v>145659.7245469903</v>
      </c>
      <c r="K440" s="24" t="n">
        <v>259802268.8262329</v>
      </c>
      <c r="L440" s="22">
        <f>SUM(F440:K440)</f>
        <v/>
      </c>
      <c r="M440" s="22">
        <f>Z440/(1-R440)</f>
        <v/>
      </c>
      <c r="N440" s="11" t="n">
        <v>92907.5377170048</v>
      </c>
      <c r="O440" s="11" t="n">
        <v>59450</v>
      </c>
      <c r="P440" s="11" t="n"/>
      <c r="Q440" s="22">
        <f>M440+N440+O440+P440</f>
        <v/>
      </c>
      <c r="R440" s="12" t="n">
        <v>0.01</v>
      </c>
      <c r="S440" s="22">
        <f>M440*R440</f>
        <v/>
      </c>
      <c r="T440" s="22">
        <f>N440*R440</f>
        <v/>
      </c>
      <c r="U440" s="22">
        <f>(O440-V440)*R440</f>
        <v/>
      </c>
      <c r="V440" s="11" t="n">
        <v>13504</v>
      </c>
      <c r="W440" s="11" t="n">
        <v>0</v>
      </c>
      <c r="X440" s="22">
        <f>S440+T440+U440+V440+W440</f>
        <v/>
      </c>
      <c r="Y440" s="11" t="n">
        <v>151094.5287</v>
      </c>
      <c r="Z440" s="22">
        <f>AE440-AB440-AA440-AC440</f>
        <v/>
      </c>
      <c r="AA440" s="22">
        <f>N440-T440-W440</f>
        <v/>
      </c>
      <c r="AB440" s="22">
        <f>O440-V440-U440</f>
        <v/>
      </c>
      <c r="AC440" s="22">
        <f>P440</f>
        <v/>
      </c>
      <c r="AD440" s="23">
        <f>Z440+AA440+AB440+AC440</f>
        <v/>
      </c>
      <c r="AE440" s="11" t="n">
        <v>1554684.95</v>
      </c>
      <c r="AF440" s="24">
        <f>AD440-AE440</f>
        <v/>
      </c>
      <c r="AG440" s="13">
        <f>IF(OR(B440="",B440=0,M440=""),"",M440/B440*10000)</f>
        <v/>
      </c>
      <c r="AH440" s="13">
        <f>IF(OR(C440="",C440=0),"",N440/C440*10000)</f>
        <v/>
      </c>
      <c r="AI440" s="13">
        <f>IF(OR(D440="",D440=0),"",O440/D440*10000)</f>
        <v/>
      </c>
      <c r="AJ440" s="11" t="n">
        <v>19013.5566594822</v>
      </c>
      <c r="AK440" s="11" t="n">
        <v>57569.43</v>
      </c>
      <c r="AL440" s="22">
        <f>AE440+AJ440+AK440</f>
        <v/>
      </c>
      <c r="AM440" s="22">
        <f>AE440</f>
        <v/>
      </c>
      <c r="AN440" s="14" t="n">
        <v>48777.95</v>
      </c>
      <c r="AO440" s="15" t="n">
        <v>31.8727</v>
      </c>
      <c r="AP440" s="14" t="n">
        <v>40681692.85255512</v>
      </c>
      <c r="AQ440" s="14" t="n">
        <v>26556.7694</v>
      </c>
      <c r="AR440" s="14" t="n">
        <v>2523.6788</v>
      </c>
      <c r="AS440" s="14" t="n"/>
      <c r="AT440" s="16" t="n">
        <v>436.4780787376183</v>
      </c>
      <c r="AU440" s="17" t="n">
        <v>0.0213467695</v>
      </c>
      <c r="AV440" s="14" t="n">
        <v>417361158.9894</v>
      </c>
      <c r="AW440" s="18" t="n">
        <v>60100000</v>
      </c>
      <c r="AX440" s="19" t="n">
        <v>40681692.85255512</v>
      </c>
      <c r="AY440" s="18" t="n">
        <v>3100000</v>
      </c>
      <c r="AZ440" s="18">
        <f>1000000000-999312445.1669</f>
        <v/>
      </c>
      <c r="BA440" s="20">
        <f>1000000000-AV440-AW440-AX440-AY440-AZ440</f>
        <v/>
      </c>
      <c r="BB440" s="21" t="n">
        <v>241.888155</v>
      </c>
      <c r="BC440" s="21">
        <f>BA440/1000000-BB440</f>
        <v/>
      </c>
      <c r="BD440" s="22">
        <f>BA440*32.46</f>
        <v/>
      </c>
    </row>
    <row r="441">
      <c r="A441" s="10" t="n">
        <v>46063</v>
      </c>
      <c r="B441" s="11" t="n">
        <v>4884671658.897076</v>
      </c>
      <c r="C441" s="11" t="n">
        <v>1122610273.887716</v>
      </c>
      <c r="D441" s="11" t="n">
        <v>161284369</v>
      </c>
      <c r="E441" s="11" t="n"/>
      <c r="F441" s="24" t="n">
        <v>490669604.9356269</v>
      </c>
      <c r="G441" s="24" t="n">
        <v>19467713.66664077</v>
      </c>
      <c r="H441" s="24" t="n">
        <v>3665188.912879611</v>
      </c>
      <c r="I441" s="24" t="n">
        <v>348924917.5865867</v>
      </c>
      <c r="J441" s="24" t="n">
        <v>605381.5106067316</v>
      </c>
      <c r="K441" s="24" t="n">
        <v>259277467.2753753</v>
      </c>
      <c r="L441" s="22">
        <f>SUM(F441:K441)</f>
        <v/>
      </c>
      <c r="M441" s="22">
        <f>Z441/(1-R441)</f>
        <v/>
      </c>
      <c r="N441" s="11" t="n">
        <v>68320.83067900197</v>
      </c>
      <c r="O441" s="11" t="n">
        <v>64530</v>
      </c>
      <c r="P441" s="11" t="n"/>
      <c r="Q441" s="22">
        <f>M441+N441+O441+P441</f>
        <v/>
      </c>
      <c r="R441" s="12" t="n">
        <v>0.01</v>
      </c>
      <c r="S441" s="22">
        <f>M441*R441</f>
        <v/>
      </c>
      <c r="T441" s="22">
        <f>N441*R441</f>
        <v/>
      </c>
      <c r="U441" s="22">
        <f>(O441-V441)*R441</f>
        <v/>
      </c>
      <c r="V441" s="11" t="n">
        <v>15384</v>
      </c>
      <c r="W441" s="11" t="n">
        <v>0</v>
      </c>
      <c r="X441" s="22">
        <f>S441+T441+U441+V441+W441</f>
        <v/>
      </c>
      <c r="Y441" s="11" t="n">
        <v>126526.8714</v>
      </c>
      <c r="Z441" s="22">
        <f>AE441-AB441-AA441-AC441</f>
        <v/>
      </c>
      <c r="AA441" s="22">
        <f>N441-T441-W441</f>
        <v/>
      </c>
      <c r="AB441" s="22">
        <f>O441-V441-U441</f>
        <v/>
      </c>
      <c r="AC441" s="22">
        <f>P441</f>
        <v/>
      </c>
      <c r="AD441" s="23">
        <f>Z441+AA441+AB441+AC441</f>
        <v/>
      </c>
      <c r="AE441" s="11" t="n">
        <v>1355611.75</v>
      </c>
      <c r="AF441" s="24">
        <f>AD441-AE441</f>
        <v/>
      </c>
      <c r="AG441" s="13">
        <f>IF(OR(B441="",B441=0,M441=""),"",M441/B441*10000)</f>
        <v/>
      </c>
      <c r="AH441" s="13">
        <f>IF(OR(C441="",C441=0),"",N441/C441*10000)</f>
        <v/>
      </c>
      <c r="AI441" s="13">
        <f>IF(OR(D441="",D441=0),"",O441/D441*10000)</f>
        <v/>
      </c>
      <c r="AJ441" s="11" t="n">
        <v>15254.10245373004</v>
      </c>
      <c r="AK441" s="11" t="n">
        <v>0</v>
      </c>
      <c r="AL441" s="22">
        <f>AE441+AJ441+AK441</f>
        <v/>
      </c>
      <c r="AM441" s="22">
        <f>AE441</f>
        <v/>
      </c>
      <c r="AN441" s="14" t="n">
        <v>45261.62</v>
      </c>
      <c r="AO441" s="15" t="n">
        <v>29.95058</v>
      </c>
      <c r="AP441" s="14" t="n">
        <v>40726662.00255512</v>
      </c>
      <c r="AQ441" s="14" t="n">
        <v>26556.0418</v>
      </c>
      <c r="AR441" s="14" t="n">
        <v>3101.5672</v>
      </c>
      <c r="AS441" s="14" t="n"/>
      <c r="AT441" s="16" t="n">
        <v>436.1716725311088</v>
      </c>
      <c r="AU441" s="17" t="n">
        <v>0.0213541801</v>
      </c>
      <c r="AV441" s="14" t="n">
        <v>417334602.9476</v>
      </c>
      <c r="AW441" s="18" t="n">
        <v>60100000</v>
      </c>
      <c r="AX441" s="19" t="n">
        <v>40726662.00255512</v>
      </c>
      <c r="AY441" s="18" t="n">
        <v>3100000</v>
      </c>
      <c r="AZ441" s="18">
        <f>1000000000-999309343.5997</f>
        <v/>
      </c>
      <c r="BA441" s="20">
        <f>1000000000-AV441-AW441-AX441-AY441-AZ441</f>
        <v/>
      </c>
      <c r="BB441" s="21" t="n">
        <v>241.888155</v>
      </c>
      <c r="BC441" s="21">
        <f>BA441/1000000-BB441</f>
        <v/>
      </c>
      <c r="BD441" s="22">
        <f>BA441*31.04</f>
        <v/>
      </c>
    </row>
    <row r="442">
      <c r="A442" s="10" t="n">
        <v>46064</v>
      </c>
      <c r="B442" s="11" t="n">
        <v>6045261641.642109</v>
      </c>
      <c r="C442" s="11" t="n">
        <v>1385208121.74655</v>
      </c>
      <c r="D442" s="11" t="n">
        <v>173284691</v>
      </c>
      <c r="E442" s="11" t="n"/>
      <c r="F442" s="24" t="n">
        <v>604345134.6066018</v>
      </c>
      <c r="G442" s="24" t="n">
        <v>41683176.55271259</v>
      </c>
      <c r="H442" s="24" t="n">
        <v>7071489.706188349</v>
      </c>
      <c r="I442" s="24" t="n">
        <v>472414750.2449075</v>
      </c>
      <c r="J442" s="24" t="n">
        <v>781799.0135234706</v>
      </c>
      <c r="K442" s="24" t="n">
        <v>258911771.6226165</v>
      </c>
      <c r="L442" s="22">
        <f>SUM(F442:K442)</f>
        <v/>
      </c>
      <c r="M442" s="22">
        <f>Z442/(1-R442)</f>
        <v/>
      </c>
      <c r="N442" s="11" t="n">
        <v>78852.3736800078</v>
      </c>
      <c r="O442" s="11" t="n">
        <v>74916</v>
      </c>
      <c r="P442" s="11" t="n"/>
      <c r="Q442" s="22">
        <f>M442+N442+O442+P442</f>
        <v/>
      </c>
      <c r="R442" s="12" t="n">
        <v>0.01</v>
      </c>
      <c r="S442" s="22">
        <f>M442*R442</f>
        <v/>
      </c>
      <c r="T442" s="22">
        <f>N442*R442</f>
        <v/>
      </c>
      <c r="U442" s="22">
        <f>(O442-V442)*R442</f>
        <v/>
      </c>
      <c r="V442" s="11" t="n">
        <v>16819</v>
      </c>
      <c r="W442" s="11" t="n">
        <v>0</v>
      </c>
      <c r="X442" s="22">
        <f>S442+T442+U442+V442+W442</f>
        <v/>
      </c>
      <c r="Y442" s="11" t="n">
        <v>162302.0222</v>
      </c>
      <c r="Z442" s="22">
        <f>AE442-AB442-AA442-AC442</f>
        <v/>
      </c>
      <c r="AA442" s="22">
        <f>N442-T442-W442</f>
        <v/>
      </c>
      <c r="AB442" s="22">
        <f>O442-V442-U442</f>
        <v/>
      </c>
      <c r="AC442" s="22">
        <f>P442</f>
        <v/>
      </c>
      <c r="AD442" s="23">
        <f>Z442+AA442+AB442+AC442</f>
        <v/>
      </c>
      <c r="AE442" s="11" t="n">
        <v>1718110.73</v>
      </c>
      <c r="AF442" s="24">
        <f>AD442-AE442</f>
        <v/>
      </c>
      <c r="AG442" s="13">
        <f>IF(OR(B442="",B442=0,M442=""),"",M442/B442*10000)</f>
        <v/>
      </c>
      <c r="AH442" s="13">
        <f>IF(OR(C442="",C442=0),"",N442/C442*10000)</f>
        <v/>
      </c>
      <c r="AI442" s="13">
        <f>IF(OR(D442="",D442=0),"",O442/D442*10000)</f>
        <v/>
      </c>
      <c r="AJ442" s="11" t="n">
        <v>15193.78369267067</v>
      </c>
      <c r="AK442" s="11" t="n">
        <v>0</v>
      </c>
      <c r="AL442" s="22">
        <f>AE442+AJ442+AK442</f>
        <v/>
      </c>
      <c r="AM442" s="22">
        <f>AE442</f>
        <v/>
      </c>
      <c r="AN442" s="14" t="n">
        <v>59026.79</v>
      </c>
      <c r="AO442" s="15" t="n">
        <v>29.107304</v>
      </c>
      <c r="AP442" s="14" t="n">
        <v>40785342.70255512</v>
      </c>
      <c r="AQ442" s="14" t="n">
        <v>26553.4689</v>
      </c>
      <c r="AR442" s="14" t="n">
        <v>1030.2548</v>
      </c>
      <c r="AS442" s="14" t="n"/>
      <c r="AT442" s="16" t="n">
        <v>436.3974228552362</v>
      </c>
      <c r="AU442" s="17" t="n">
        <v>0.0213487195</v>
      </c>
      <c r="AV442" s="14" t="n">
        <v>417308049.4787</v>
      </c>
      <c r="AW442" s="18" t="n">
        <v>60100000</v>
      </c>
      <c r="AX442" s="19" t="n">
        <v>40785342.70255512</v>
      </c>
      <c r="AY442" s="18" t="n">
        <v>3100000</v>
      </c>
      <c r="AZ442" s="18">
        <f>1000000000-999308313.3449</f>
        <v/>
      </c>
      <c r="BA442" s="20">
        <f>1000000000-AV442-AW442-AX442-AY442-AZ442</f>
        <v/>
      </c>
      <c r="BB442" s="21" t="n">
        <v>241.888155</v>
      </c>
      <c r="BC442" s="21">
        <f>BA442/1000000-BB442</f>
        <v/>
      </c>
      <c r="BD442" s="22">
        <f>BA442*29.07</f>
        <v/>
      </c>
    </row>
    <row r="443">
      <c r="A443" s="10" t="n">
        <v>46065</v>
      </c>
      <c r="B443" s="11" t="n">
        <v>4971571359.912775</v>
      </c>
      <c r="C443" s="11" t="n">
        <v>1815646192.259533</v>
      </c>
      <c r="D443" s="11" t="n">
        <v>135631971</v>
      </c>
      <c r="E443" s="11" t="n"/>
      <c r="F443" s="24" t="n">
        <v>942638649.5702814</v>
      </c>
      <c r="G443" s="24" t="n">
        <v>41265978.37815232</v>
      </c>
      <c r="H443" s="24" t="n">
        <v>5029800.750726067</v>
      </c>
      <c r="I443" s="24" t="n">
        <v>576836828.6667448</v>
      </c>
      <c r="J443" s="24" t="n">
        <v>337030.6275573505</v>
      </c>
      <c r="K443" s="24" t="n">
        <v>249537904.2660711</v>
      </c>
      <c r="L443" s="22">
        <f>SUM(F443:K443)</f>
        <v/>
      </c>
      <c r="M443" s="22">
        <f>Z443/(1-R443)</f>
        <v/>
      </c>
      <c r="N443" s="11" t="n">
        <v>85114.52812799839</v>
      </c>
      <c r="O443" s="11" t="n">
        <v>57119</v>
      </c>
      <c r="P443" s="11" t="n"/>
      <c r="Q443" s="22">
        <f>M443+N443+O443+P443</f>
        <v/>
      </c>
      <c r="R443" s="12" t="n">
        <v>0.01</v>
      </c>
      <c r="S443" s="22">
        <f>M443*R443</f>
        <v/>
      </c>
      <c r="T443" s="22">
        <f>N443*R443</f>
        <v/>
      </c>
      <c r="U443" s="22">
        <f>(O443-V443)*R443</f>
        <v/>
      </c>
      <c r="V443" s="11" t="n">
        <v>11186</v>
      </c>
      <c r="W443" s="11" t="n">
        <v>0</v>
      </c>
      <c r="X443" s="22">
        <f>S443+T443+U443+V443+W443</f>
        <v/>
      </c>
      <c r="Y443" s="11" t="n">
        <v>120819.6169</v>
      </c>
      <c r="Z443" s="22">
        <f>AE443-AB443-AA443-AC443</f>
        <v/>
      </c>
      <c r="AA443" s="22">
        <f>N443-T443-W443</f>
        <v/>
      </c>
      <c r="AB443" s="22">
        <f>O443-V443-U443</f>
        <v/>
      </c>
      <c r="AC443" s="22">
        <f>P443</f>
        <v/>
      </c>
      <c r="AD443" s="23">
        <f>Z443+AA443+AB443+AC443</f>
        <v/>
      </c>
      <c r="AE443" s="11" t="n">
        <v>1356448.79</v>
      </c>
      <c r="AF443" s="24">
        <f>AD443-AE443</f>
        <v/>
      </c>
      <c r="AG443" s="13">
        <f>IF(OR(B443="",B443=0,M443=""),"",M443/B443*10000)</f>
        <v/>
      </c>
      <c r="AH443" s="13">
        <f>IF(OR(C443="",C443=0),"",N443/C443*10000)</f>
        <v/>
      </c>
      <c r="AI443" s="13">
        <f>IF(OR(D443="",D443=0),"",O443/D443*10000)</f>
        <v/>
      </c>
      <c r="AJ443" s="11" t="n">
        <v>15409.7918693184</v>
      </c>
      <c r="AK443" s="11" t="n">
        <v>0</v>
      </c>
      <c r="AL443" s="22">
        <f>AE443+AJ443+AK443</f>
        <v/>
      </c>
      <c r="AM443" s="22">
        <f>AE443</f>
        <v/>
      </c>
      <c r="AN443" s="14" t="n">
        <v>44632.74</v>
      </c>
      <c r="AO443" s="15" t="n">
        <v>30.39134</v>
      </c>
      <c r="AP443" s="14" t="n">
        <v>40833357.37255512</v>
      </c>
      <c r="AQ443" s="14" t="n">
        <v>26549.6824</v>
      </c>
      <c r="AR443" s="14" t="n">
        <v>1199.9727</v>
      </c>
      <c r="AS443" s="14" t="n"/>
      <c r="AT443" s="16" t="n">
        <v>436.3472172495264</v>
      </c>
      <c r="AU443" s="17" t="n">
        <v>0.0213499335</v>
      </c>
      <c r="AV443" s="14" t="n">
        <v>417281499.7962</v>
      </c>
      <c r="AW443" s="18" t="n">
        <v>60100000</v>
      </c>
      <c r="AX443" s="19" t="n">
        <v>40833357.37255512</v>
      </c>
      <c r="AY443" s="18" t="n">
        <v>3100000</v>
      </c>
      <c r="AZ443" s="18">
        <f>1000000000-999307113.3721</f>
        <v/>
      </c>
      <c r="BA443" s="20">
        <f>1000000000-AV443-AW443-AX443-AY443-AZ443</f>
        <v/>
      </c>
      <c r="BB443" s="21" t="n">
        <v>241.888155</v>
      </c>
      <c r="BC443" s="21">
        <f>BA443/1000000-BB443</f>
        <v/>
      </c>
      <c r="BD443" s="22">
        <f>BA443*29.72</f>
        <v/>
      </c>
    </row>
    <row r="444">
      <c r="A444" s="10" t="n">
        <v>46066</v>
      </c>
      <c r="B444" s="11" t="n">
        <v>4200949959.27511</v>
      </c>
      <c r="C444" s="11" t="n">
        <v>1463905926.912015</v>
      </c>
      <c r="D444" s="11" t="n">
        <v>120931518</v>
      </c>
      <c r="E444" s="11" t="n"/>
      <c r="F444" s="24" t="n">
        <v>567500587.7944828</v>
      </c>
      <c r="G444" s="24" t="n">
        <v>31286943.89992379</v>
      </c>
      <c r="H444" s="24" t="n">
        <v>2397830.711853654</v>
      </c>
      <c r="I444" s="24" t="n">
        <v>613218424.9142846</v>
      </c>
      <c r="J444" s="24" t="n">
        <v>111085.6849679042</v>
      </c>
      <c r="K444" s="24" t="n">
        <v>249391053.9065022</v>
      </c>
      <c r="L444" s="22">
        <f>SUM(F444:K444)</f>
        <v/>
      </c>
      <c r="M444" s="22">
        <f>Z444/(1-R444)</f>
        <v/>
      </c>
      <c r="N444" s="11" t="n">
        <v>69237.01592800586</v>
      </c>
      <c r="O444" s="11" t="n">
        <v>51109</v>
      </c>
      <c r="P444" s="11" t="n"/>
      <c r="Q444" s="22">
        <f>M444+N444+O444+P444</f>
        <v/>
      </c>
      <c r="R444" s="12" t="n">
        <v>0.01</v>
      </c>
      <c r="S444" s="22">
        <f>M444*R444</f>
        <v/>
      </c>
      <c r="T444" s="22">
        <f>N444*R444</f>
        <v/>
      </c>
      <c r="U444" s="22">
        <f>(O444-V444)*R444</f>
        <v/>
      </c>
      <c r="V444" s="11" t="n">
        <v>11822</v>
      </c>
      <c r="W444" s="11" t="n">
        <v>0</v>
      </c>
      <c r="X444" s="22">
        <f>S444+T444+U444+V444+W444</f>
        <v/>
      </c>
      <c r="Y444" s="11" t="n">
        <v>127769.3265</v>
      </c>
      <c r="Z444" s="22">
        <f>AE444-AB444-AA444-AC444</f>
        <v/>
      </c>
      <c r="AA444" s="22">
        <f>N444-T444-W444</f>
        <v/>
      </c>
      <c r="AB444" s="22">
        <f>O444-V444-U444</f>
        <v/>
      </c>
      <c r="AC444" s="22">
        <f>P444</f>
        <v/>
      </c>
      <c r="AD444" s="23">
        <f>Z444+AA444+AB444+AC444</f>
        <v/>
      </c>
      <c r="AE444" s="11" t="n">
        <v>1281749.07</v>
      </c>
      <c r="AF444" s="24">
        <f>AD444-AE444</f>
        <v/>
      </c>
      <c r="AG444" s="13">
        <f>IF(OR(B444="",B444=0,M444=""),"",M444/B444*10000)</f>
        <v/>
      </c>
      <c r="AH444" s="13">
        <f>IF(OR(C444="",C444=0),"",N444/C444*10000)</f>
        <v/>
      </c>
      <c r="AI444" s="13">
        <f>IF(OR(D444="",D444=0),"",O444/D444*10000)</f>
        <v/>
      </c>
      <c r="AJ444" s="11" t="n">
        <v>16118.89265635431</v>
      </c>
      <c r="AK444" s="11" t="n">
        <v>0</v>
      </c>
      <c r="AL444" s="22">
        <f>AE444+AJ444+AK444</f>
        <v/>
      </c>
      <c r="AM444" s="22">
        <f>AE444</f>
        <v/>
      </c>
      <c r="AN444" s="14" t="n">
        <v>41194.1</v>
      </c>
      <c r="AO444" s="15" t="n">
        <v>31.11487</v>
      </c>
      <c r="AP444" s="14" t="n">
        <v>40871803.47255512</v>
      </c>
      <c r="AQ444" s="14" t="n">
        <v>26553.7658</v>
      </c>
      <c r="AR444" s="14" t="n">
        <v>1215.4388</v>
      </c>
      <c r="AS444" s="14" t="n"/>
      <c r="AT444" s="16" t="n">
        <v>436.6026987118869</v>
      </c>
      <c r="AU444" s="17" t="n">
        <v>0.0213437578</v>
      </c>
      <c r="AV444" s="14" t="n">
        <v>417254946.0304</v>
      </c>
      <c r="AW444" s="18" t="n">
        <v>60100000</v>
      </c>
      <c r="AX444" s="19" t="n">
        <v>40871803.47255512</v>
      </c>
      <c r="AY444" s="18" t="n">
        <v>3100000</v>
      </c>
      <c r="AZ444" s="18">
        <f>1000000000-999305897.9334</f>
        <v/>
      </c>
      <c r="BA444" s="20">
        <f>1000000000-AV444-AW444-AX444-AY444-AZ444</f>
        <v/>
      </c>
      <c r="BB444" s="21" t="n">
        <v>241.888155</v>
      </c>
      <c r="BC444" s="21">
        <f>BA444/1000000-BB444</f>
        <v/>
      </c>
      <c r="BD444" s="22">
        <f>BA444*30.79</f>
        <v/>
      </c>
    </row>
    <row r="445">
      <c r="A445" s="10" t="n">
        <v>46067</v>
      </c>
      <c r="B445" s="11" t="n">
        <v>2571522436.728518</v>
      </c>
      <c r="C445" s="11" t="n">
        <v>111040475.1468335</v>
      </c>
      <c r="D445" s="11" t="n">
        <v>57585932</v>
      </c>
      <c r="E445" s="11" t="n"/>
      <c r="F445" s="24" t="n">
        <v>17782693.74353859</v>
      </c>
      <c r="G445" s="24" t="n">
        <v>16678307.68118486</v>
      </c>
      <c r="H445" s="24" t="n">
        <v>601957.5261914969</v>
      </c>
      <c r="I445" s="24" t="n">
        <v>50876162.92164933</v>
      </c>
      <c r="J445" s="24" t="n">
        <v>75970.15939370455</v>
      </c>
      <c r="K445" s="24" t="n">
        <v>25025383.11487553</v>
      </c>
      <c r="L445" s="22">
        <f>SUM(F445:K445)</f>
        <v/>
      </c>
      <c r="M445" s="22">
        <f>Z445/(1-R445)</f>
        <v/>
      </c>
      <c r="N445" s="11" t="n">
        <v>13404.37394200231</v>
      </c>
      <c r="O445" s="11" t="n">
        <v>26581</v>
      </c>
      <c r="P445" s="11" t="n"/>
      <c r="Q445" s="22">
        <f>M445+N445+O445+P445</f>
        <v/>
      </c>
      <c r="R445" s="12" t="n">
        <v>0.01</v>
      </c>
      <c r="S445" s="22">
        <f>M445*R445</f>
        <v/>
      </c>
      <c r="T445" s="22">
        <f>N445*R445</f>
        <v/>
      </c>
      <c r="U445" s="22">
        <f>(O445-V445)*R445</f>
        <v/>
      </c>
      <c r="V445" s="11" t="n">
        <v>5323</v>
      </c>
      <c r="W445" s="11" t="n">
        <v>0</v>
      </c>
      <c r="X445" s="22">
        <f>S445+T445+U445+V445+W445</f>
        <v/>
      </c>
      <c r="Y445" s="11" t="n">
        <v>73156.22960000001</v>
      </c>
      <c r="Z445" s="22">
        <f>AE445-AB445-AA445-AC445</f>
        <v/>
      </c>
      <c r="AA445" s="22">
        <f>N445-T445-W445</f>
        <v/>
      </c>
      <c r="AB445" s="22">
        <f>O445-V445-U445</f>
        <v/>
      </c>
      <c r="AC445" s="22">
        <f>P445</f>
        <v/>
      </c>
      <c r="AD445" s="23">
        <f>Z445+AA445+AB445+AC445</f>
        <v/>
      </c>
      <c r="AE445" s="11" t="n">
        <v>747336.21</v>
      </c>
      <c r="AF445" s="24">
        <f>AD445-AE445</f>
        <v/>
      </c>
      <c r="AG445" s="13">
        <f>IF(OR(B445="",B445=0,M445=""),"",M445/B445*10000)</f>
        <v/>
      </c>
      <c r="AH445" s="13">
        <f>IF(OR(C445="",C445=0),"",N445/C445*10000)</f>
        <v/>
      </c>
      <c r="AI445" s="13">
        <f>IF(OR(D445="",D445=0),"",O445/D445*10000)</f>
        <v/>
      </c>
      <c r="AJ445" s="11" t="n">
        <v>10306.41086253439</v>
      </c>
      <c r="AK445" s="11" t="n">
        <v>0</v>
      </c>
      <c r="AL445" s="22">
        <f>AE445+AJ445+AK445</f>
        <v/>
      </c>
      <c r="AM445" s="22">
        <f>AE445</f>
        <v/>
      </c>
      <c r="AN445" s="14" t="n">
        <v>23679.76</v>
      </c>
      <c r="AO445" s="15" t="n">
        <v>31.560126</v>
      </c>
      <c r="AP445" s="14" t="n">
        <v>40895558.22255512</v>
      </c>
      <c r="AQ445" s="14" t="n">
        <v>26554.7756</v>
      </c>
      <c r="AR445" s="14" t="n">
        <v>888.9465</v>
      </c>
      <c r="AS445" s="14" t="n"/>
      <c r="AT445" s="16" t="n">
        <v>435.5756719180026</v>
      </c>
      <c r="AU445" s="17" t="n">
        <v>0.0213686167</v>
      </c>
      <c r="AV445" s="14" t="n">
        <v>417228391.2548</v>
      </c>
      <c r="AW445" s="18" t="n">
        <v>60100000</v>
      </c>
      <c r="AX445" s="19" t="n">
        <v>40895558.22255512</v>
      </c>
      <c r="AY445" s="18" t="n">
        <v>3100000</v>
      </c>
      <c r="AZ445" s="18">
        <f>1000000000-999305008.9868</f>
        <v/>
      </c>
      <c r="BA445" s="20">
        <f>1000000000-AV445-AW445-AX445-AY445-AZ445</f>
        <v/>
      </c>
      <c r="BB445" s="21" t="n">
        <v>241.888155</v>
      </c>
      <c r="BC445" s="21">
        <f>BA445/1000000-BB445</f>
        <v/>
      </c>
      <c r="BD445" s="22">
        <f>BA445*31.53</f>
        <v/>
      </c>
    </row>
    <row r="446">
      <c r="A446" s="10" t="n">
        <v>46068</v>
      </c>
      <c r="B446" s="11" t="n">
        <v>3371742064.252635</v>
      </c>
      <c r="C446" s="11" t="n">
        <v>261058231.0617624</v>
      </c>
      <c r="D446" s="11" t="n">
        <v>64873396</v>
      </c>
      <c r="E446" s="11" t="n"/>
      <c r="F446" s="24" t="n">
        <v>109236488.7789391</v>
      </c>
      <c r="G446" s="24" t="n">
        <v>27752027.03413817</v>
      </c>
      <c r="H446" s="24" t="n">
        <v>1057966.466607271</v>
      </c>
      <c r="I446" s="24" t="n">
        <v>90405781.88632993</v>
      </c>
      <c r="J446" s="24" t="n">
        <v>163730.2164676052</v>
      </c>
      <c r="K446" s="24" t="n">
        <v>32442236.6792803</v>
      </c>
      <c r="L446" s="22">
        <f>SUM(F446:K446)</f>
        <v/>
      </c>
      <c r="M446" s="22">
        <f>Z446/(1-R446)</f>
        <v/>
      </c>
      <c r="N446" s="11" t="n">
        <v>26345.46225600098</v>
      </c>
      <c r="O446" s="11" t="n">
        <v>28320</v>
      </c>
      <c r="P446" s="11" t="n"/>
      <c r="Q446" s="22">
        <f>M446+N446+O446+P446</f>
        <v/>
      </c>
      <c r="R446" s="12" t="n">
        <v>0.01</v>
      </c>
      <c r="S446" s="22">
        <f>M446*R446</f>
        <v/>
      </c>
      <c r="T446" s="22">
        <f>N446*R446</f>
        <v/>
      </c>
      <c r="U446" s="22">
        <f>(O446-V446)*R446</f>
        <v/>
      </c>
      <c r="V446" s="11" t="n">
        <v>6488</v>
      </c>
      <c r="W446" s="11" t="n">
        <v>0</v>
      </c>
      <c r="X446" s="22">
        <f>S446+T446+U446+V446+W446</f>
        <v/>
      </c>
      <c r="Y446" s="11" t="n">
        <v>100314.1119</v>
      </c>
      <c r="Z446" s="22">
        <f>AE446-AB446-AA446-AC446</f>
        <v/>
      </c>
      <c r="AA446" s="22">
        <f>N446-T446-W446</f>
        <v/>
      </c>
      <c r="AB446" s="22">
        <f>O446-V446-U446</f>
        <v/>
      </c>
      <c r="AC446" s="22">
        <f>P446</f>
        <v/>
      </c>
      <c r="AD446" s="23">
        <f>Z446+AA446+AB446+AC446</f>
        <v/>
      </c>
      <c r="AE446" s="11" t="n">
        <v>977878.9</v>
      </c>
      <c r="AF446" s="24">
        <f>AD446-AE446</f>
        <v/>
      </c>
      <c r="AG446" s="13">
        <f>IF(OR(B446="",B446=0,M446=""),"",M446/B446*10000)</f>
        <v/>
      </c>
      <c r="AH446" s="13">
        <f>IF(OR(C446="",C446=0),"",N446/C446*10000)</f>
        <v/>
      </c>
      <c r="AI446" s="13">
        <f>IF(OR(D446="",D446=0),"",O446/D446*10000)</f>
        <v/>
      </c>
      <c r="AJ446" s="11" t="n">
        <v>11030.80301393154</v>
      </c>
      <c r="AK446" s="11" t="n">
        <v>20665.87</v>
      </c>
      <c r="AL446" s="22">
        <f>AE446+AJ446+AK446</f>
        <v/>
      </c>
      <c r="AM446" s="22">
        <f>AE446</f>
        <v/>
      </c>
      <c r="AN446" s="14" t="n">
        <v>31482</v>
      </c>
      <c r="AO446" s="15" t="n">
        <v>31.061524</v>
      </c>
      <c r="AP446" s="14" t="n">
        <v>40926983.47255512</v>
      </c>
      <c r="AQ446" s="14" t="n">
        <v>26531.3212</v>
      </c>
      <c r="AR446" s="14" t="n">
        <v>194.0083</v>
      </c>
      <c r="AS446" s="14" t="n"/>
      <c r="AT446" s="16" t="n">
        <v>435.6338885464914</v>
      </c>
      <c r="AU446" s="17" t="n">
        <v>0.0213672053</v>
      </c>
      <c r="AV446" s="14" t="n">
        <v>417201859.9336</v>
      </c>
      <c r="AW446" s="18" t="n">
        <v>60100000</v>
      </c>
      <c r="AX446" s="19" t="n">
        <v>40926983.47255512</v>
      </c>
      <c r="AY446" s="18" t="n">
        <v>3100000</v>
      </c>
      <c r="AZ446" s="18">
        <f>1000000000-999304814.9786</f>
        <v/>
      </c>
      <c r="BA446" s="20">
        <f>1000000000-AV446-AW446-AX446-AY446-AZ446</f>
        <v/>
      </c>
      <c r="BB446" s="21" t="n">
        <v>241.888155</v>
      </c>
      <c r="BC446" s="21">
        <f>BA446/1000000-BB446</f>
        <v/>
      </c>
      <c r="BD446" s="22">
        <f>BA446*31.73</f>
        <v/>
      </c>
    </row>
    <row r="447">
      <c r="A447" s="10" t="n">
        <v>46069</v>
      </c>
      <c r="B447" s="11" t="n">
        <v>3254525555.605091</v>
      </c>
      <c r="C447" s="11" t="n">
        <v>440684403.9411573</v>
      </c>
      <c r="D447" s="11" t="n">
        <v>69678119</v>
      </c>
      <c r="E447" s="11" t="n"/>
      <c r="F447" s="24" t="n">
        <v>221793868.5196931</v>
      </c>
      <c r="G447" s="24" t="n">
        <v>15946200.58958639</v>
      </c>
      <c r="H447" s="24" t="n">
        <v>2097187.210335293</v>
      </c>
      <c r="I447" s="24" t="n">
        <v>153124471.2964179</v>
      </c>
      <c r="J447" s="24" t="n">
        <v>60002.99368437645</v>
      </c>
      <c r="K447" s="24" t="n">
        <v>47662673.33144022</v>
      </c>
      <c r="L447" s="22">
        <f>SUM(F447:K447)</f>
        <v/>
      </c>
      <c r="M447" s="22">
        <f>Z447/(1-R447)</f>
        <v/>
      </c>
      <c r="N447" s="11" t="n">
        <v>35377.84743600057</v>
      </c>
      <c r="O447" s="11" t="n">
        <v>32589</v>
      </c>
      <c r="P447" s="11" t="n"/>
      <c r="Q447" s="22">
        <f>M447+N447+O447+P447</f>
        <v/>
      </c>
      <c r="R447" s="12" t="n">
        <v>0.01</v>
      </c>
      <c r="S447" s="22">
        <f>M447*R447</f>
        <v/>
      </c>
      <c r="T447" s="22">
        <f>N447*R447</f>
        <v/>
      </c>
      <c r="U447" s="22">
        <f>(O447-V447)*R447</f>
        <v/>
      </c>
      <c r="V447" s="11" t="n">
        <v>8141</v>
      </c>
      <c r="W447" s="11" t="n">
        <v>0</v>
      </c>
      <c r="X447" s="22">
        <f>S447+T447+U447+V447+W447</f>
        <v/>
      </c>
      <c r="Y447" s="11" t="n">
        <v>89612.9345</v>
      </c>
      <c r="Z447" s="22">
        <f>AE447-AB447-AA447-AC447</f>
        <v/>
      </c>
      <c r="AA447" s="22">
        <f>N447-T447-W447</f>
        <v/>
      </c>
      <c r="AB447" s="22">
        <f>O447-V447-U447</f>
        <v/>
      </c>
      <c r="AC447" s="22">
        <f>P447</f>
        <v/>
      </c>
      <c r="AD447" s="23">
        <f>Z447+AA447+AB447+AC447</f>
        <v/>
      </c>
      <c r="AE447" s="11" t="n">
        <v>853035.8</v>
      </c>
      <c r="AF447" s="24">
        <f>AD447-AE447</f>
        <v/>
      </c>
      <c r="AG447" s="13">
        <f>IF(OR(B447="",B447=0,M447=""),"",M447/B447*10000)</f>
        <v/>
      </c>
      <c r="AH447" s="13">
        <f>IF(OR(C447="",C447=0),"",N447/C447*10000)</f>
        <v/>
      </c>
      <c r="AI447" s="13">
        <f>IF(OR(D447="",D447=0),"",O447/D447*10000)</f>
        <v/>
      </c>
      <c r="AJ447" s="11" t="n">
        <v>8111.151967248759</v>
      </c>
      <c r="AK447" s="11" t="n">
        <v>0</v>
      </c>
      <c r="AL447" s="22">
        <f>AE447+AJ447+AK447</f>
        <v/>
      </c>
      <c r="AM447" s="22">
        <f>AE447</f>
        <v/>
      </c>
      <c r="AN447" s="14" t="n">
        <v>28342.14</v>
      </c>
      <c r="AO447" s="15" t="n">
        <v>30.097791</v>
      </c>
      <c r="AP447" s="14" t="n">
        <v>40954673.44255512</v>
      </c>
      <c r="AQ447" s="14" t="n">
        <v>26531.7321</v>
      </c>
      <c r="AR447" s="14" t="n">
        <v>1310.5528</v>
      </c>
      <c r="AS447" s="14" t="n"/>
      <c r="AT447" s="16" t="n">
        <v>435.5557332894539</v>
      </c>
      <c r="AU447" s="17" t="n">
        <v>0.0213691002</v>
      </c>
      <c r="AV447" s="14" t="n">
        <v>417175328.2015</v>
      </c>
      <c r="AW447" s="18" t="n">
        <v>60100000</v>
      </c>
      <c r="AX447" s="19" t="n">
        <v>40954673.44255512</v>
      </c>
      <c r="AY447" s="18" t="n">
        <v>3100000</v>
      </c>
      <c r="AZ447" s="18">
        <f>1000000000-999303504.4258</f>
        <v/>
      </c>
      <c r="BA447" s="20">
        <f>1000000000-AV447-AW447-AX447-AY447-AZ447</f>
        <v/>
      </c>
      <c r="BB447" s="21" t="n">
        <v>241.888155</v>
      </c>
      <c r="BC447" s="21">
        <f>BA447/1000000-BB447</f>
        <v/>
      </c>
      <c r="BD447" s="22">
        <f>BA447*30.67</f>
        <v/>
      </c>
    </row>
    <row r="448">
      <c r="A448" s="10" t="n">
        <v>46070</v>
      </c>
      <c r="B448" s="11" t="n">
        <v>4215253495.603356</v>
      </c>
      <c r="C448" s="11" t="n">
        <v>1351983967.380982</v>
      </c>
      <c r="D448" s="11" t="n">
        <v>90934681</v>
      </c>
      <c r="E448" s="11" t="n"/>
      <c r="F448" s="24" t="n">
        <v>589815636.2944211</v>
      </c>
      <c r="G448" s="24" t="n">
        <v>22562729.75674516</v>
      </c>
      <c r="H448" s="24" t="n">
        <v>3053773.288979848</v>
      </c>
      <c r="I448" s="24" t="n">
        <v>505590787.5557472</v>
      </c>
      <c r="J448" s="24" t="n">
        <v>51775.38237223835</v>
      </c>
      <c r="K448" s="24" t="n">
        <v>230909265.1027168</v>
      </c>
      <c r="L448" s="22">
        <f>SUM(F448:K448)</f>
        <v/>
      </c>
      <c r="M448" s="22">
        <f>Z448/(1-R448)</f>
        <v/>
      </c>
      <c r="N448" s="11" t="n">
        <v>78375.68038300109</v>
      </c>
      <c r="O448" s="11" t="n">
        <v>41760</v>
      </c>
      <c r="P448" s="11" t="n"/>
      <c r="Q448" s="22">
        <f>M448+N448+O448+P448</f>
        <v/>
      </c>
      <c r="R448" s="12" t="n">
        <v>0.01</v>
      </c>
      <c r="S448" s="22">
        <f>M448*R448</f>
        <v/>
      </c>
      <c r="T448" s="22">
        <f>N448*R448</f>
        <v/>
      </c>
      <c r="U448" s="22">
        <f>(O448-V448)*R448</f>
        <v/>
      </c>
      <c r="V448" s="11" t="n">
        <v>9459</v>
      </c>
      <c r="W448" s="11" t="n">
        <v>0</v>
      </c>
      <c r="X448" s="22">
        <f>S448+T448+U448+V448+W448</f>
        <v/>
      </c>
      <c r="Y448" s="11" t="n">
        <v>102383.8078</v>
      </c>
      <c r="Z448" s="22">
        <f>AE448-AB448-AA448-AC448</f>
        <v/>
      </c>
      <c r="AA448" s="22">
        <f>N448-T448-W448</f>
        <v/>
      </c>
      <c r="AB448" s="22">
        <f>O448-V448-U448</f>
        <v/>
      </c>
      <c r="AC448" s="22">
        <f>P448</f>
        <v/>
      </c>
      <c r="AD448" s="23">
        <f>Z448+AA448+AB448+AC448</f>
        <v/>
      </c>
      <c r="AE448" s="11" t="n">
        <v>1341596.32</v>
      </c>
      <c r="AF448" s="24">
        <f>AD448-AE448</f>
        <v/>
      </c>
      <c r="AG448" s="13">
        <f>IF(OR(B448="",B448=0,M448=""),"",M448/B448*10000)</f>
        <v/>
      </c>
      <c r="AH448" s="13">
        <f>IF(OR(C448="",C448=0),"",N448/C448*10000)</f>
        <v/>
      </c>
      <c r="AI448" s="13">
        <f>IF(OR(D448="",D448=0),"",O448/D448*10000)</f>
        <v/>
      </c>
      <c r="AJ448" s="11" t="n">
        <v>7662.966195508263</v>
      </c>
      <c r="AK448" s="11" t="n">
        <v>0</v>
      </c>
      <c r="AL448" s="22">
        <f>AE448+AJ448+AK448</f>
        <v/>
      </c>
      <c r="AM448" s="22">
        <f>AE448</f>
        <v/>
      </c>
      <c r="AN448" s="14" t="n">
        <v>44826.66</v>
      </c>
      <c r="AO448" s="15" t="n">
        <v>29.928536</v>
      </c>
      <c r="AP448" s="14" t="n">
        <v>41000108.94255512</v>
      </c>
      <c r="AQ448" s="14" t="n">
        <v>26528.882</v>
      </c>
      <c r="AR448" s="14" t="n">
        <v>248.4681</v>
      </c>
      <c r="AS448" s="14" t="n"/>
      <c r="AT448" s="16" t="n">
        <v>436.0275972162299</v>
      </c>
      <c r="AU448" s="17" t="n">
        <v>0.0213576672</v>
      </c>
      <c r="AV448" s="14" t="n">
        <v>417148799.3195</v>
      </c>
      <c r="AW448" s="18" t="n">
        <v>60100000</v>
      </c>
      <c r="AX448" s="19" t="n">
        <v>41000108.94255512</v>
      </c>
      <c r="AY448" s="18" t="n">
        <v>3100000</v>
      </c>
      <c r="AZ448" s="18">
        <f>1000000000-999303255.9577</f>
        <v/>
      </c>
      <c r="BA448" s="20">
        <f>1000000000-AV448-AW448-AX448-AY448-AZ448</f>
        <v/>
      </c>
      <c r="BB448" s="21" t="n">
        <v>241.888155</v>
      </c>
      <c r="BC448" s="21">
        <f>BA448/1000000-BB448</f>
        <v/>
      </c>
      <c r="BD448" s="22">
        <f>BA448*31.23</f>
        <v/>
      </c>
    </row>
    <row r="449">
      <c r="A449" s="10" t="n">
        <v>46071</v>
      </c>
      <c r="B449" s="11" t="n">
        <v>3954438254.959646</v>
      </c>
      <c r="C449" s="11" t="n">
        <v>870609220.5925269</v>
      </c>
      <c r="D449" s="11" t="n">
        <v>81402606</v>
      </c>
      <c r="E449" s="11" t="n"/>
      <c r="F449" s="24" t="n">
        <v>315283721.9533382</v>
      </c>
      <c r="G449" s="24" t="n">
        <v>24934827.71858907</v>
      </c>
      <c r="H449" s="24" t="n">
        <v>4373152.592382208</v>
      </c>
      <c r="I449" s="24" t="n">
        <v>336330135.1783568</v>
      </c>
      <c r="J449" s="24" t="n">
        <v>63620.78602733086</v>
      </c>
      <c r="K449" s="24" t="n">
        <v>189623762.3638333</v>
      </c>
      <c r="L449" s="22">
        <f>SUM(F449:K449)</f>
        <v/>
      </c>
      <c r="M449" s="22">
        <f>Z449/(1-R449)</f>
        <v/>
      </c>
      <c r="N449" s="11" t="n">
        <v>65773.10461899909</v>
      </c>
      <c r="O449" s="11" t="n">
        <v>38248</v>
      </c>
      <c r="P449" s="11" t="n"/>
      <c r="Q449" s="22">
        <f>M449+N449+O449+P449</f>
        <v/>
      </c>
      <c r="R449" s="12" t="n">
        <v>0.01</v>
      </c>
      <c r="S449" s="22">
        <f>M449*R449</f>
        <v/>
      </c>
      <c r="T449" s="22">
        <f>N449*R449</f>
        <v/>
      </c>
      <c r="U449" s="22">
        <f>(O449-V449)*R449</f>
        <v/>
      </c>
      <c r="V449" s="11" t="n">
        <v>8157</v>
      </c>
      <c r="W449" s="11" t="n">
        <v>0</v>
      </c>
      <c r="X449" s="22">
        <f>S449+T449+U449+V449+W449</f>
        <v/>
      </c>
      <c r="Y449" s="11" t="n">
        <v>118189.0883</v>
      </c>
      <c r="Z449" s="22">
        <f>AE449-AB449-AA449-AC449</f>
        <v/>
      </c>
      <c r="AA449" s="22">
        <f>N449-T449-W449</f>
        <v/>
      </c>
      <c r="AB449" s="22">
        <f>O449-V449-U449</f>
        <v/>
      </c>
      <c r="AC449" s="22">
        <f>P449</f>
        <v/>
      </c>
      <c r="AD449" s="23">
        <f>Z449+AA449+AB449+AC449</f>
        <v/>
      </c>
      <c r="AE449" s="11" t="n">
        <v>1175345.66</v>
      </c>
      <c r="AF449" s="24">
        <f>AD449-AE449</f>
        <v/>
      </c>
      <c r="AG449" s="13">
        <f>IF(OR(B449="",B449=0,M449=""),"",M449/B449*10000)</f>
        <v/>
      </c>
      <c r="AH449" s="13">
        <f>IF(OR(C449="",C449=0),"",N449/C449*10000)</f>
        <v/>
      </c>
      <c r="AI449" s="13">
        <f>IF(OR(D449="",D449=0),"",O449/D449*10000)</f>
        <v/>
      </c>
      <c r="AJ449" s="11" t="n">
        <v>7320.733752542559</v>
      </c>
      <c r="AK449" s="11" t="n">
        <v>0</v>
      </c>
      <c r="AL449" s="22">
        <f>AE449+AJ449+AK449</f>
        <v/>
      </c>
      <c r="AM449" s="22">
        <f>AE449</f>
        <v/>
      </c>
      <c r="AN449" s="14" t="n">
        <v>40585.19</v>
      </c>
      <c r="AO449" s="15" t="n">
        <v>28.959964</v>
      </c>
      <c r="AP449" s="14" t="n">
        <v>41040714.81255512</v>
      </c>
      <c r="AQ449" s="14" t="n">
        <v>26542.9805</v>
      </c>
      <c r="AR449" s="14" t="n">
        <v>812.8348999999999</v>
      </c>
      <c r="AS449" s="14" t="n"/>
      <c r="AT449" s="16" t="n">
        <v>435.9404219592785</v>
      </c>
      <c r="AU449" s="17" t="n">
        <v>0.0213597781</v>
      </c>
      <c r="AV449" s="14" t="n">
        <v>417122256.339</v>
      </c>
      <c r="AW449" s="18" t="n">
        <v>60100000</v>
      </c>
      <c r="AX449" s="19" t="n">
        <v>41040714.81255512</v>
      </c>
      <c r="AY449" s="18" t="n">
        <v>3100000</v>
      </c>
      <c r="AZ449" s="18">
        <f>1000000000-999302443.1227</f>
        <v/>
      </c>
      <c r="BA449" s="20">
        <f>1000000000-AV449-AW449-AX449-AY449-AZ449</f>
        <v/>
      </c>
      <c r="BB449" s="21" t="n">
        <v>241.888155</v>
      </c>
      <c r="BC449" s="21">
        <f>BA449/1000000-BB449</f>
        <v/>
      </c>
      <c r="BD449" s="22">
        <f>BA449*29.33</f>
        <v/>
      </c>
    </row>
    <row r="450">
      <c r="A450" s="10" t="n">
        <v>46072</v>
      </c>
      <c r="B450" s="11" t="n">
        <v>3391706426.032084</v>
      </c>
      <c r="C450" s="11" t="n">
        <v>1019252814.233456</v>
      </c>
      <c r="D450" s="11" t="n">
        <v>90699102</v>
      </c>
      <c r="E450" s="11" t="n"/>
      <c r="F450" s="24" t="n">
        <v>347046163.3064907</v>
      </c>
      <c r="G450" s="24" t="n">
        <v>26503866.55631114</v>
      </c>
      <c r="H450" s="24" t="n">
        <v>9612635.598895013</v>
      </c>
      <c r="I450" s="24" t="n">
        <v>464783321.0708578</v>
      </c>
      <c r="J450" s="24" t="n">
        <v>1198580.232215345</v>
      </c>
      <c r="K450" s="24" t="n">
        <v>170108247.4686864</v>
      </c>
      <c r="L450" s="22">
        <f>SUM(F450:K450)</f>
        <v/>
      </c>
      <c r="M450" s="22">
        <f>Z450/(1-R450)</f>
        <v/>
      </c>
      <c r="N450" s="11" t="n">
        <v>68608.21016999724</v>
      </c>
      <c r="O450" s="11" t="n">
        <v>43158</v>
      </c>
      <c r="P450" s="11" t="n"/>
      <c r="Q450" s="22">
        <f>M450+N450+O450+P450</f>
        <v/>
      </c>
      <c r="R450" s="12" t="n">
        <v>0.01</v>
      </c>
      <c r="S450" s="22">
        <f>M450*R450</f>
        <v/>
      </c>
      <c r="T450" s="22">
        <f>N450*R450</f>
        <v/>
      </c>
      <c r="U450" s="22">
        <f>(O450-V450)*R450</f>
        <v/>
      </c>
      <c r="V450" s="11" t="n">
        <v>10488</v>
      </c>
      <c r="W450" s="11" t="n">
        <v>0</v>
      </c>
      <c r="X450" s="22">
        <f>S450+T450+U450+V450+W450</f>
        <v/>
      </c>
      <c r="Y450" s="11" t="n">
        <v>112846.8407</v>
      </c>
      <c r="Z450" s="22">
        <f>AE450-AB450-AA450-AC450</f>
        <v/>
      </c>
      <c r="AA450" s="22">
        <f>N450-T450-W450</f>
        <v/>
      </c>
      <c r="AB450" s="22">
        <f>O450-V450-U450</f>
        <v/>
      </c>
      <c r="AC450" s="22">
        <f>P450</f>
        <v/>
      </c>
      <c r="AD450" s="23">
        <f>Z450+AA450+AB450+AC450</f>
        <v/>
      </c>
      <c r="AE450" s="11" t="n">
        <v>1031950.35</v>
      </c>
      <c r="AF450" s="24">
        <f>AD450-AE450</f>
        <v/>
      </c>
      <c r="AG450" s="13">
        <f>IF(OR(B450="",B450=0,M450=""),"",M450/B450*10000)</f>
        <v/>
      </c>
      <c r="AH450" s="13">
        <f>IF(OR(C450="",C450=0),"",N450/C450*10000)</f>
        <v/>
      </c>
      <c r="AI450" s="13">
        <f>IF(OR(D450="",D450=0),"",O450/D450*10000)</f>
        <v/>
      </c>
      <c r="AJ450" s="11" t="n">
        <v>7404.647963659209</v>
      </c>
      <c r="AK450" s="11" t="n">
        <v>0</v>
      </c>
      <c r="AL450" s="22">
        <f>AE450+AJ450+AK450</f>
        <v/>
      </c>
      <c r="AM450" s="22">
        <f>AE450</f>
        <v/>
      </c>
      <c r="AN450" s="14" t="n">
        <v>36230.94</v>
      </c>
      <c r="AO450" s="15" t="n">
        <v>28.482572</v>
      </c>
      <c r="AP450" s="14" t="n">
        <v>41076661.15255512</v>
      </c>
      <c r="AQ450" s="14" t="n">
        <v>26479.5633</v>
      </c>
      <c r="AR450" s="14" t="n">
        <v>1034.9876</v>
      </c>
      <c r="AS450" s="14" t="n"/>
      <c r="AT450" s="16" t="n">
        <v>434.9787333494316</v>
      </c>
      <c r="AU450" s="17" t="n">
        <v>0.0213831056</v>
      </c>
      <c r="AV450" s="14" t="n">
        <v>417095776.7757</v>
      </c>
      <c r="AW450" s="18" t="n">
        <v>60100000</v>
      </c>
      <c r="AX450" s="19" t="n">
        <v>41076661.15255512</v>
      </c>
      <c r="AY450" s="18" t="n">
        <v>3100000</v>
      </c>
      <c r="AZ450" s="18">
        <f>1000000000-999301408.1352</f>
        <v/>
      </c>
      <c r="BA450" s="20">
        <f>1000000000-AV450-AW450-AX450-AY450-AZ450</f>
        <v/>
      </c>
      <c r="BB450" s="21" t="n">
        <v>241.888155</v>
      </c>
      <c r="BC450" s="21">
        <f>BA450/1000000-BB450</f>
        <v/>
      </c>
      <c r="BD450" s="22">
        <f>BA450*28.34</f>
        <v/>
      </c>
    </row>
    <row r="451">
      <c r="A451" s="10" t="n">
        <v>46073</v>
      </c>
      <c r="B451" s="11" t="n">
        <v>4542583269.757467</v>
      </c>
      <c r="C451" s="11" t="n">
        <v>1601645272.549037</v>
      </c>
      <c r="D451" s="11" t="n">
        <v>95305873</v>
      </c>
      <c r="E451" s="11" t="n"/>
      <c r="F451" s="24" t="n">
        <v>641876932.2376492</v>
      </c>
      <c r="G451" s="24" t="n">
        <v>28832442.94548806</v>
      </c>
      <c r="H451" s="24" t="n">
        <v>11534472.24754177</v>
      </c>
      <c r="I451" s="24" t="n">
        <v>695931978.8454667</v>
      </c>
      <c r="J451" s="24" t="n">
        <v>1135951.434114617</v>
      </c>
      <c r="K451" s="24" t="n">
        <v>222333494.8387764</v>
      </c>
      <c r="L451" s="22">
        <f>SUM(F451:K451)</f>
        <v/>
      </c>
      <c r="M451" s="22">
        <f>Z451/(1-R451)</f>
        <v/>
      </c>
      <c r="N451" s="11" t="n">
        <v>99315.33371700945</v>
      </c>
      <c r="O451" s="11" t="n">
        <v>43689</v>
      </c>
      <c r="P451" s="11" t="n"/>
      <c r="Q451" s="22">
        <f>M451+N451+O451+P451</f>
        <v/>
      </c>
      <c r="R451" s="12" t="n">
        <v>0.01</v>
      </c>
      <c r="S451" s="22">
        <f>M451*R451</f>
        <v/>
      </c>
      <c r="T451" s="22">
        <f>N451*R451</f>
        <v/>
      </c>
      <c r="U451" s="22">
        <f>(O451-V451)*R451</f>
        <v/>
      </c>
      <c r="V451" s="11" t="n">
        <v>7976</v>
      </c>
      <c r="W451" s="11" t="n">
        <v>0</v>
      </c>
      <c r="X451" s="22">
        <f>S451+T451+U451+V451+W451</f>
        <v/>
      </c>
      <c r="Y451" s="11" t="n">
        <v>143373.9231</v>
      </c>
      <c r="Z451" s="22">
        <f>AE451-AB451-AA451-AC451</f>
        <v/>
      </c>
      <c r="AA451" s="22">
        <f>N451-T451-W451</f>
        <v/>
      </c>
      <c r="AB451" s="22">
        <f>O451-V451-U451</f>
        <v/>
      </c>
      <c r="AC451" s="22">
        <f>P451</f>
        <v/>
      </c>
      <c r="AD451" s="23">
        <f>Z451+AA451+AB451+AC451</f>
        <v/>
      </c>
      <c r="AE451" s="11" t="n">
        <v>1339275.29</v>
      </c>
      <c r="AF451" s="24">
        <f>AD451-AE451</f>
        <v/>
      </c>
      <c r="AG451" s="13">
        <f>IF(OR(B451="",B451=0,M451=""),"",M451/B451*10000)</f>
        <v/>
      </c>
      <c r="AH451" s="13">
        <f>IF(OR(C451="",C451=0),"",N451/C451*10000)</f>
        <v/>
      </c>
      <c r="AI451" s="13">
        <f>IF(OR(D451="",D451=0),"",O451/D451*10000)</f>
        <v/>
      </c>
      <c r="AJ451" s="11" t="n">
        <v>8324.810073459781</v>
      </c>
      <c r="AK451" s="11" t="n">
        <v>0</v>
      </c>
      <c r="AL451" s="22">
        <f>AE451+AJ451+AK451</f>
        <v/>
      </c>
      <c r="AM451" s="22">
        <f>AE451</f>
        <v/>
      </c>
      <c r="AN451" s="14" t="n">
        <v>45326.62</v>
      </c>
      <c r="AO451" s="15" t="n">
        <v>29.547213</v>
      </c>
      <c r="AP451" s="14" t="n">
        <v>41121642.85255512</v>
      </c>
      <c r="AQ451" s="14" t="n">
        <v>26501.8341</v>
      </c>
      <c r="AR451" s="14" t="n">
        <v>752.1996</v>
      </c>
      <c r="AS451" s="14" t="n"/>
      <c r="AT451" s="16" t="n">
        <v>434.3373479889671</v>
      </c>
      <c r="AU451" s="17" t="n">
        <v>0.0213987063</v>
      </c>
      <c r="AV451" s="14" t="n">
        <v>417069274.9416</v>
      </c>
      <c r="AW451" s="18" t="n">
        <v>60100000</v>
      </c>
      <c r="AX451" s="19" t="n">
        <v>41121642.85255512</v>
      </c>
      <c r="AY451" s="18" t="n">
        <v>3100000</v>
      </c>
      <c r="AZ451" s="18">
        <f>1000000000-999300655.9356</f>
        <v/>
      </c>
      <c r="BA451" s="20">
        <f>1000000000-AV451-AW451-AX451-AY451-AZ451</f>
        <v/>
      </c>
      <c r="BB451" s="21" t="n">
        <v>241.888155</v>
      </c>
      <c r="BC451" s="21">
        <f>BA451/1000000-BB451</f>
        <v/>
      </c>
      <c r="BD451" s="22">
        <f>BA451*29.24</f>
        <v/>
      </c>
    </row>
    <row r="452">
      <c r="A452" s="10" t="n">
        <v>46074</v>
      </c>
      <c r="B452" s="11" t="n">
        <v>1532863099.121383</v>
      </c>
      <c r="C452" s="11" t="n">
        <v>212474513.6403971</v>
      </c>
      <c r="D452" s="11" t="n">
        <v>42166095</v>
      </c>
      <c r="E452" s="11" t="n"/>
      <c r="F452" s="24" t="n">
        <v>50267162.95273399</v>
      </c>
      <c r="G452" s="24" t="n">
        <v>11903070.25936146</v>
      </c>
      <c r="H452" s="24" t="n">
        <v>4789223.081071773</v>
      </c>
      <c r="I452" s="24" t="n">
        <v>120385333.7558698</v>
      </c>
      <c r="J452" s="24" t="n">
        <v>350490.5605752303</v>
      </c>
      <c r="K452" s="24" t="n">
        <v>24779233.03078485</v>
      </c>
      <c r="L452" s="22">
        <f>SUM(F452:K452)</f>
        <v/>
      </c>
      <c r="M452" s="22">
        <f>Z452/(1-R452)</f>
        <v/>
      </c>
      <c r="N452" s="11" t="n">
        <v>31552.10733399795</v>
      </c>
      <c r="O452" s="11" t="n">
        <v>21946</v>
      </c>
      <c r="P452" s="11" t="n"/>
      <c r="Q452" s="22">
        <f>M452+N452+O452+P452</f>
        <v/>
      </c>
      <c r="R452" s="12" t="n">
        <v>0.01</v>
      </c>
      <c r="S452" s="22">
        <f>M452*R452</f>
        <v/>
      </c>
      <c r="T452" s="22">
        <f>N452*R452</f>
        <v/>
      </c>
      <c r="U452" s="22">
        <f>(O452-V452)*R452</f>
        <v/>
      </c>
      <c r="V452" s="11" t="n">
        <v>5240</v>
      </c>
      <c r="W452" s="11" t="n">
        <v>0</v>
      </c>
      <c r="X452" s="22">
        <f>S452+T452+U452+V452+W452</f>
        <v/>
      </c>
      <c r="Y452" s="11" t="n">
        <v>64932.98089999999</v>
      </c>
      <c r="Z452" s="22">
        <f>AE452-AB452-AA452-AC452</f>
        <v/>
      </c>
      <c r="AA452" s="22">
        <f>N452-T452-W452</f>
        <v/>
      </c>
      <c r="AB452" s="22">
        <f>O452-V452-U452</f>
        <v/>
      </c>
      <c r="AC452" s="22">
        <f>P452</f>
        <v/>
      </c>
      <c r="AD452" s="23">
        <f>Z452+AA452+AB452+AC452</f>
        <v/>
      </c>
      <c r="AE452" s="11" t="n">
        <v>491477.95</v>
      </c>
      <c r="AF452" s="24">
        <f>AD452-AE452</f>
        <v/>
      </c>
      <c r="AG452" s="13">
        <f>IF(OR(B452="",B452=0,M452=""),"",M452/B452*10000)</f>
        <v/>
      </c>
      <c r="AH452" s="13">
        <f>IF(OR(C452="",C452=0),"",N452/C452*10000)</f>
        <v/>
      </c>
      <c r="AI452" s="13">
        <f>IF(OR(D452="",D452=0),"",O452/D452*10000)</f>
        <v/>
      </c>
      <c r="AJ452" s="11" t="n">
        <v>3073.85166042161</v>
      </c>
      <c r="AK452" s="11" t="n">
        <v>0</v>
      </c>
      <c r="AL452" s="22">
        <f>AE452+AJ452+AK452</f>
        <v/>
      </c>
      <c r="AM452" s="22">
        <f>AE452</f>
        <v/>
      </c>
      <c r="AN452" s="14" t="n">
        <v>16358.16</v>
      </c>
      <c r="AO452" s="15" t="n">
        <v>30.044818</v>
      </c>
      <c r="AP452" s="14" t="n">
        <v>41139013.93255512</v>
      </c>
      <c r="AQ452" s="14" t="n">
        <v>26487.1078</v>
      </c>
      <c r="AR452" s="14" t="n">
        <v>384.7817</v>
      </c>
      <c r="AS452" s="14" t="n"/>
      <c r="AT452" s="16" t="n">
        <v>434.1797667823088</v>
      </c>
      <c r="AU452" s="17" t="n">
        <v>0.0214025445</v>
      </c>
      <c r="AV452" s="14" t="n">
        <v>417042787.8337</v>
      </c>
      <c r="AW452" s="18" t="n">
        <v>60100000</v>
      </c>
      <c r="AX452" s="19" t="n">
        <v>41139013.93255512</v>
      </c>
      <c r="AY452" s="18" t="n">
        <v>3100000</v>
      </c>
      <c r="AZ452" s="18">
        <f>1000000000-999300271.1539</f>
        <v/>
      </c>
      <c r="BA452" s="20">
        <f>1000000000-AV452-AW452-AX452-AY452-AZ452</f>
        <v/>
      </c>
      <c r="BB452" s="21" t="n">
        <v>241.888155</v>
      </c>
      <c r="BC452" s="21">
        <f>BA452/1000000-BB452</f>
        <v/>
      </c>
      <c r="BD452" s="22">
        <f>BA452*30.36</f>
        <v/>
      </c>
    </row>
    <row r="453">
      <c r="A453" s="10" t="n">
        <v>46075</v>
      </c>
      <c r="B453" s="11" t="n">
        <v>1549023747.298202</v>
      </c>
      <c r="C453" s="11" t="n">
        <v>339005978.902857</v>
      </c>
      <c r="D453" s="11" t="n">
        <v>45387039</v>
      </c>
      <c r="E453" s="11" t="n"/>
      <c r="F453" s="24" t="n">
        <v>198042823.2174537</v>
      </c>
      <c r="G453" s="24" t="n">
        <v>14008736.03563982</v>
      </c>
      <c r="H453" s="24" t="n">
        <v>8478394.534357263</v>
      </c>
      <c r="I453" s="24" t="n">
        <v>93689304.22069287</v>
      </c>
      <c r="J453" s="24" t="n">
        <v>285757.8662517358</v>
      </c>
      <c r="K453" s="24" t="n">
        <v>24500963.02846148</v>
      </c>
      <c r="L453" s="22">
        <f>SUM(F453:K453)</f>
        <v/>
      </c>
      <c r="M453" s="22">
        <f>Z453/(1-R453)</f>
        <v/>
      </c>
      <c r="N453" s="11" t="n">
        <v>45392.5100499996</v>
      </c>
      <c r="O453" s="11" t="n">
        <v>24651</v>
      </c>
      <c r="P453" s="11" t="n"/>
      <c r="Q453" s="22">
        <f>M453+N453+O453+P453</f>
        <v/>
      </c>
      <c r="R453" s="12" t="n">
        <v>0.01</v>
      </c>
      <c r="S453" s="22">
        <f>M453*R453</f>
        <v/>
      </c>
      <c r="T453" s="22">
        <f>N453*R453</f>
        <v/>
      </c>
      <c r="U453" s="22">
        <f>(O453-V453)*R453</f>
        <v/>
      </c>
      <c r="V453" s="11" t="n">
        <v>5347</v>
      </c>
      <c r="W453" s="11" t="n">
        <v>0</v>
      </c>
      <c r="X453" s="22">
        <f>S453+T453+U453+V453+W453</f>
        <v/>
      </c>
      <c r="Y453" s="11" t="n">
        <v>58845.8583</v>
      </c>
      <c r="Z453" s="22">
        <f>AE453-AB453-AA453-AC453</f>
        <v/>
      </c>
      <c r="AA453" s="22">
        <f>N453-T453-W453</f>
        <v/>
      </c>
      <c r="AB453" s="22">
        <f>O453-V453-U453</f>
        <v/>
      </c>
      <c r="AC453" s="22">
        <f>P453</f>
        <v/>
      </c>
      <c r="AD453" s="23">
        <f>Z453+AA453+AB453+AC453</f>
        <v/>
      </c>
      <c r="AE453" s="11" t="n">
        <v>506060.04</v>
      </c>
      <c r="AF453" s="24">
        <f>AD453-AE453</f>
        <v/>
      </c>
      <c r="AG453" s="13">
        <f>IF(OR(B453="",B453=0,M453=""),"",M453/B453*10000)</f>
        <v/>
      </c>
      <c r="AH453" s="13">
        <f>IF(OR(C453="",C453=0),"",N453/C453*10000)</f>
        <v/>
      </c>
      <c r="AI453" s="13">
        <f>IF(OR(D453="",D453=0),"",O453/D453*10000)</f>
        <v/>
      </c>
      <c r="AJ453" s="11" t="n">
        <v>2430.548840088878</v>
      </c>
      <c r="AK453" s="11" t="n">
        <v>0</v>
      </c>
      <c r="AL453" s="22">
        <f>AE453+AJ453+AK453</f>
        <v/>
      </c>
      <c r="AM453" s="22">
        <f>AE453</f>
        <v/>
      </c>
      <c r="AN453" s="14" t="n">
        <v>17276.29</v>
      </c>
      <c r="AO453" s="15" t="n">
        <v>29.292171</v>
      </c>
      <c r="AP453" s="14" t="n">
        <v>41155757.23255512</v>
      </c>
      <c r="AQ453" s="14" t="n">
        <v>26482.0784</v>
      </c>
      <c r="AR453" s="14" t="n">
        <v>130.4432</v>
      </c>
      <c r="AS453" s="14" t="n"/>
      <c r="AT453" s="16" t="n">
        <v>434.2090052837207</v>
      </c>
      <c r="AU453" s="17" t="n">
        <v>0.0214018322</v>
      </c>
      <c r="AV453" s="14" t="n">
        <v>417016305.7554</v>
      </c>
      <c r="AW453" s="18" t="n">
        <v>60100000</v>
      </c>
      <c r="AX453" s="19" t="n">
        <v>41155757.23255512</v>
      </c>
      <c r="AY453" s="18" t="n">
        <v>3100000</v>
      </c>
      <c r="AZ453" s="18">
        <f>1000000000-999300140.7107</f>
        <v/>
      </c>
      <c r="BA453" s="20">
        <f>1000000000-AV453-AW453-AX453-AY453-AZ453</f>
        <v/>
      </c>
      <c r="BB453" s="21" t="n">
        <v>241.888155</v>
      </c>
      <c r="BC453" s="21">
        <f>BA453/1000000-BB453</f>
        <v/>
      </c>
      <c r="BD453" s="22">
        <f>BA453*29.67</f>
        <v/>
      </c>
    </row>
    <row r="454">
      <c r="A454" s="10" t="n">
        <v>46076</v>
      </c>
      <c r="B454" s="11" t="n">
        <v>5443365567.273726</v>
      </c>
      <c r="C454" s="11" t="n">
        <v>1332197350.686122</v>
      </c>
      <c r="D454" s="11" t="n">
        <v>153889474</v>
      </c>
      <c r="E454" s="11" t="n"/>
      <c r="F454" s="24" t="n">
        <v>645620422.5692014</v>
      </c>
      <c r="G454" s="24" t="n">
        <v>33948679.52694405</v>
      </c>
      <c r="H454" s="24" t="n">
        <v>8949604.39253594</v>
      </c>
      <c r="I454" s="24" t="n">
        <v>437488685.2487042</v>
      </c>
      <c r="J454" s="24" t="n">
        <v>791727.4572283955</v>
      </c>
      <c r="K454" s="24" t="n">
        <v>205398231.491508</v>
      </c>
      <c r="L454" s="22">
        <f>SUM(F454:K454)</f>
        <v/>
      </c>
      <c r="M454" s="22">
        <f>Z454/(1-R454)</f>
        <v/>
      </c>
      <c r="N454" s="11" t="n">
        <v>98132.29664399971</v>
      </c>
      <c r="O454" s="11" t="n">
        <v>74281</v>
      </c>
      <c r="P454" s="11" t="n"/>
      <c r="Q454" s="22">
        <f>M454+N454+O454+P454</f>
        <v/>
      </c>
      <c r="R454" s="12" t="n">
        <v>0.01</v>
      </c>
      <c r="S454" s="22">
        <f>M454*R454</f>
        <v/>
      </c>
      <c r="T454" s="22">
        <f>N454*R454</f>
        <v/>
      </c>
      <c r="U454" s="22">
        <f>(O454-V454)*R454</f>
        <v/>
      </c>
      <c r="V454" s="11" t="n">
        <v>17153</v>
      </c>
      <c r="W454" s="11" t="n">
        <v>0</v>
      </c>
      <c r="X454" s="22">
        <f>S454+T454+U454+V454+W454</f>
        <v/>
      </c>
      <c r="Y454" s="11" t="n">
        <v>167924.6576</v>
      </c>
      <c r="Z454" s="22">
        <f>AE454-AB454-AA454-AC454</f>
        <v/>
      </c>
      <c r="AA454" s="22">
        <f>N454-T454-W454</f>
        <v/>
      </c>
      <c r="AB454" s="22">
        <f>O454-V454-U454</f>
        <v/>
      </c>
      <c r="AC454" s="22">
        <f>P454</f>
        <v/>
      </c>
      <c r="AD454" s="23">
        <f>Z454+AA454+AB454+AC454</f>
        <v/>
      </c>
      <c r="AE454" s="11" t="n">
        <v>1728909.29</v>
      </c>
      <c r="AF454" s="24">
        <f>AD454-AE454</f>
        <v/>
      </c>
      <c r="AG454" s="13">
        <f>IF(OR(B454="",B454=0,M454=""),"",M454/B454*10000)</f>
        <v/>
      </c>
      <c r="AH454" s="13">
        <f>IF(OR(C454="",C454=0),"",N454/C454*10000)</f>
        <v/>
      </c>
      <c r="AI454" s="13">
        <f>IF(OR(D454="",D454=0),"",O454/D454*10000)</f>
        <v/>
      </c>
      <c r="AJ454" s="11" t="n">
        <v>26950.55076667941</v>
      </c>
      <c r="AK454" s="11" t="n">
        <v>14484.15</v>
      </c>
      <c r="AL454" s="22">
        <f>AE454+AJ454+AK454</f>
        <v/>
      </c>
      <c r="AM454" s="22">
        <f>AE454</f>
        <v/>
      </c>
      <c r="AN454" s="14" t="n">
        <v>63679.71</v>
      </c>
      <c r="AO454" s="15" t="n">
        <v>27.150081</v>
      </c>
      <c r="AP454" s="14" t="n">
        <v>41218957.01255512</v>
      </c>
      <c r="AQ454" s="14" t="n">
        <v>26485.1915</v>
      </c>
      <c r="AR454" s="14" t="n">
        <v>607.4312</v>
      </c>
      <c r="AS454" s="14" t="n"/>
      <c r="AT454" s="16" t="n">
        <v>434.1041192991486</v>
      </c>
      <c r="AU454" s="17" t="n">
        <v>0.0214043877</v>
      </c>
      <c r="AV454" s="14" t="n">
        <v>416989820.5639</v>
      </c>
      <c r="AW454" s="18" t="n">
        <v>60100000</v>
      </c>
      <c r="AX454" s="19" t="n">
        <v>41218957.01255512</v>
      </c>
      <c r="AY454" s="18" t="n">
        <v>3100000</v>
      </c>
      <c r="AZ454" s="18">
        <f>1000000000-999299533.2795</f>
        <v/>
      </c>
      <c r="BA454" s="20">
        <f>1000000000-AV454-AW454-AX454-AY454-AZ454</f>
        <v/>
      </c>
      <c r="BB454" s="21" t="n">
        <v>241.888155</v>
      </c>
      <c r="BC454" s="21">
        <f>BA454/1000000-BB454</f>
        <v/>
      </c>
      <c r="BD454" s="22">
        <f>BA454*28.81</f>
        <v/>
      </c>
    </row>
    <row r="455">
      <c r="A455" s="10" t="n">
        <v>46077</v>
      </c>
      <c r="B455" s="11" t="n">
        <v>4894244154.690532</v>
      </c>
      <c r="C455" s="11" t="n">
        <v>1546025613.383999</v>
      </c>
      <c r="D455" s="11" t="n">
        <v>128088494</v>
      </c>
      <c r="E455" s="11" t="n"/>
      <c r="F455" s="24" t="n">
        <v>912611202.8264518</v>
      </c>
      <c r="G455" s="24" t="n">
        <v>29094087.90783011</v>
      </c>
      <c r="H455" s="24" t="n">
        <v>6856927.916327721</v>
      </c>
      <c r="I455" s="24" t="n">
        <v>349955077.5269033</v>
      </c>
      <c r="J455" s="24" t="n">
        <v>632648.7645831211</v>
      </c>
      <c r="K455" s="24" t="n">
        <v>246875668.4419025</v>
      </c>
      <c r="L455" s="22">
        <f>SUM(F455:K455)</f>
        <v/>
      </c>
      <c r="M455" s="22">
        <f>Z455/(1-R455)</f>
        <v/>
      </c>
      <c r="N455" s="11" t="n">
        <v>93806.4041440124</v>
      </c>
      <c r="O455" s="11" t="n">
        <v>56014</v>
      </c>
      <c r="P455" s="11" t="n"/>
      <c r="Q455" s="22">
        <f>M455+N455+O455+P455</f>
        <v/>
      </c>
      <c r="R455" s="12" t="n">
        <v>0.01</v>
      </c>
      <c r="S455" s="22">
        <f>M455*R455</f>
        <v/>
      </c>
      <c r="T455" s="22">
        <f>N455*R455</f>
        <v/>
      </c>
      <c r="U455" s="22">
        <f>(O455-V455)*R455</f>
        <v/>
      </c>
      <c r="V455" s="11" t="n">
        <v>16789</v>
      </c>
      <c r="W455" s="11" t="n">
        <v>0</v>
      </c>
      <c r="X455" s="22">
        <f>S455+T455+U455+V455+W455</f>
        <v/>
      </c>
      <c r="Y455" s="11" t="n">
        <v>133246.389</v>
      </c>
      <c r="Z455" s="22">
        <f>AE455-AB455-AA455-AC455</f>
        <v/>
      </c>
      <c r="AA455" s="22">
        <f>N455-T455-W455</f>
        <v/>
      </c>
      <c r="AB455" s="22">
        <f>O455-V455-U455</f>
        <v/>
      </c>
      <c r="AC455" s="22">
        <f>P455</f>
        <v/>
      </c>
      <c r="AD455" s="23">
        <f>Z455+AA455+AB455+AC455</f>
        <v/>
      </c>
      <c r="AE455" s="11" t="n">
        <v>1524885.95</v>
      </c>
      <c r="AF455" s="24">
        <f>AD455-AE455</f>
        <v/>
      </c>
      <c r="AG455" s="13">
        <f>IF(OR(B455="",B455=0,M455=""),"",M455/B455*10000)</f>
        <v/>
      </c>
      <c r="AH455" s="13">
        <f>IF(OR(C455="",C455=0),"",N455/C455*10000)</f>
        <v/>
      </c>
      <c r="AI455" s="13">
        <f>IF(OR(D455="",D455=0),"",O455/D455*10000)</f>
        <v/>
      </c>
      <c r="AJ455" s="11" t="n">
        <v>8364.22371656235</v>
      </c>
      <c r="AK455" s="11" t="n">
        <v>0</v>
      </c>
      <c r="AL455" s="22">
        <f>AE455+AJ455+AK455</f>
        <v/>
      </c>
      <c r="AM455" s="22">
        <f>AE455</f>
        <v/>
      </c>
      <c r="AN455" s="14" t="n">
        <v>57394.04</v>
      </c>
      <c r="AO455" s="15" t="n">
        <v>26.568716</v>
      </c>
      <c r="AP455" s="14" t="n">
        <v>41276918.64255512</v>
      </c>
      <c r="AQ455" s="14" t="n">
        <v>26481.1904</v>
      </c>
      <c r="AR455" s="14" t="n">
        <v>1147.6151</v>
      </c>
      <c r="AS455" s="14" t="n"/>
      <c r="AT455" s="16" t="n">
        <v>434.0951646723319</v>
      </c>
      <c r="AU455" s="17" t="n">
        <v>0.021404606</v>
      </c>
      <c r="AV455" s="14" t="n">
        <v>416963339.3735</v>
      </c>
      <c r="AW455" s="18" t="n">
        <v>60100000</v>
      </c>
      <c r="AX455" s="19" t="n">
        <v>41276918.64255512</v>
      </c>
      <c r="AY455" s="18" t="n">
        <v>3100000</v>
      </c>
      <c r="AZ455" s="18">
        <f>1000000000-999298385.6644</f>
        <v/>
      </c>
      <c r="BA455" s="20">
        <f>1000000000-AV455-AW455-AX455-AY455-AZ455</f>
        <v/>
      </c>
      <c r="BB455" s="21" t="n">
        <v>241.888155</v>
      </c>
      <c r="BC455" s="21">
        <f>BA455/1000000-BB455</f>
        <v/>
      </c>
      <c r="BD455" s="22">
        <f>BA455*26.46</f>
        <v/>
      </c>
    </row>
    <row r="456">
      <c r="A456" s="10" t="n">
        <v>46078</v>
      </c>
      <c r="B456" s="11" t="n">
        <v>6753869867.568432</v>
      </c>
      <c r="C456" s="11" t="n">
        <v>1941630139.274142</v>
      </c>
      <c r="D456" s="11" t="n">
        <v>144239731</v>
      </c>
      <c r="E456" s="11" t="n"/>
      <c r="F456" s="24" t="n">
        <v>1130551947.84597</v>
      </c>
      <c r="G456" s="24" t="n">
        <v>62243711.63816649</v>
      </c>
      <c r="H456" s="24" t="n">
        <v>17059239.67097032</v>
      </c>
      <c r="I456" s="24" t="n">
        <v>408931485.2761434</v>
      </c>
      <c r="J456" s="24" t="n">
        <v>100453.9948860471</v>
      </c>
      <c r="K456" s="24" t="n">
        <v>322743300.8480051</v>
      </c>
      <c r="L456" s="22">
        <f>SUM(F456:K456)</f>
        <v/>
      </c>
      <c r="M456" s="22">
        <f>Z456/(1-R456)</f>
        <v/>
      </c>
      <c r="N456" s="11" t="n">
        <v>112480.6759299948</v>
      </c>
      <c r="O456" s="11" t="n">
        <v>63522</v>
      </c>
      <c r="P456" s="11" t="n"/>
      <c r="Q456" s="22">
        <f>M456+N456+O456+P456</f>
        <v/>
      </c>
      <c r="R456" s="12" t="n">
        <v>0.01</v>
      </c>
      <c r="S456" s="22">
        <f>M456*R456</f>
        <v/>
      </c>
      <c r="T456" s="22">
        <f>N456*R456</f>
        <v/>
      </c>
      <c r="U456" s="22">
        <f>(O456-V456)*R456</f>
        <v/>
      </c>
      <c r="V456" s="11" t="n">
        <v>17856</v>
      </c>
      <c r="W456" s="11" t="n">
        <v>0</v>
      </c>
      <c r="X456" s="22">
        <f>S456+T456+U456+V456+W456</f>
        <v/>
      </c>
      <c r="Y456" s="11" t="n">
        <v>217216.3406</v>
      </c>
      <c r="Z456" s="22">
        <f>AE456-AB456-AA456-AC456</f>
        <v/>
      </c>
      <c r="AA456" s="22">
        <f>N456-T456-W456</f>
        <v/>
      </c>
      <c r="AB456" s="22">
        <f>O456-V456-U456</f>
        <v/>
      </c>
      <c r="AC456" s="22">
        <f>P456</f>
        <v/>
      </c>
      <c r="AD456" s="23">
        <f>Z456+AA456+AB456+AC456</f>
        <v/>
      </c>
      <c r="AE456" s="11" t="n">
        <v>2068588.58</v>
      </c>
      <c r="AF456" s="24">
        <f>AD456-AE456</f>
        <v/>
      </c>
      <c r="AG456" s="13">
        <f>IF(OR(B456="",B456=0,M456=""),"",M456/B456*10000)</f>
        <v/>
      </c>
      <c r="AH456" s="13">
        <f>IF(OR(C456="",C456=0),"",N456/C456*10000)</f>
        <v/>
      </c>
      <c r="AI456" s="13">
        <f>IF(OR(D456="",D456=0),"",O456/D456*10000)</f>
        <v/>
      </c>
      <c r="AJ456" s="11" t="n">
        <v>10130.15959359432</v>
      </c>
      <c r="AK456" s="11" t="n">
        <v>13599.66</v>
      </c>
      <c r="AL456" s="22">
        <f>AE456+AJ456+AK456</f>
        <v/>
      </c>
      <c r="AM456" s="22">
        <f>AE456</f>
        <v/>
      </c>
      <c r="AN456" s="14" t="n">
        <v>73876</v>
      </c>
      <c r="AO456" s="15" t="n">
        <v>28.00082</v>
      </c>
      <c r="AP456" s="14" t="n">
        <v>41351763.56255512</v>
      </c>
      <c r="AQ456" s="14" t="n">
        <v>26474.0927</v>
      </c>
      <c r="AR456" s="14" t="n">
        <v>295.225</v>
      </c>
      <c r="AS456" s="14" t="n"/>
      <c r="AT456" s="16" t="n">
        <v>433.9889239776067</v>
      </c>
      <c r="AU456" s="17" t="n">
        <v>0.0214071956</v>
      </c>
      <c r="AV456" s="14" t="n">
        <v>416936865.2807</v>
      </c>
      <c r="AW456" s="18" t="n">
        <v>60100000</v>
      </c>
      <c r="AX456" s="19" t="n">
        <v>41351763.56255512</v>
      </c>
      <c r="AY456" s="18" t="n">
        <v>3100000</v>
      </c>
      <c r="AZ456" s="18">
        <f>1000000000-999298090.4394</f>
        <v/>
      </c>
      <c r="BA456" s="20">
        <f>1000000000-AV456-AW456-AX456-AY456-AZ456</f>
        <v/>
      </c>
      <c r="BB456" s="21" t="n">
        <v>241.888155</v>
      </c>
      <c r="BC456" s="21">
        <f>BA456/1000000-BB456</f>
        <v/>
      </c>
      <c r="BD456" s="22">
        <f>BA456*27.26</f>
        <v/>
      </c>
    </row>
    <row r="457">
      <c r="A457" s="10" t="n">
        <v>46079</v>
      </c>
      <c r="B457" s="11" t="n">
        <v>4621273193.363897</v>
      </c>
      <c r="C457" s="11" t="n">
        <v>1710116033.312406</v>
      </c>
      <c r="D457" s="11" t="n">
        <v>96492289</v>
      </c>
      <c r="E457" s="11" t="n"/>
      <c r="F457" s="24" t="n">
        <v>854941229.4528743</v>
      </c>
      <c r="G457" s="24" t="n">
        <v>35463772.43390745</v>
      </c>
      <c r="H457" s="24" t="n">
        <v>13659707.67975065</v>
      </c>
      <c r="I457" s="24" t="n">
        <v>443336804.0178289</v>
      </c>
      <c r="J457" s="24" t="n">
        <v>261222.093202541</v>
      </c>
      <c r="K457" s="24" t="n">
        <v>362453297.634842</v>
      </c>
      <c r="L457" s="22">
        <f>SUM(F457:K457)</f>
        <v/>
      </c>
      <c r="M457" s="22">
        <f>Z457/(1-R457)</f>
        <v/>
      </c>
      <c r="N457" s="11" t="n">
        <v>97006.1401220054</v>
      </c>
      <c r="O457" s="11" t="n">
        <v>43110</v>
      </c>
      <c r="P457" s="11" t="n"/>
      <c r="Q457" s="22">
        <f>M457+N457+O457+P457</f>
        <v/>
      </c>
      <c r="R457" s="12" t="n">
        <v>0.01</v>
      </c>
      <c r="S457" s="22">
        <f>M457*R457</f>
        <v/>
      </c>
      <c r="T457" s="22">
        <f>N457*R457</f>
        <v/>
      </c>
      <c r="U457" s="22">
        <f>(O457-V457)*R457</f>
        <v/>
      </c>
      <c r="V457" s="11" t="n">
        <v>9003</v>
      </c>
      <c r="W457" s="11" t="n">
        <v>0</v>
      </c>
      <c r="X457" s="22">
        <f>S457+T457+U457+V457+W457</f>
        <v/>
      </c>
      <c r="Y457" s="11" t="n">
        <v>211481.2983</v>
      </c>
      <c r="Z457" s="22">
        <f>AE457-AB457-AA457-AC457</f>
        <v/>
      </c>
      <c r="AA457" s="22">
        <f>N457-T457-W457</f>
        <v/>
      </c>
      <c r="AB457" s="22">
        <f>O457-V457-U457</f>
        <v/>
      </c>
      <c r="AC457" s="22">
        <f>P457</f>
        <v/>
      </c>
      <c r="AD457" s="23">
        <f>Z457+AA457+AB457+AC457</f>
        <v/>
      </c>
      <c r="AE457" s="11" t="n">
        <v>1384956.11</v>
      </c>
      <c r="AF457" s="24">
        <f>AD457-AE457</f>
        <v/>
      </c>
      <c r="AG457" s="13">
        <f>IF(OR(B457="",B457=0,M457=""),"",M457/B457*10000)</f>
        <v/>
      </c>
      <c r="AH457" s="13">
        <f>IF(OR(C457="",C457=0),"",N457/C457*10000)</f>
        <v/>
      </c>
      <c r="AI457" s="13">
        <f>IF(OR(D457="",D457=0),"",O457/D457*10000)</f>
        <v/>
      </c>
      <c r="AJ457" s="11" t="n">
        <v>12597.55184442779</v>
      </c>
      <c r="AK457" s="11" t="n">
        <v>0</v>
      </c>
      <c r="AL457" s="22">
        <f>AE457+AJ457+AK457</f>
        <v/>
      </c>
      <c r="AM457" s="22">
        <f>AE457</f>
        <v/>
      </c>
      <c r="AN457" s="14" t="n">
        <v>48734.85</v>
      </c>
      <c r="AO457" s="15" t="n">
        <v>28.418188</v>
      </c>
      <c r="AP457" s="14" t="n">
        <v>41399624.50255512</v>
      </c>
      <c r="AQ457" s="14" t="n">
        <v>26479.4029</v>
      </c>
      <c r="AR457" s="14" t="n">
        <v>1540.2927</v>
      </c>
      <c r="AS457" s="14" t="n"/>
      <c r="AT457" s="16" t="n">
        <v>434.061285902335</v>
      </c>
      <c r="AU457" s="17" t="n">
        <v>0.0214054316</v>
      </c>
      <c r="AV457" s="14" t="n">
        <v>416910385.8779</v>
      </c>
      <c r="AW457" s="18" t="n">
        <v>60100000</v>
      </c>
      <c r="AX457" s="19" t="n">
        <v>41399624.50255512</v>
      </c>
      <c r="AY457" s="18" t="n">
        <v>3100000</v>
      </c>
      <c r="AZ457" s="18">
        <f>1000000000-999296550.1467</f>
        <v/>
      </c>
      <c r="BA457" s="20">
        <f>1000000000-AV457-AW457-AX457-AY457-AZ457</f>
        <v/>
      </c>
      <c r="BB457" s="21" t="n">
        <v>241.888155</v>
      </c>
      <c r="BC457" s="21">
        <f>BA457/1000000-BB457</f>
        <v/>
      </c>
      <c r="BD457" s="22">
        <f>BA457*28.16</f>
        <v/>
      </c>
    </row>
    <row r="458">
      <c r="A458" s="10" t="n">
        <v>46080</v>
      </c>
      <c r="B458" s="11" t="n">
        <v>4110645002.601233</v>
      </c>
      <c r="C458" s="11" t="n">
        <v>1488138245.945816</v>
      </c>
      <c r="D458" s="11" t="n">
        <v>115711001</v>
      </c>
      <c r="E458" s="11" t="n"/>
      <c r="F458" s="24" t="n">
        <v>706082882.726579</v>
      </c>
      <c r="G458" s="24" t="n">
        <v>35110192.77376841</v>
      </c>
      <c r="H458" s="24" t="n">
        <v>20159278.6769311</v>
      </c>
      <c r="I458" s="24" t="n">
        <v>442219913.8590456</v>
      </c>
      <c r="J458" s="24" t="n">
        <v>2745275.564572754</v>
      </c>
      <c r="K458" s="24" t="n">
        <v>281820702.3449197</v>
      </c>
      <c r="L458" s="22">
        <f>SUM(F458:K458)</f>
        <v/>
      </c>
      <c r="M458" s="22">
        <f>Z458/(1-R458)</f>
        <v/>
      </c>
      <c r="N458" s="11" t="n">
        <v>112685.4911740079</v>
      </c>
      <c r="O458" s="11" t="n">
        <v>52593</v>
      </c>
      <c r="P458" s="11" t="n"/>
      <c r="Q458" s="22">
        <f>M458+N458+O458+P458</f>
        <v/>
      </c>
      <c r="R458" s="12" t="n">
        <v>0.01</v>
      </c>
      <c r="S458" s="22">
        <f>M458*R458</f>
        <v/>
      </c>
      <c r="T458" s="22">
        <f>N458*R458</f>
        <v/>
      </c>
      <c r="U458" s="22">
        <f>(O458-V458)*R458</f>
        <v/>
      </c>
      <c r="V458" s="11" t="n">
        <v>10641</v>
      </c>
      <c r="W458" s="11" t="n">
        <v>0</v>
      </c>
      <c r="X458" s="22">
        <f>S458+T458+U458+V458+W458</f>
        <v/>
      </c>
      <c r="Y458" s="11" t="n">
        <v>180679.7984</v>
      </c>
      <c r="Z458" s="22">
        <f>AE458-AB458-AA458-AC458</f>
        <v/>
      </c>
      <c r="AA458" s="22">
        <f>N458-T458-W458</f>
        <v/>
      </c>
      <c r="AB458" s="22">
        <f>O458-V458-U458</f>
        <v/>
      </c>
      <c r="AC458" s="22">
        <f>P458</f>
        <v/>
      </c>
      <c r="AD458" s="23">
        <f>Z458+AA458+AB458+AC458</f>
        <v/>
      </c>
      <c r="AE458" s="11" t="n">
        <v>1241030.22</v>
      </c>
      <c r="AF458" s="24">
        <f>AD458-AE458</f>
        <v/>
      </c>
      <c r="AG458" s="13">
        <f>IF(OR(B458="",B458=0,M458=""),"",M458/B458*10000)</f>
        <v/>
      </c>
      <c r="AH458" s="13">
        <f>IF(OR(C458="",C458=0),"",N458/C458*10000)</f>
        <v/>
      </c>
      <c r="AI458" s="13">
        <f>IF(OR(D458="",D458=0),"",O458/D458*10000)</f>
        <v/>
      </c>
      <c r="AJ458" s="11" t="n">
        <v>10600.93229495406</v>
      </c>
      <c r="AK458" s="11" t="n">
        <v>0</v>
      </c>
      <c r="AL458" s="22">
        <f>AE458+AJ458+AK458</f>
        <v/>
      </c>
      <c r="AM458" s="22">
        <f>AE458</f>
        <v/>
      </c>
      <c r="AN458" s="14" t="n">
        <v>43891.24</v>
      </c>
      <c r="AO458" s="15" t="n">
        <v>28.275123</v>
      </c>
      <c r="AP458" s="14" t="n">
        <v>41442853.14255512</v>
      </c>
      <c r="AQ458" s="14" t="n">
        <v>26477.5351</v>
      </c>
      <c r="AR458" s="14" t="n">
        <v>942.6275000000001</v>
      </c>
      <c r="AS458" s="14" t="n"/>
      <c r="AT458" s="16" t="n">
        <v>434.1587145740716</v>
      </c>
      <c r="AU458" s="17" t="n">
        <v>0.0214030574</v>
      </c>
      <c r="AV458" s="14" t="n">
        <v>416883908.3428</v>
      </c>
      <c r="AW458" s="18" t="n">
        <v>60100000</v>
      </c>
      <c r="AX458" s="19" t="n">
        <v>41442853.14255512</v>
      </c>
      <c r="AY458" s="18" t="n">
        <v>3100000</v>
      </c>
      <c r="AZ458" s="18">
        <f>1000000000-999295607.5192</f>
        <v/>
      </c>
      <c r="BA458" s="20">
        <f>1000000000-AV458-AW458-AX458-AY458-AZ458</f>
        <v/>
      </c>
      <c r="BB458" s="21" t="n">
        <v>241.888155</v>
      </c>
      <c r="BC458" s="21">
        <f>BA458/1000000-BB458</f>
        <v/>
      </c>
      <c r="BD458" s="22">
        <f>BA458*28.13</f>
        <v/>
      </c>
    </row>
    <row r="459">
      <c r="A459" s="10" t="n">
        <v>46081</v>
      </c>
      <c r="B459" s="11" t="n">
        <v>5817825644.891019</v>
      </c>
      <c r="C459" s="11" t="n">
        <v>803029432.4851058</v>
      </c>
      <c r="D459" s="11" t="n">
        <v>166843058</v>
      </c>
      <c r="E459" s="11" t="n"/>
      <c r="F459" s="24" t="n">
        <v>467618392.241343</v>
      </c>
      <c r="G459" s="24" t="n">
        <v>42819336.07633371</v>
      </c>
      <c r="H459" s="24" t="n">
        <v>19021962.60060952</v>
      </c>
      <c r="I459" s="24" t="n">
        <v>133778581.1402405</v>
      </c>
      <c r="J459" s="24" t="n">
        <v>4935256.358548977</v>
      </c>
      <c r="K459" s="24" t="n">
        <v>134855904.0680301</v>
      </c>
      <c r="L459" s="22">
        <f>SUM(F459:K459)</f>
        <v/>
      </c>
      <c r="M459" s="22">
        <f>Z459/(1-R459)</f>
        <v/>
      </c>
      <c r="N459" s="11" t="n">
        <v>136651.2781920003</v>
      </c>
      <c r="O459" s="11" t="n">
        <v>80534</v>
      </c>
      <c r="P459" s="11" t="n"/>
      <c r="Q459" s="22">
        <f>M459+N459+O459+P459</f>
        <v/>
      </c>
      <c r="R459" s="12" t="n">
        <v>0.01</v>
      </c>
      <c r="S459" s="22">
        <f>M459*R459</f>
        <v/>
      </c>
      <c r="T459" s="22">
        <f>N459*R459</f>
        <v/>
      </c>
      <c r="U459" s="22">
        <f>(O459-V459)*R459</f>
        <v/>
      </c>
      <c r="V459" s="11" t="n">
        <v>16944</v>
      </c>
      <c r="W459" s="11" t="n">
        <v>0</v>
      </c>
      <c r="X459" s="22">
        <f>S459+T459+U459+V459+W459</f>
        <v/>
      </c>
      <c r="Y459" s="11" t="n">
        <v>192610.2345</v>
      </c>
      <c r="Z459" s="22">
        <f>AE459-AB459-AA459-AC459</f>
        <v/>
      </c>
      <c r="AA459" s="22">
        <f>N459-T459-W459</f>
        <v/>
      </c>
      <c r="AB459" s="22">
        <f>O459-V459-U459</f>
        <v/>
      </c>
      <c r="AC459" s="22">
        <f>P459</f>
        <v/>
      </c>
      <c r="AD459" s="23">
        <f>Z459+AA459+AB459+AC459</f>
        <v/>
      </c>
      <c r="AE459" s="11" t="n">
        <v>1816154.84</v>
      </c>
      <c r="AF459" s="24">
        <f>AD459-AE459</f>
        <v/>
      </c>
      <c r="AG459" s="13">
        <f>IF(OR(B459="",B459=0,M459=""),"",M459/B459*10000)</f>
        <v/>
      </c>
      <c r="AH459" s="13">
        <f>IF(OR(C459="",C459=0),"",N459/C459*10000)</f>
        <v/>
      </c>
      <c r="AI459" s="13">
        <f>IF(OR(D459="",D459=0),"",O459/D459*10000)</f>
        <v/>
      </c>
      <c r="AJ459" s="11" t="n">
        <v>16631.4832218985</v>
      </c>
      <c r="AK459" s="11" t="n">
        <v>0</v>
      </c>
      <c r="AL459" s="22">
        <f>AE459+AJ459+AK459</f>
        <v/>
      </c>
      <c r="AM459" s="22">
        <f>AE459</f>
        <v/>
      </c>
      <c r="AN459" s="14" t="n">
        <v>64310.67</v>
      </c>
      <c r="AO459" s="15" t="n">
        <v>28.240335</v>
      </c>
      <c r="AP459" s="14" t="n">
        <v>41510423.48255512</v>
      </c>
      <c r="AQ459" s="14" t="n">
        <v>26484.8512</v>
      </c>
      <c r="AR459" s="14" t="n">
        <v>944.5691</v>
      </c>
      <c r="AS459" s="14" t="n"/>
      <c r="AT459" s="16" t="n">
        <v>434.8391538293288</v>
      </c>
      <c r="AU459" s="17" t="n">
        <v>0.0213864977</v>
      </c>
      <c r="AV459" s="14" t="n">
        <v>416857423.4916</v>
      </c>
      <c r="AW459" s="18" t="n">
        <v>60100000</v>
      </c>
      <c r="AX459" s="19" t="n">
        <v>41510423.48255512</v>
      </c>
      <c r="AY459" s="18" t="n">
        <v>3100000</v>
      </c>
      <c r="AZ459" s="18">
        <f>1000000000-999294662.9501</f>
        <v/>
      </c>
      <c r="BA459" s="20">
        <f>1000000000-AV459-AW459-AX459-AY459-AZ459</f>
        <v/>
      </c>
      <c r="BB459" s="21" t="n">
        <v>241.888155</v>
      </c>
      <c r="BC459" s="21">
        <f>BA459/1000000-BB459</f>
        <v/>
      </c>
      <c r="BD459" s="22">
        <f>BA459*27.36</f>
        <v/>
      </c>
    </row>
    <row r="460">
      <c r="A460" s="10" t="n">
        <v>46082</v>
      </c>
      <c r="B460" s="11" t="n">
        <v>4549796781.669321</v>
      </c>
      <c r="C460" s="11" t="n">
        <v>678617837.3952889</v>
      </c>
      <c r="D460" s="11" t="n">
        <v>142720568</v>
      </c>
      <c r="E460" s="11" t="n"/>
      <c r="F460" s="24" t="n">
        <v>404841811.9677816</v>
      </c>
      <c r="G460" s="24" t="n">
        <v>37424903.82632364</v>
      </c>
      <c r="H460" s="24" t="n">
        <v>20811132.2577462</v>
      </c>
      <c r="I460" s="24" t="n">
        <v>127879594.8812342</v>
      </c>
      <c r="J460" s="24" t="n">
        <v>371475.4602316311</v>
      </c>
      <c r="K460" s="24" t="n">
        <v>87288919.0019716</v>
      </c>
      <c r="L460" s="22">
        <f>SUM(F460:K460)</f>
        <v/>
      </c>
      <c r="M460" s="22">
        <f>Z460/(1-R460)</f>
        <v/>
      </c>
      <c r="N460" s="11" t="n">
        <v>95550.88104299623</v>
      </c>
      <c r="O460" s="11" t="n">
        <v>65418</v>
      </c>
      <c r="P460" s="11" t="n"/>
      <c r="Q460" s="22">
        <f>M460+N460+O460+P460</f>
        <v/>
      </c>
      <c r="R460" s="12" t="n">
        <v>0.01</v>
      </c>
      <c r="S460" s="22">
        <f>M460*R460</f>
        <v/>
      </c>
      <c r="T460" s="22">
        <f>N460*R460</f>
        <v/>
      </c>
      <c r="U460" s="22">
        <f>(O460-V460)*R460</f>
        <v/>
      </c>
      <c r="V460" s="11" t="n">
        <v>17674</v>
      </c>
      <c r="W460" s="11" t="n">
        <v>0</v>
      </c>
      <c r="X460" s="22">
        <f>S460+T460+U460+V460+W460</f>
        <v/>
      </c>
      <c r="Y460" s="11" t="n">
        <v>143472.6681</v>
      </c>
      <c r="Z460" s="22">
        <f>AE460-AB460-AA460-AC460</f>
        <v/>
      </c>
      <c r="AA460" s="22">
        <f>N460-T460-W460</f>
        <v/>
      </c>
      <c r="AB460" s="22">
        <f>O460-V460-U460</f>
        <v/>
      </c>
      <c r="AC460" s="22">
        <f>P460</f>
        <v/>
      </c>
      <c r="AD460" s="23">
        <f>Z460+AA460+AB460+AC460</f>
        <v/>
      </c>
      <c r="AE460" s="11" t="n">
        <v>1523583.7</v>
      </c>
      <c r="AF460" s="24">
        <f>AD460-AE460</f>
        <v/>
      </c>
      <c r="AG460" s="13">
        <f>IF(OR(B460="",B460=0,M460=""),"",M460/B460*10000)</f>
        <v/>
      </c>
      <c r="AH460" s="13">
        <f>IF(OR(C460="",C460=0),"",N460/C460*10000)</f>
        <v/>
      </c>
      <c r="AI460" s="13">
        <f>IF(OR(D460="",D460=0),"",O460/D460*10000)</f>
        <v/>
      </c>
      <c r="AJ460" s="11" t="n">
        <v>22563.90426013438</v>
      </c>
      <c r="AK460" s="11" t="n">
        <v>0</v>
      </c>
      <c r="AL460" s="22">
        <f>AE460+AJ460+AK460</f>
        <v/>
      </c>
      <c r="AM460" s="22">
        <f>AE460</f>
        <v/>
      </c>
      <c r="AN460" s="14" t="n">
        <v>48978.8</v>
      </c>
      <c r="AO460" s="15" t="n">
        <v>31.107003</v>
      </c>
      <c r="AP460" s="14" t="n">
        <v>41556617.11255512</v>
      </c>
      <c r="AQ460" s="14" t="n">
        <v>26501.2141</v>
      </c>
      <c r="AR460" s="14" t="n">
        <v>1317.0529</v>
      </c>
      <c r="AS460" s="14" t="n"/>
      <c r="AT460" s="16" t="n">
        <v>434.9607705202773</v>
      </c>
      <c r="AU460" s="17" t="n">
        <v>0.0213835421</v>
      </c>
      <c r="AV460" s="14" t="n">
        <v>416830922.2775</v>
      </c>
      <c r="AW460" s="18" t="n">
        <v>60100000</v>
      </c>
      <c r="AX460" s="19" t="n">
        <v>41556617.11255512</v>
      </c>
      <c r="AY460" s="18" t="n">
        <v>3100000</v>
      </c>
      <c r="AZ460" s="18">
        <f>1000000000-999293345.8972</f>
        <v/>
      </c>
      <c r="BA460" s="20">
        <f>1000000000-AV460-AW460-AX460-AY460-AZ460</f>
        <v/>
      </c>
      <c r="BB460" s="21" t="n">
        <v>241.888155</v>
      </c>
      <c r="BC460" s="21">
        <f>BA460/1000000-BB460</f>
        <v/>
      </c>
      <c r="BD460" s="22">
        <f>BA460*30.89</f>
        <v/>
      </c>
    </row>
    <row r="461">
      <c r="A461" s="10" t="n">
        <v>46083</v>
      </c>
      <c r="B461" s="11" t="n">
        <v>6260995104.854683</v>
      </c>
      <c r="C461" s="11" t="n">
        <v>2613061360.487036</v>
      </c>
      <c r="D461" s="11" t="n">
        <v>179137288</v>
      </c>
      <c r="E461" s="11" t="n"/>
      <c r="F461" s="24" t="n">
        <v>1521259276.185913</v>
      </c>
      <c r="G461" s="24" t="n">
        <v>42079237.06463591</v>
      </c>
      <c r="H461" s="24" t="n">
        <v>22346378.940681</v>
      </c>
      <c r="I461" s="24" t="n">
        <v>640383628.7150867</v>
      </c>
      <c r="J461" s="24" t="n">
        <v>184675.6157743315</v>
      </c>
      <c r="K461" s="24" t="n">
        <v>386808163.9649458</v>
      </c>
      <c r="L461" s="22">
        <f>SUM(F461:K461)</f>
        <v/>
      </c>
      <c r="M461" s="22">
        <f>Z461/(1-R461)</f>
        <v/>
      </c>
      <c r="N461" s="11" t="n">
        <v>172898.4593900035</v>
      </c>
      <c r="O461" s="11" t="n">
        <v>83228</v>
      </c>
      <c r="P461" s="11" t="n"/>
      <c r="Q461" s="22">
        <f>M461+N461+O461+P461</f>
        <v/>
      </c>
      <c r="R461" s="12" t="n">
        <v>0.01</v>
      </c>
      <c r="S461" s="22">
        <f>M461*R461</f>
        <v/>
      </c>
      <c r="T461" s="22">
        <f>N461*R461</f>
        <v/>
      </c>
      <c r="U461" s="22">
        <f>(O461-V461)*R461</f>
        <v/>
      </c>
      <c r="V461" s="11" t="n">
        <v>15180</v>
      </c>
      <c r="W461" s="11" t="n">
        <v>0</v>
      </c>
      <c r="X461" s="22">
        <f>S461+T461+U461+V461+W461</f>
        <v/>
      </c>
      <c r="Y461" s="11" t="n">
        <v>190818.239</v>
      </c>
      <c r="Z461" s="22">
        <f>AE461-AB461-AA461-AC461</f>
        <v/>
      </c>
      <c r="AA461" s="22">
        <f>N461-T461-W461</f>
        <v/>
      </c>
      <c r="AB461" s="22">
        <f>O461-V461-U461</f>
        <v/>
      </c>
      <c r="AC461" s="22">
        <f>P461</f>
        <v/>
      </c>
      <c r="AD461" s="23">
        <f>Z461+AA461+AB461+AC461</f>
        <v/>
      </c>
      <c r="AE461" s="11" t="n">
        <v>1947703.99</v>
      </c>
      <c r="AF461" s="24">
        <f>AD461-AE461</f>
        <v/>
      </c>
      <c r="AG461" s="13">
        <f>IF(OR(B461="",B461=0,M461=""),"",M461/B461*10000)</f>
        <v/>
      </c>
      <c r="AH461" s="13">
        <f>IF(OR(C461="",C461=0),"",N461/C461*10000)</f>
        <v/>
      </c>
      <c r="AI461" s="13">
        <f>IF(OR(D461="",D461=0),"",O461/D461*10000)</f>
        <v/>
      </c>
      <c r="AJ461" s="11" t="n">
        <v>21404.02469278491</v>
      </c>
      <c r="AK461" s="11" t="n">
        <v>0</v>
      </c>
      <c r="AL461" s="22">
        <f>AE461+AJ461+AK461</f>
        <v/>
      </c>
      <c r="AM461" s="22">
        <f>AE461</f>
        <v/>
      </c>
      <c r="AN461" s="14" t="n">
        <v>60737.14</v>
      </c>
      <c r="AO461" s="15" t="n">
        <v>32.067759</v>
      </c>
      <c r="AP461" s="14" t="n">
        <v>41617798.21255512</v>
      </c>
      <c r="AQ461" s="14" t="n">
        <v>26486.9061</v>
      </c>
      <c r="AR461" s="14" t="n">
        <v>452.1227</v>
      </c>
      <c r="AS461" s="14" t="n"/>
      <c r="AT461" s="16" t="n">
        <v>434.6074610356735</v>
      </c>
      <c r="AU461" s="17" t="n">
        <v>0.021392132</v>
      </c>
      <c r="AV461" s="14" t="n">
        <v>416804435.3715</v>
      </c>
      <c r="AW461" s="18" t="n">
        <v>60100000</v>
      </c>
      <c r="AX461" s="19" t="n">
        <v>41617798.21255512</v>
      </c>
      <c r="AY461" s="18" t="n">
        <v>3100000</v>
      </c>
      <c r="AZ461" s="18">
        <f>1000000000-999292893.7745</f>
        <v/>
      </c>
      <c r="BA461" s="20">
        <f>1000000000-AV461-AW461-AX461-AY461-AZ461</f>
        <v/>
      </c>
      <c r="BB461" s="21" t="n">
        <v>241.888155</v>
      </c>
      <c r="BC461" s="21">
        <f>BA461/1000000-BB461</f>
        <v/>
      </c>
      <c r="BD461" s="22">
        <f>BA461*32.58</f>
        <v/>
      </c>
    </row>
    <row r="462">
      <c r="A462" s="10" t="n">
        <v>46084</v>
      </c>
      <c r="B462" s="11" t="n">
        <v>6209657959.055861</v>
      </c>
      <c r="C462" s="11" t="n">
        <v>3920561923.05993</v>
      </c>
      <c r="D462" s="11" t="n">
        <v>157567502</v>
      </c>
      <c r="E462" s="11" t="n"/>
      <c r="F462" s="24" t="n">
        <v>2277190886.862726</v>
      </c>
      <c r="G462" s="24" t="n">
        <v>39860231.13351136</v>
      </c>
      <c r="H462" s="24" t="n">
        <v>21447997.07957277</v>
      </c>
      <c r="I462" s="24" t="n">
        <v>1071208499.664727</v>
      </c>
      <c r="J462" s="24" t="n">
        <v>597233.3116864158</v>
      </c>
      <c r="K462" s="24" t="n">
        <v>510257075.0077068</v>
      </c>
      <c r="L462" s="22">
        <f>SUM(F462:K462)</f>
        <v/>
      </c>
      <c r="M462" s="22">
        <f>Z462/(1-R462)</f>
        <v/>
      </c>
      <c r="N462" s="11" t="n">
        <v>244427.2747849617</v>
      </c>
      <c r="O462" s="11" t="n">
        <v>69875</v>
      </c>
      <c r="P462" s="11" t="n"/>
      <c r="Q462" s="22">
        <f>M462+N462+O462+P462</f>
        <v/>
      </c>
      <c r="R462" s="12" t="n">
        <v>0.01</v>
      </c>
      <c r="S462" s="22">
        <f>M462*R462</f>
        <v/>
      </c>
      <c r="T462" s="22">
        <f>N462*R462</f>
        <v/>
      </c>
      <c r="U462" s="22">
        <f>(O462-V462)*R462</f>
        <v/>
      </c>
      <c r="V462" s="11" t="n">
        <v>15173</v>
      </c>
      <c r="W462" s="11" t="n">
        <v>0</v>
      </c>
      <c r="X462" s="22">
        <f>S462+T462+U462+V462+W462</f>
        <v/>
      </c>
      <c r="Y462" s="11" t="n">
        <v>182373.3457</v>
      </c>
      <c r="Z462" s="22">
        <f>AE462-AB462-AA462-AC462</f>
        <v/>
      </c>
      <c r="AA462" s="22">
        <f>N462-T462-W462</f>
        <v/>
      </c>
      <c r="AB462" s="22">
        <f>O462-V462-U462</f>
        <v/>
      </c>
      <c r="AC462" s="22">
        <f>P462</f>
        <v/>
      </c>
      <c r="AD462" s="23">
        <f>Z462+AA462+AB462+AC462</f>
        <v/>
      </c>
      <c r="AE462" s="11" t="n">
        <v>1953548.3</v>
      </c>
      <c r="AF462" s="24">
        <f>AD462-AE462</f>
        <v/>
      </c>
      <c r="AG462" s="13">
        <f>IF(OR(B462="",B462=0,M462=""),"",M462/B462*10000)</f>
        <v/>
      </c>
      <c r="AH462" s="13">
        <f>IF(OR(C462="",C462=0),"",N462/C462*10000)</f>
        <v/>
      </c>
      <c r="AI462" s="13">
        <f>IF(OR(D462="",D462=0),"",O462/D462*10000)</f>
        <v/>
      </c>
      <c r="AJ462" s="11" t="n">
        <v>17606.68084190243</v>
      </c>
      <c r="AK462" s="11" t="n">
        <v>0</v>
      </c>
      <c r="AL462" s="22">
        <f>AE462+AJ462+AK462</f>
        <v/>
      </c>
      <c r="AM462" s="22">
        <f>AE462</f>
        <v/>
      </c>
      <c r="AN462" s="14" t="n">
        <v>61086.15</v>
      </c>
      <c r="AO462" s="15" t="n">
        <v>31.980216</v>
      </c>
      <c r="AP462" s="14" t="n">
        <v>41678676.45255512</v>
      </c>
      <c r="AQ462" s="14" t="n">
        <v>26494.6815</v>
      </c>
      <c r="AR462" s="14" t="n">
        <v>1275.1256</v>
      </c>
      <c r="AS462" s="14" t="n"/>
      <c r="AT462" s="16" t="n">
        <v>434.7360425871155</v>
      </c>
      <c r="AU462" s="17" t="n">
        <v>0.0213890046</v>
      </c>
      <c r="AV462" s="14" t="n">
        <v>416777940.6899</v>
      </c>
      <c r="AW462" s="18" t="n">
        <v>60100000</v>
      </c>
      <c r="AX462" s="19" t="n">
        <v>41678676.45255512</v>
      </c>
      <c r="AY462" s="18" t="n">
        <v>3100000</v>
      </c>
      <c r="AZ462" s="18">
        <f>1000000000-999291618.6489</f>
        <v/>
      </c>
      <c r="BA462" s="20">
        <f>1000000000-AV462-AW462-AX462-AY462-AZ462</f>
        <v/>
      </c>
      <c r="BB462" s="21" t="n">
        <v>241.888155</v>
      </c>
      <c r="BC462" s="21">
        <f>BA462/1000000-BB462</f>
        <v/>
      </c>
      <c r="BD462" s="22">
        <f>BA462*32.36</f>
        <v/>
      </c>
    </row>
    <row r="463">
      <c r="A463" s="10" t="n">
        <v>46085</v>
      </c>
      <c r="B463" s="11" t="n">
        <v>7736357926.774042</v>
      </c>
      <c r="C463" s="11" t="n">
        <v>2633171700.569759</v>
      </c>
      <c r="D463" s="11" t="n">
        <v>231627388</v>
      </c>
      <c r="E463" s="11" t="n"/>
      <c r="F463" s="24" t="n">
        <v>1418919346.72938</v>
      </c>
      <c r="G463" s="24" t="n">
        <v>61087954.07317696</v>
      </c>
      <c r="H463" s="24" t="n">
        <v>24796152.55151853</v>
      </c>
      <c r="I463" s="24" t="n">
        <v>741197680.9989932</v>
      </c>
      <c r="J463" s="24" t="n">
        <v>397350.4850260515</v>
      </c>
      <c r="K463" s="24" t="n">
        <v>386773215.7316647</v>
      </c>
      <c r="L463" s="22">
        <f>SUM(F463:K463)</f>
        <v/>
      </c>
      <c r="M463" s="22">
        <f>Z463/(1-R463)</f>
        <v/>
      </c>
      <c r="N463" s="11" t="n">
        <v>143151.0796929912</v>
      </c>
      <c r="O463" s="11" t="n">
        <v>113394</v>
      </c>
      <c r="P463" s="11" t="n"/>
      <c r="Q463" s="22">
        <f>M463+N463+O463+P463</f>
        <v/>
      </c>
      <c r="R463" s="12" t="n">
        <v>0.01</v>
      </c>
      <c r="S463" s="22">
        <f>M463*R463</f>
        <v/>
      </c>
      <c r="T463" s="22">
        <f>N463*R463</f>
        <v/>
      </c>
      <c r="U463" s="22">
        <f>(O463-V463)*R463</f>
        <v/>
      </c>
      <c r="V463" s="11" t="n">
        <v>34940</v>
      </c>
      <c r="W463" s="11" t="n">
        <v>0</v>
      </c>
      <c r="X463" s="22">
        <f>S463+T463+U463+V463+W463</f>
        <v/>
      </c>
      <c r="Y463" s="11" t="n">
        <v>211563.2782</v>
      </c>
      <c r="Z463" s="22">
        <f>AE463-AB463-AA463-AC463</f>
        <v/>
      </c>
      <c r="AA463" s="22">
        <f>N463-T463-W463</f>
        <v/>
      </c>
      <c r="AB463" s="22">
        <f>O463-V463-U463</f>
        <v/>
      </c>
      <c r="AC463" s="22">
        <f>P463</f>
        <v/>
      </c>
      <c r="AD463" s="23">
        <f>Z463+AA463+AB463+AC463</f>
        <v/>
      </c>
      <c r="AE463" s="11" t="n">
        <v>2329772.04</v>
      </c>
      <c r="AF463" s="24">
        <f>AD463-AE463</f>
        <v/>
      </c>
      <c r="AG463" s="13">
        <f>IF(OR(B463="",B463=0,M463=""),"",M463/B463*10000)</f>
        <v/>
      </c>
      <c r="AH463" s="13">
        <f>IF(OR(C463="",C463=0),"",N463/C463*10000)</f>
        <v/>
      </c>
      <c r="AI463" s="13">
        <f>IF(OR(D463="",D463=0),"",O463/D463*10000)</f>
        <v/>
      </c>
      <c r="AJ463" s="11" t="n">
        <v>15481.6770500763</v>
      </c>
      <c r="AK463" s="11" t="n">
        <v>0</v>
      </c>
      <c r="AL463" s="22">
        <f>AE463+AJ463+AK463</f>
        <v/>
      </c>
      <c r="AM463" s="22">
        <f>AE463</f>
        <v/>
      </c>
      <c r="AN463" s="14" t="n">
        <v>72184.46000000001</v>
      </c>
      <c r="AO463" s="15" t="n">
        <v>32.275258</v>
      </c>
      <c r="AP463" s="14" t="n">
        <v>41752866.62255512</v>
      </c>
      <c r="AQ463" s="14" t="n">
        <v>26499.3397</v>
      </c>
      <c r="AR463" s="14" t="n">
        <v>1026.5822</v>
      </c>
      <c r="AS463" s="14" t="n"/>
      <c r="AT463" s="16" t="n">
        <v>434.7349669752725</v>
      </c>
      <c r="AU463" s="17" t="n">
        <v>0.0213890308</v>
      </c>
      <c r="AV463" s="14" t="n">
        <v>416751441.3502</v>
      </c>
      <c r="AW463" s="18" t="n">
        <v>60100000</v>
      </c>
      <c r="AX463" s="19" t="n">
        <v>41752866.62255512</v>
      </c>
      <c r="AY463" s="18" t="n">
        <v>3100000</v>
      </c>
      <c r="AZ463" s="18">
        <f>1000000000-999290592.0668</f>
        <v/>
      </c>
      <c r="BA463" s="20">
        <f>1000000000-AV463-AW463-AX463-AY463-AZ463</f>
        <v/>
      </c>
      <c r="BB463" s="21" t="n">
        <v>241.888155</v>
      </c>
      <c r="BC463" s="21">
        <f>BA463/1000000-BB463</f>
        <v/>
      </c>
      <c r="BD463" s="22">
        <f>BA463*31.43</f>
        <v/>
      </c>
    </row>
    <row r="464">
      <c r="A464" s="10" t="n">
        <v>46086</v>
      </c>
      <c r="B464" s="11" t="n">
        <v>5197696097.576032</v>
      </c>
      <c r="C464" s="11" t="n">
        <v>2311825078.939532</v>
      </c>
      <c r="D464" s="11" t="n">
        <v>135986441</v>
      </c>
      <c r="E464" s="11" t="n"/>
      <c r="F464" s="24" t="n">
        <v>1242874700.207647</v>
      </c>
      <c r="G464" s="24" t="n">
        <v>37403543.85507769</v>
      </c>
      <c r="H464" s="24" t="n">
        <v>26142876.9274806</v>
      </c>
      <c r="I464" s="24" t="n">
        <v>594045696.7388587</v>
      </c>
      <c r="J464" s="24" t="n">
        <v>246350.7094328066</v>
      </c>
      <c r="K464" s="24" t="n">
        <v>411111910.5010356</v>
      </c>
      <c r="L464" s="22">
        <f>SUM(F464:K464)</f>
        <v/>
      </c>
      <c r="M464" s="22">
        <f>Z464/(1-R464)</f>
        <v/>
      </c>
      <c r="N464" s="11" t="n">
        <v>129848.6402189982</v>
      </c>
      <c r="O464" s="11" t="n">
        <v>58371</v>
      </c>
      <c r="P464" s="11" t="n"/>
      <c r="Q464" s="22">
        <f>M464+N464+O464+P464</f>
        <v/>
      </c>
      <c r="R464" s="12" t="n">
        <v>0.01</v>
      </c>
      <c r="S464" s="22">
        <f>M464*R464</f>
        <v/>
      </c>
      <c r="T464" s="22">
        <f>N464*R464</f>
        <v/>
      </c>
      <c r="U464" s="22">
        <f>(O464-V464)*R464</f>
        <v/>
      </c>
      <c r="V464" s="11" t="n">
        <v>12919</v>
      </c>
      <c r="W464" s="11" t="n">
        <v>0</v>
      </c>
      <c r="X464" s="22">
        <f>S464+T464+U464+V464+W464</f>
        <v/>
      </c>
      <c r="Y464" s="11" t="n">
        <v>135346.2521</v>
      </c>
      <c r="Z464" s="22">
        <f>AE464-AB464-AA464-AC464</f>
        <v/>
      </c>
      <c r="AA464" s="22">
        <f>N464-T464-W464</f>
        <v/>
      </c>
      <c r="AB464" s="22">
        <f>O464-V464-U464</f>
        <v/>
      </c>
      <c r="AC464" s="22">
        <f>P464</f>
        <v/>
      </c>
      <c r="AD464" s="23">
        <f>Z464+AA464+AB464+AC464</f>
        <v/>
      </c>
      <c r="AE464" s="11" t="n">
        <v>1685907.84</v>
      </c>
      <c r="AF464" s="24">
        <f>AD464-AE464</f>
        <v/>
      </c>
      <c r="AG464" s="13">
        <f>IF(OR(B464="",B464=0,M464=""),"",M464/B464*10000)</f>
        <v/>
      </c>
      <c r="AH464" s="13">
        <f>IF(OR(C464="",C464=0),"",N464/C464*10000)</f>
        <v/>
      </c>
      <c r="AI464" s="13">
        <f>IF(OR(D464="",D464=0),"",O464/D464*10000)</f>
        <v/>
      </c>
      <c r="AJ464" s="11" t="n">
        <v>8859.187003504519</v>
      </c>
      <c r="AK464" s="11" t="n">
        <v>16152.93</v>
      </c>
      <c r="AL464" s="22">
        <f>AE464+AJ464+AK464</f>
        <v/>
      </c>
      <c r="AM464" s="22">
        <f>AE464</f>
        <v/>
      </c>
      <c r="AN464" s="14" t="n">
        <v>53765.04</v>
      </c>
      <c r="AO464" s="15" t="n">
        <v>31.356953</v>
      </c>
      <c r="AP464" s="14" t="n">
        <v>41804260.86255512</v>
      </c>
      <c r="AQ464" s="14" t="n">
        <v>26504.5709</v>
      </c>
      <c r="AR464" s="14" t="n">
        <v>1153.7756</v>
      </c>
      <c r="AS464" s="14" t="n"/>
      <c r="AT464" s="16" t="n">
        <v>434.7178637925256</v>
      </c>
      <c r="AU464" s="17" t="n">
        <v>0.0213894467</v>
      </c>
      <c r="AV464" s="14" t="n">
        <v>416724936.7794</v>
      </c>
      <c r="AW464" s="18" t="n">
        <v>60100000</v>
      </c>
      <c r="AX464" s="19" t="n">
        <v>41804260.86255512</v>
      </c>
      <c r="AY464" s="18" t="n">
        <v>3100000</v>
      </c>
      <c r="AZ464" s="18">
        <f>1000000000-999289438.2912</f>
        <v/>
      </c>
      <c r="BA464" s="20">
        <f>1000000000-AV464-AW464-AX464-AY464-AZ464</f>
        <v/>
      </c>
      <c r="BB464" s="21" t="n">
        <v>241.888155</v>
      </c>
      <c r="BC464" s="21">
        <f>BA464/1000000-BB464</f>
        <v/>
      </c>
      <c r="BD464" s="22">
        <f>BA464*32.08</f>
        <v/>
      </c>
    </row>
    <row r="465">
      <c r="A465" s="10" t="n">
        <v>46087</v>
      </c>
      <c r="B465" s="11" t="n">
        <v>5732342342.775495</v>
      </c>
      <c r="C465" s="11" t="n">
        <v>2362857165.97697</v>
      </c>
      <c r="D465" s="11" t="n">
        <v>155182594</v>
      </c>
      <c r="E465" s="11" t="n"/>
      <c r="F465" s="24" t="n">
        <v>1193100515.575458</v>
      </c>
      <c r="G465" s="24" t="n">
        <v>31715050.22934706</v>
      </c>
      <c r="H465" s="24" t="n">
        <v>29485655.89960795</v>
      </c>
      <c r="I465" s="24" t="n">
        <v>716407058.9980168</v>
      </c>
      <c r="J465" s="24" t="n">
        <v>331813.9103401811</v>
      </c>
      <c r="K465" s="24" t="n">
        <v>391817071.3641991</v>
      </c>
      <c r="L465" s="22">
        <f>SUM(F465:K465)</f>
        <v/>
      </c>
      <c r="M465" s="22">
        <f>Z465/(1-R465)</f>
        <v/>
      </c>
      <c r="N465" s="11" t="n">
        <v>142096.952333989</v>
      </c>
      <c r="O465" s="11" t="n">
        <v>68818</v>
      </c>
      <c r="P465" s="11" t="n"/>
      <c r="Q465" s="22">
        <f>M465+N465+O465+P465</f>
        <v/>
      </c>
      <c r="R465" s="12" t="n">
        <v>0.01</v>
      </c>
      <c r="S465" s="22">
        <f>M465*R465</f>
        <v/>
      </c>
      <c r="T465" s="22">
        <f>N465*R465</f>
        <v/>
      </c>
      <c r="U465" s="22">
        <f>(O465-V465)*R465</f>
        <v/>
      </c>
      <c r="V465" s="11" t="n">
        <v>19155</v>
      </c>
      <c r="W465" s="11" t="n">
        <v>0</v>
      </c>
      <c r="X465" s="22">
        <f>S465+T465+U465+V465+W465</f>
        <v/>
      </c>
      <c r="Y465" s="11" t="n">
        <v>174085.891</v>
      </c>
      <c r="Z465" s="22">
        <f>AE465-AB465-AA465-AC465</f>
        <v/>
      </c>
      <c r="AA465" s="22">
        <f>N465-T465-W465</f>
        <v/>
      </c>
      <c r="AB465" s="22">
        <f>O465-V465-U465</f>
        <v/>
      </c>
      <c r="AC465" s="22">
        <f>P465</f>
        <v/>
      </c>
      <c r="AD465" s="23">
        <f>Z465+AA465+AB465+AC465</f>
        <v/>
      </c>
      <c r="AE465" s="11" t="n">
        <v>1835993.67</v>
      </c>
      <c r="AF465" s="24">
        <f>AD465-AE465</f>
        <v/>
      </c>
      <c r="AG465" s="13">
        <f>IF(OR(B465="",B465=0,M465=""),"",M465/B465*10000)</f>
        <v/>
      </c>
      <c r="AH465" s="13">
        <f>IF(OR(C465="",C465=0),"",N465/C465*10000)</f>
        <v/>
      </c>
      <c r="AI465" s="13">
        <f>IF(OR(D465="",D465=0),"",O465/D465*10000)</f>
        <v/>
      </c>
      <c r="AJ465" s="11" t="n">
        <v>8731.701377270916</v>
      </c>
      <c r="AK465" s="11" t="n">
        <v>0</v>
      </c>
      <c r="AL465" s="22">
        <f>AE465+AJ465+AK465</f>
        <v/>
      </c>
      <c r="AM465" s="22">
        <f>AE465</f>
        <v/>
      </c>
      <c r="AN465" s="14" t="n">
        <v>60658.81</v>
      </c>
      <c r="AO465" s="15" t="n">
        <v>30.267552</v>
      </c>
      <c r="AP465" s="14" t="n">
        <v>41865293.19255512</v>
      </c>
      <c r="AQ465" s="14" t="n">
        <v>26356.9344</v>
      </c>
      <c r="AR465" s="14" t="n">
        <v>1343.8283</v>
      </c>
      <c r="AS465" s="14" t="n">
        <v>173217</v>
      </c>
      <c r="AT465" s="16" t="n">
        <v>434.6444683158526</v>
      </c>
      <c r="AU465" s="17" t="n">
        <v>0.0213912318</v>
      </c>
      <c r="AV465" s="14" t="n">
        <v>416698579.845</v>
      </c>
      <c r="AW465" s="18" t="n">
        <v>60100000</v>
      </c>
      <c r="AX465" s="19" t="n">
        <v>41865293.19255512</v>
      </c>
      <c r="AY465" s="18" t="n">
        <v>3100000</v>
      </c>
      <c r="AZ465" s="18">
        <f>1000000000-999288094.4629</f>
        <v/>
      </c>
      <c r="BA465" s="20">
        <f>1000000000-AV465-AW465-AX465-AY465-AZ465</f>
        <v/>
      </c>
      <c r="BB465" s="21" t="n">
        <v>241.714938</v>
      </c>
      <c r="BC465" s="21">
        <f>BA465/1000000-BB465</f>
        <v/>
      </c>
      <c r="BD465" s="22">
        <f>BA465*30.54</f>
        <v/>
      </c>
    </row>
    <row r="466">
      <c r="A466" s="10" t="n">
        <v>46088</v>
      </c>
      <c r="B466" s="11" t="n">
        <v>2488232153.104502</v>
      </c>
      <c r="C466" s="11" t="n">
        <v>441532014.2687875</v>
      </c>
      <c r="D466" s="11" t="n">
        <v>77353585</v>
      </c>
      <c r="E466" s="11" t="n"/>
      <c r="F466" s="24" t="n">
        <v>201511693.1825124</v>
      </c>
      <c r="G466" s="24" t="n">
        <v>14167710.7263693</v>
      </c>
      <c r="H466" s="24" t="n">
        <v>25617592.6410826</v>
      </c>
      <c r="I466" s="24" t="n">
        <v>81763137.88423301</v>
      </c>
      <c r="J466" s="24" t="n">
        <v>123971.4500402593</v>
      </c>
      <c r="K466" s="24" t="n">
        <v>118347908.38455</v>
      </c>
      <c r="L466" s="22">
        <f>SUM(F466:K466)</f>
        <v/>
      </c>
      <c r="M466" s="22">
        <f>Z466/(1-R466)</f>
        <v/>
      </c>
      <c r="N466" s="11" t="n">
        <v>51733.67498500107</v>
      </c>
      <c r="O466" s="11" t="n">
        <v>32483</v>
      </c>
      <c r="P466" s="11" t="n"/>
      <c r="Q466" s="22">
        <f>M466+N466+O466+P466</f>
        <v/>
      </c>
      <c r="R466" s="12" t="n">
        <v>0.01</v>
      </c>
      <c r="S466" s="22">
        <f>M466*R466</f>
        <v/>
      </c>
      <c r="T466" s="22">
        <f>N466*R466</f>
        <v/>
      </c>
      <c r="U466" s="22">
        <f>(O466-V466)*R466</f>
        <v/>
      </c>
      <c r="V466" s="11" t="n">
        <v>6255</v>
      </c>
      <c r="W466" s="11" t="n">
        <v>0</v>
      </c>
      <c r="X466" s="22">
        <f>S466+T466+U466+V466+W466</f>
        <v/>
      </c>
      <c r="Y466" s="11" t="n">
        <v>86342.8263</v>
      </c>
      <c r="Z466" s="22">
        <f>AE466-AB466-AA466-AC466</f>
        <v/>
      </c>
      <c r="AA466" s="22">
        <f>N466-T466-W466</f>
        <v/>
      </c>
      <c r="AB466" s="22">
        <f>O466-V466-U466</f>
        <v/>
      </c>
      <c r="AC466" s="22">
        <f>P466</f>
        <v/>
      </c>
      <c r="AD466" s="23">
        <f>Z466+AA466+AB466+AC466</f>
        <v/>
      </c>
      <c r="AE466" s="11" t="n">
        <v>714837.63</v>
      </c>
      <c r="AF466" s="24">
        <f>AD466-AE466</f>
        <v/>
      </c>
      <c r="AG466" s="13">
        <f>IF(OR(B466="",B466=0,M466=""),"",M466/B466*10000)</f>
        <v/>
      </c>
      <c r="AH466" s="13">
        <f>IF(OR(C466="",C466=0),"",N466/C466*10000)</f>
        <v/>
      </c>
      <c r="AI466" s="13">
        <f>IF(OR(D466="",D466=0),"",O466/D466*10000)</f>
        <v/>
      </c>
      <c r="AJ466" s="11" t="n">
        <v>5127.511987042103</v>
      </c>
      <c r="AK466" s="11" t="n">
        <v>0</v>
      </c>
      <c r="AL466" s="22">
        <f>AE466+AJ466+AK466</f>
        <v/>
      </c>
      <c r="AM466" s="22">
        <f>AE466</f>
        <v/>
      </c>
      <c r="AN466" s="14" t="n">
        <v>23407.54</v>
      </c>
      <c r="AO466" s="15" t="n">
        <v>30.538776</v>
      </c>
      <c r="AP466" s="14" t="n">
        <v>41889416.39255512</v>
      </c>
      <c r="AQ466" s="14" t="n">
        <v>26487.1971</v>
      </c>
      <c r="AR466" s="14" t="n">
        <v>340.9178</v>
      </c>
      <c r="AS466" s="14" t="n"/>
      <c r="AT466" s="16" t="n">
        <v>434.6790150293514</v>
      </c>
      <c r="AU466" s="17" t="n">
        <v>0.0213903915</v>
      </c>
      <c r="AV466" s="14" t="n">
        <v>416672092.6478</v>
      </c>
      <c r="AW466" s="18" t="n">
        <v>60100000</v>
      </c>
      <c r="AX466" s="19" t="n">
        <v>41889416.39255512</v>
      </c>
      <c r="AY466" s="18" t="n">
        <v>3100000</v>
      </c>
      <c r="AZ466" s="18">
        <f>1000000000-999287753.5452</f>
        <v/>
      </c>
      <c r="BA466" s="20">
        <f>1000000000-AV466-AW466-AX466-AY466-AZ466</f>
        <v/>
      </c>
      <c r="BB466" s="21" t="n">
        <v>241.714938</v>
      </c>
      <c r="BC466" s="21">
        <f>BA466/1000000-BB466</f>
        <v/>
      </c>
      <c r="BD466" s="22">
        <f>BA466*30.93</f>
        <v/>
      </c>
    </row>
    <row r="467">
      <c r="A467" s="10" t="n">
        <v>46089</v>
      </c>
      <c r="B467" s="11" t="n">
        <v>3649352028.253865</v>
      </c>
      <c r="C467" s="11" t="n">
        <v>880743816.5480607</v>
      </c>
      <c r="D467" s="11" t="n">
        <v>93022962</v>
      </c>
      <c r="E467" s="11" t="n"/>
      <c r="F467" s="24" t="n">
        <v>554472194.6147717</v>
      </c>
      <c r="G467" s="24" t="n">
        <v>24160052.90733936</v>
      </c>
      <c r="H467" s="24" t="n">
        <v>33189900.15152515</v>
      </c>
      <c r="I467" s="24" t="n">
        <v>157994331.2987851</v>
      </c>
      <c r="J467" s="24" t="n">
        <v>532015.1634226228</v>
      </c>
      <c r="K467" s="24" t="n">
        <v>110395322.4122167</v>
      </c>
      <c r="L467" s="22">
        <f>SUM(F467:K467)</f>
        <v/>
      </c>
      <c r="M467" s="22">
        <f>Z467/(1-R467)</f>
        <v/>
      </c>
      <c r="N467" s="11" t="n">
        <v>83857.98939899832</v>
      </c>
      <c r="O467" s="11" t="n">
        <v>38422</v>
      </c>
      <c r="P467" s="11" t="n"/>
      <c r="Q467" s="22">
        <f>M467+N467+O467+P467</f>
        <v/>
      </c>
      <c r="R467" s="12" t="n">
        <v>0.01</v>
      </c>
      <c r="S467" s="22">
        <f>M467*R467</f>
        <v/>
      </c>
      <c r="T467" s="22">
        <f>N467*R467</f>
        <v/>
      </c>
      <c r="U467" s="22">
        <f>(O467-V467)*R467</f>
        <v/>
      </c>
      <c r="V467" s="11" t="n">
        <v>9031</v>
      </c>
      <c r="W467" s="11" t="n">
        <v>0</v>
      </c>
      <c r="X467" s="22">
        <f>S467+T467+U467+V467+W467</f>
        <v/>
      </c>
      <c r="Y467" s="11" t="n">
        <v>178116.0638</v>
      </c>
      <c r="Z467" s="22">
        <f>AE467-AB467-AA467-AC467</f>
        <v/>
      </c>
      <c r="AA467" s="22">
        <f>N467-T467-W467</f>
        <v/>
      </c>
      <c r="AB467" s="22">
        <f>O467-V467-U467</f>
        <v/>
      </c>
      <c r="AC467" s="22">
        <f>P467</f>
        <v/>
      </c>
      <c r="AD467" s="23">
        <f>Z467+AA467+AB467+AC467</f>
        <v/>
      </c>
      <c r="AE467" s="11" t="n">
        <v>1172058.74</v>
      </c>
      <c r="AF467" s="24">
        <f>AD467-AE467</f>
        <v/>
      </c>
      <c r="AG467" s="13">
        <f>IF(OR(B467="",B467=0,M467=""),"",M467/B467*10000)</f>
        <v/>
      </c>
      <c r="AH467" s="13">
        <f>IF(OR(C467="",C467=0),"",N467/C467*10000)</f>
        <v/>
      </c>
      <c r="AI467" s="13">
        <f>IF(OR(D467="",D467=0),"",O467/D467*10000)</f>
        <v/>
      </c>
      <c r="AJ467" s="11" t="n">
        <v>6250.33854180976</v>
      </c>
      <c r="AK467" s="11" t="n">
        <v>0</v>
      </c>
      <c r="AL467" s="22">
        <f>AE467+AJ467+AK467</f>
        <v/>
      </c>
      <c r="AM467" s="22">
        <f>AE467</f>
        <v/>
      </c>
      <c r="AN467" s="14" t="n">
        <v>38591.87</v>
      </c>
      <c r="AO467" s="15" t="n">
        <v>30.370613</v>
      </c>
      <c r="AP467" s="14" t="n">
        <v>41927546.43255512</v>
      </c>
      <c r="AQ467" s="14" t="n">
        <v>26503.372</v>
      </c>
      <c r="AR467" s="14" t="n">
        <v>231.1789</v>
      </c>
      <c r="AS467" s="14" t="n"/>
      <c r="AT467" s="16" t="n">
        <v>435.0191742287126</v>
      </c>
      <c r="AU467" s="17" t="n">
        <v>0.0213821231</v>
      </c>
      <c r="AV467" s="14" t="n">
        <v>416645589.2758</v>
      </c>
      <c r="AW467" s="18" t="n">
        <v>60100000</v>
      </c>
      <c r="AX467" s="19" t="n">
        <v>41927546.43255512</v>
      </c>
      <c r="AY467" s="18" t="n">
        <v>3100000</v>
      </c>
      <c r="AZ467" s="18">
        <f>1000000000-999287522.3663</f>
        <v/>
      </c>
      <c r="BA467" s="20">
        <f>1000000000-AV467-AW467-AX467-AY467-AZ467</f>
        <v/>
      </c>
      <c r="BB467" s="21" t="n">
        <v>241.714938</v>
      </c>
      <c r="BC467" s="21">
        <f>BA467/1000000-BB467</f>
        <v/>
      </c>
      <c r="BD467" s="22">
        <f>BA467*30.14</f>
        <v/>
      </c>
    </row>
    <row r="468">
      <c r="A468" s="10" t="n">
        <v>46090</v>
      </c>
      <c r="B468" s="11" t="n">
        <v>6251934883.852257</v>
      </c>
      <c r="C468" s="11" t="n">
        <v>4095930269.360752</v>
      </c>
      <c r="D468" s="11" t="n">
        <v>214665220</v>
      </c>
      <c r="E468" s="11" t="n"/>
      <c r="F468" s="24" t="n">
        <v>2897767704.07851</v>
      </c>
      <c r="G468" s="24" t="n">
        <v>51025434.79525592</v>
      </c>
      <c r="H468" s="24" t="n">
        <v>34168416.95339379</v>
      </c>
      <c r="I468" s="24" t="n">
        <v>737709992.6418422</v>
      </c>
      <c r="J468" s="24" t="n">
        <v>235839.6148067951</v>
      </c>
      <c r="K468" s="24" t="n">
        <v>375022881.2769427</v>
      </c>
      <c r="L468" s="22">
        <f>SUM(F468:K468)</f>
        <v/>
      </c>
      <c r="M468" s="22">
        <f>Z468/(1-R468)</f>
        <v/>
      </c>
      <c r="N468" s="11" t="n">
        <v>244858.6293139654</v>
      </c>
      <c r="O468" s="11" t="n">
        <v>97117</v>
      </c>
      <c r="P468" s="11" t="n"/>
      <c r="Q468" s="22">
        <f>M468+N468+O468+P468</f>
        <v/>
      </c>
      <c r="R468" s="12" t="n">
        <v>0.01</v>
      </c>
      <c r="S468" s="22">
        <f>M468*R468</f>
        <v/>
      </c>
      <c r="T468" s="22">
        <f>N468*R468</f>
        <v/>
      </c>
      <c r="U468" s="22">
        <f>(O468-V468)*R468</f>
        <v/>
      </c>
      <c r="V468" s="11" t="n">
        <v>21860</v>
      </c>
      <c r="W468" s="11" t="n">
        <v>0</v>
      </c>
      <c r="X468" s="22">
        <f>S468+T468+U468+V468+W468</f>
        <v/>
      </c>
      <c r="Y468" s="11" t="n">
        <v>201650.312</v>
      </c>
      <c r="Z468" s="22">
        <f>AE468-AB468-AA468-AC468</f>
        <v/>
      </c>
      <c r="AA468" s="22">
        <f>N468-T468-W468</f>
        <v/>
      </c>
      <c r="AB468" s="22">
        <f>O468-V468-U468</f>
        <v/>
      </c>
      <c r="AC468" s="22">
        <f>P468</f>
        <v/>
      </c>
      <c r="AD468" s="23">
        <f>Z468+AA468+AB468+AC468</f>
        <v/>
      </c>
      <c r="AE468" s="11" t="n">
        <v>1937249.57</v>
      </c>
      <c r="AF468" s="24">
        <f>AD468-AE468</f>
        <v/>
      </c>
      <c r="AG468" s="13">
        <f>IF(OR(B468="",B468=0,M468=""),"",M468/B468*10000)</f>
        <v/>
      </c>
      <c r="AH468" s="13">
        <f>IF(OR(C468="",C468=0),"",N468/C468*10000)</f>
        <v/>
      </c>
      <c r="AI468" s="13">
        <f>IF(OR(D468="",D468=0),"",O468/D468*10000)</f>
        <v/>
      </c>
      <c r="AJ468" s="11" t="n">
        <v>25955.27629612908</v>
      </c>
      <c r="AK468" s="11" t="n">
        <v>0</v>
      </c>
      <c r="AL468" s="22">
        <f>AE468+AJ468+AK468</f>
        <v/>
      </c>
      <c r="AM468" s="22">
        <f>AE468</f>
        <v/>
      </c>
      <c r="AN468" s="14" t="n">
        <v>59871.67</v>
      </c>
      <c r="AO468" s="15" t="n">
        <v>32.356698</v>
      </c>
      <c r="AP468" s="14" t="n">
        <v>41987626.60255512</v>
      </c>
      <c r="AQ468" s="14" t="n">
        <v>26508.149</v>
      </c>
      <c r="AR468" s="14" t="n">
        <v>697.6186</v>
      </c>
      <c r="AS468" s="14" t="n"/>
      <c r="AT468" s="16" t="n">
        <v>435.0862102224739</v>
      </c>
      <c r="AU468" s="17" t="n">
        <v>0.0213804947</v>
      </c>
      <c r="AV468" s="14" t="n">
        <v>416619081.1268</v>
      </c>
      <c r="AW468" s="18" t="n">
        <v>60100000</v>
      </c>
      <c r="AX468" s="19" t="n">
        <v>41987626.60255512</v>
      </c>
      <c r="AY468" s="18" t="n">
        <v>3100000</v>
      </c>
      <c r="AZ468" s="18">
        <f>1000000000-999286824.7477</f>
        <v/>
      </c>
      <c r="BA468" s="20">
        <f>1000000000-AV468-AW468-AX468-AY468-AZ468</f>
        <v/>
      </c>
      <c r="BB468" s="21" t="n">
        <v>241.714938</v>
      </c>
      <c r="BC468" s="21">
        <f>BA468/1000000-BB468</f>
        <v/>
      </c>
      <c r="BD468" s="22">
        <f>BA468*30.97</f>
        <v/>
      </c>
    </row>
    <row r="469">
      <c r="A469" s="10" t="n">
        <v>46091</v>
      </c>
      <c r="B469" s="11" t="n">
        <v>5352978249.197066</v>
      </c>
      <c r="C469" s="11" t="n">
        <v>2701675591.664907</v>
      </c>
      <c r="D469" s="11" t="n">
        <v>138168410</v>
      </c>
      <c r="E469" s="11" t="n"/>
      <c r="F469" s="24" t="n">
        <v>1802723189.473281</v>
      </c>
      <c r="G469" s="24" t="n">
        <v>44853302.22625049</v>
      </c>
      <c r="H469" s="24" t="n">
        <v>26142952.55918997</v>
      </c>
      <c r="I469" s="24" t="n">
        <v>497244822.3737946</v>
      </c>
      <c r="J469" s="24" t="n">
        <v>91406.48702537124</v>
      </c>
      <c r="K469" s="24" t="n">
        <v>330619918.5453655</v>
      </c>
      <c r="L469" s="22">
        <f>SUM(F469:K469)</f>
        <v/>
      </c>
      <c r="M469" s="22">
        <f>Z469/(1-R469)</f>
        <v/>
      </c>
      <c r="N469" s="11" t="n">
        <v>165552.3836500118</v>
      </c>
      <c r="O469" s="11" t="n">
        <v>65840</v>
      </c>
      <c r="P469" s="11" t="n"/>
      <c r="Q469" s="22">
        <f>M469+N469+O469+P469</f>
        <v/>
      </c>
      <c r="R469" s="12" t="n">
        <v>0.01</v>
      </c>
      <c r="S469" s="22">
        <f>M469*R469</f>
        <v/>
      </c>
      <c r="T469" s="22">
        <f>N469*R469</f>
        <v/>
      </c>
      <c r="U469" s="22">
        <f>(O469-V469)*R469</f>
        <v/>
      </c>
      <c r="V469" s="11" t="n">
        <v>14545</v>
      </c>
      <c r="W469" s="11" t="n">
        <v>0</v>
      </c>
      <c r="X469" s="22">
        <f>S469+T469+U469+V469+W469</f>
        <v/>
      </c>
      <c r="Y469" s="11" t="n">
        <v>184802.7133</v>
      </c>
      <c r="Z469" s="22">
        <f>AE469-AB469-AA469-AC469</f>
        <v/>
      </c>
      <c r="AA469" s="22">
        <f>N469-T469-W469</f>
        <v/>
      </c>
      <c r="AB469" s="22">
        <f>O469-V469-U469</f>
        <v/>
      </c>
      <c r="AC469" s="22">
        <f>P469</f>
        <v/>
      </c>
      <c r="AD469" s="23">
        <f>Z469+AA469+AB469+AC469</f>
        <v/>
      </c>
      <c r="AE469" s="11" t="n">
        <v>1644876.41</v>
      </c>
      <c r="AF469" s="24">
        <f>AD469-AE469</f>
        <v/>
      </c>
      <c r="AG469" s="13">
        <f>IF(OR(B469="",B469=0,M469=""),"",M469/B469*10000)</f>
        <v/>
      </c>
      <c r="AH469" s="13">
        <f>IF(OR(C469="",C469=0),"",N469/C469*10000)</f>
        <v/>
      </c>
      <c r="AI469" s="13">
        <f>IF(OR(D469="",D469=0),"",O469/D469*10000)</f>
        <v/>
      </c>
      <c r="AJ469" s="11" t="n">
        <v>16822.41544782527</v>
      </c>
      <c r="AK469" s="11" t="n">
        <v>0</v>
      </c>
      <c r="AL469" s="22">
        <f>AE469+AJ469+AK469</f>
        <v/>
      </c>
      <c r="AM469" s="22">
        <f>AE469</f>
        <v/>
      </c>
      <c r="AN469" s="14" t="n">
        <v>47849.84</v>
      </c>
      <c r="AO469" s="15" t="n">
        <v>34.375798</v>
      </c>
      <c r="AP469" s="14" t="n">
        <v>42035734.44255512</v>
      </c>
      <c r="AQ469" s="14" t="n">
        <v>26499.9421</v>
      </c>
      <c r="AR469" s="14" t="n">
        <v>1303.5364</v>
      </c>
      <c r="AS469" s="14" t="n"/>
      <c r="AT469" s="16" t="n">
        <v>435.3319448272392</v>
      </c>
      <c r="AU469" s="17" t="n">
        <v>0.0213745289</v>
      </c>
      <c r="AV469" s="14" t="n">
        <v>416592581.1847</v>
      </c>
      <c r="AW469" s="18" t="n">
        <v>60100000</v>
      </c>
      <c r="AX469" s="19" t="n">
        <v>42035734.44255512</v>
      </c>
      <c r="AY469" s="18" t="n">
        <v>3100000</v>
      </c>
      <c r="AZ469" s="18">
        <f>1000000000-999285521.2113</f>
        <v/>
      </c>
      <c r="BA469" s="20">
        <f>1000000000-AV469-AW469-AX469-AY469-AZ469</f>
        <v/>
      </c>
      <c r="BB469" s="21" t="n">
        <v>241.714938</v>
      </c>
      <c r="BC469" s="21">
        <f>BA469/1000000-BB469</f>
        <v/>
      </c>
      <c r="BD469" s="22">
        <f>BA469*34.2</f>
        <v/>
      </c>
    </row>
    <row r="470">
      <c r="A470" s="10" t="n">
        <v>46092</v>
      </c>
      <c r="B470" s="11" t="n">
        <v>4393716922.285782</v>
      </c>
      <c r="C470" s="11" t="n">
        <v>2294076704.204056</v>
      </c>
      <c r="D470" s="11" t="n">
        <v>153775554</v>
      </c>
      <c r="E470" s="11" t="n"/>
      <c r="F470" s="24" t="n">
        <v>1618014623.984682</v>
      </c>
      <c r="G470" s="24" t="n">
        <v>35702001.13566984</v>
      </c>
      <c r="H470" s="24" t="n">
        <v>15066456.60781793</v>
      </c>
      <c r="I470" s="24" t="n">
        <v>349725652.3095221</v>
      </c>
      <c r="J470" s="24" t="n">
        <v>89989.72191806874</v>
      </c>
      <c r="K470" s="24" t="n">
        <v>275477980.4444461</v>
      </c>
      <c r="L470" s="22">
        <f>SUM(F470:K470)</f>
        <v/>
      </c>
      <c r="M470" s="22">
        <f>Z470/(1-R470)</f>
        <v/>
      </c>
      <c r="N470" s="11" t="n">
        <v>114036.9403500018</v>
      </c>
      <c r="O470" s="11" t="n">
        <v>79918</v>
      </c>
      <c r="P470" s="11" t="n"/>
      <c r="Q470" s="22">
        <f>M470+N470+O470+P470</f>
        <v/>
      </c>
      <c r="R470" s="12" t="n">
        <v>0.01</v>
      </c>
      <c r="S470" s="22">
        <f>M470*R470</f>
        <v/>
      </c>
      <c r="T470" s="22">
        <f>N470*R470</f>
        <v/>
      </c>
      <c r="U470" s="22">
        <f>(O470-V470)*R470</f>
        <v/>
      </c>
      <c r="V470" s="11" t="n">
        <v>15356</v>
      </c>
      <c r="W470" s="11" t="n">
        <v>0</v>
      </c>
      <c r="X470" s="22">
        <f>S470+T470+U470+V470+W470</f>
        <v/>
      </c>
      <c r="Y470" s="11" t="n">
        <v>141220.6653</v>
      </c>
      <c r="Z470" s="22">
        <f>AE470-AB470-AA470-AC470</f>
        <v/>
      </c>
      <c r="AA470" s="22">
        <f>N470-T470-W470</f>
        <v/>
      </c>
      <c r="AB470" s="22">
        <f>O470-V470-U470</f>
        <v/>
      </c>
      <c r="AC470" s="22">
        <f>P470</f>
        <v/>
      </c>
      <c r="AD470" s="23">
        <f>Z470+AA470+AB470+AC470</f>
        <v/>
      </c>
      <c r="AE470" s="11" t="n">
        <v>1392462.79</v>
      </c>
      <c r="AF470" s="24">
        <f>AD470-AE470</f>
        <v/>
      </c>
      <c r="AG470" s="13">
        <f>IF(OR(B470="",B470=0,M470=""),"",M470/B470*10000)</f>
        <v/>
      </c>
      <c r="AH470" s="13">
        <f>IF(OR(C470="",C470=0),"",N470/C470*10000)</f>
        <v/>
      </c>
      <c r="AI470" s="13">
        <f>IF(OR(D470="",D470=0),"",O470/D470*10000)</f>
        <v/>
      </c>
      <c r="AJ470" s="11" t="n">
        <v>12195.85981347196</v>
      </c>
      <c r="AK470" s="11" t="n">
        <v>0</v>
      </c>
      <c r="AL470" s="22">
        <f>AE470+AJ470+AK470</f>
        <v/>
      </c>
      <c r="AM470" s="22">
        <f>AE470</f>
        <v/>
      </c>
      <c r="AN470" s="14" t="n">
        <v>38974.26</v>
      </c>
      <c r="AO470" s="15" t="n">
        <v>35.727754</v>
      </c>
      <c r="AP470" s="14" t="n">
        <v>42073712.93255512</v>
      </c>
      <c r="AQ470" s="14" t="n">
        <v>26523.2199</v>
      </c>
      <c r="AR470" s="14" t="n">
        <v>1078.4004</v>
      </c>
      <c r="AS470" s="14" t="n"/>
      <c r="AT470" s="16" t="n">
        <v>435.5611218374714</v>
      </c>
      <c r="AU470" s="17" t="n">
        <v>0.0213689695</v>
      </c>
      <c r="AV470" s="14" t="n">
        <v>416566057.9648</v>
      </c>
      <c r="AW470" s="18" t="n">
        <v>60100000</v>
      </c>
      <c r="AX470" s="19" t="n">
        <v>42073712.93255512</v>
      </c>
      <c r="AY470" s="18" t="n">
        <v>3100000</v>
      </c>
      <c r="AZ470" s="18">
        <f>1000000000-999284442.8109</f>
        <v/>
      </c>
      <c r="BA470" s="20">
        <f>1000000000-AV470-AW470-AX470-AY470-AZ470</f>
        <v/>
      </c>
      <c r="BB470" s="21" t="n">
        <v>241.714938</v>
      </c>
      <c r="BC470" s="21">
        <f>BA470/1000000-BB470</f>
        <v/>
      </c>
      <c r="BD470" s="22">
        <f>BA470*34.3</f>
        <v/>
      </c>
    </row>
    <row r="471">
      <c r="A471" s="10" t="n">
        <v>46093</v>
      </c>
      <c r="B471" s="11" t="n">
        <v>4226373243.762337</v>
      </c>
      <c r="C471" s="11" t="n">
        <v>2717272316.055718</v>
      </c>
      <c r="D471" s="11" t="n">
        <v>157881742</v>
      </c>
      <c r="E471" s="11" t="n"/>
      <c r="F471" s="24" t="n">
        <v>1949025296.94381</v>
      </c>
      <c r="G471" s="24" t="n">
        <v>32480762.80951479</v>
      </c>
      <c r="H471" s="24" t="n">
        <v>29785850.94638881</v>
      </c>
      <c r="I471" s="24" t="n">
        <v>407366613.9031795</v>
      </c>
      <c r="J471" s="24" t="n">
        <v>141401.8400335303</v>
      </c>
      <c r="K471" s="24" t="n">
        <v>298472389.6127915</v>
      </c>
      <c r="L471" s="22">
        <f>SUM(F471:K471)</f>
        <v/>
      </c>
      <c r="M471" s="22">
        <f>Z471/(1-R471)</f>
        <v/>
      </c>
      <c r="N471" s="11" t="n">
        <v>153245.1390970029</v>
      </c>
      <c r="O471" s="11" t="n">
        <v>74559</v>
      </c>
      <c r="P471" s="11" t="n"/>
      <c r="Q471" s="22">
        <f>M471+N471+O471+P471</f>
        <v/>
      </c>
      <c r="R471" s="12" t="n">
        <v>0.01</v>
      </c>
      <c r="S471" s="22">
        <f>M471*R471</f>
        <v/>
      </c>
      <c r="T471" s="22">
        <f>N471*R471</f>
        <v/>
      </c>
      <c r="U471" s="22">
        <f>(O471-V471)*R471</f>
        <v/>
      </c>
      <c r="V471" s="11" t="n">
        <v>19391</v>
      </c>
      <c r="W471" s="11" t="n">
        <v>0</v>
      </c>
      <c r="X471" s="22">
        <f>S471+T471+U471+V471+W471</f>
        <v/>
      </c>
      <c r="Y471" s="11" t="n">
        <v>158112.5933</v>
      </c>
      <c r="Z471" s="22">
        <f>AE471-AB471-AA471-AC471</f>
        <v/>
      </c>
      <c r="AA471" s="22">
        <f>N471-T471-W471</f>
        <v/>
      </c>
      <c r="AB471" s="22">
        <f>O471-V471-U471</f>
        <v/>
      </c>
      <c r="AC471" s="22">
        <f>P471</f>
        <v/>
      </c>
      <c r="AD471" s="23">
        <f>Z471+AA471+AB471+AC471</f>
        <v/>
      </c>
      <c r="AE471" s="11" t="n">
        <v>1366566.18</v>
      </c>
      <c r="AF471" s="24">
        <f>AD471-AE471</f>
        <v/>
      </c>
      <c r="AG471" s="13">
        <f>IF(OR(B471="",B471=0,M471=""),"",M471/B471*10000)</f>
        <v/>
      </c>
      <c r="AH471" s="13">
        <f>IF(OR(C471="",C471=0),"",N471/C471*10000)</f>
        <v/>
      </c>
      <c r="AI471" s="13">
        <f>IF(OR(D471="",D471=0),"",O471/D471*10000)</f>
        <v/>
      </c>
      <c r="AJ471" s="11" t="n">
        <v>10948.83405114849</v>
      </c>
      <c r="AK471" s="11" t="n">
        <v>0</v>
      </c>
      <c r="AL471" s="22">
        <f>AE471+AJ471+AK471</f>
        <v/>
      </c>
      <c r="AM471" s="22">
        <f>AE471</f>
        <v/>
      </c>
      <c r="AN471" s="14" t="n">
        <v>36803.51</v>
      </c>
      <c r="AO471" s="15" t="n">
        <v>37.131409</v>
      </c>
      <c r="AP471" s="14" t="n">
        <v>42110129.65255512</v>
      </c>
      <c r="AQ471" s="14" t="n">
        <v>26526.8227</v>
      </c>
      <c r="AR471" s="14" t="n">
        <v>608.4577</v>
      </c>
      <c r="AS471" s="14" t="n"/>
      <c r="AT471" s="16" t="n">
        <v>435.765607830767</v>
      </c>
      <c r="AU471" s="17" t="n">
        <v>0.0213640128</v>
      </c>
      <c r="AV471" s="14" t="n">
        <v>416539531.1421</v>
      </c>
      <c r="AW471" s="18" t="n">
        <v>60100000</v>
      </c>
      <c r="AX471" s="19" t="n">
        <v>42110129.65255512</v>
      </c>
      <c r="AY471" s="18" t="n">
        <v>3100000</v>
      </c>
      <c r="AZ471" s="18">
        <f>1000000000-999283834.3532</f>
        <v/>
      </c>
      <c r="BA471" s="20">
        <f>1000000000-AV471-AW471-AX471-AY471-AZ471</f>
        <v/>
      </c>
      <c r="BB471" s="21" t="n">
        <v>241.714938</v>
      </c>
      <c r="BC471" s="21">
        <f>BA471/1000000-BB471</f>
        <v/>
      </c>
      <c r="BD471" s="22">
        <f>BA471*36.38</f>
        <v/>
      </c>
    </row>
    <row r="472">
      <c r="A472" s="10" t="n">
        <v>46094</v>
      </c>
      <c r="B472" s="11" t="n">
        <v>5948024224.183441</v>
      </c>
      <c r="C472" s="11" t="n">
        <v>2099264511.1127</v>
      </c>
      <c r="D472" s="11" t="n">
        <v>182728315</v>
      </c>
      <c r="E472" s="11" t="n"/>
      <c r="F472" s="24" t="n">
        <v>1339022673.795057</v>
      </c>
      <c r="G472" s="24" t="n">
        <v>43147489.96113557</v>
      </c>
      <c r="H472" s="24" t="n">
        <v>19380205.9364067</v>
      </c>
      <c r="I472" s="24" t="n">
        <v>401556235.6811057</v>
      </c>
      <c r="J472" s="24" t="n">
        <v>60372.76771812814</v>
      </c>
      <c r="K472" s="24" t="n">
        <v>296097532.9712768</v>
      </c>
      <c r="L472" s="22">
        <f>SUM(F472:K472)</f>
        <v/>
      </c>
      <c r="M472" s="22">
        <f>Z472/(1-R472)</f>
        <v/>
      </c>
      <c r="N472" s="11" t="n">
        <v>116903.5613099911</v>
      </c>
      <c r="O472" s="11" t="n">
        <v>81922</v>
      </c>
      <c r="P472" s="11" t="n"/>
      <c r="Q472" s="22">
        <f>M472+N472+O472+P472</f>
        <v/>
      </c>
      <c r="R472" s="12" t="n">
        <v>0.01</v>
      </c>
      <c r="S472" s="22">
        <f>M472*R472</f>
        <v/>
      </c>
      <c r="T472" s="22">
        <f>N472*R472</f>
        <v/>
      </c>
      <c r="U472" s="22">
        <f>(O472-V472)*R472</f>
        <v/>
      </c>
      <c r="V472" s="11" t="n">
        <v>15620</v>
      </c>
      <c r="W472" s="11" t="n">
        <v>0</v>
      </c>
      <c r="X472" s="22">
        <f>S472+T472+U472+V472+W472</f>
        <v/>
      </c>
      <c r="Y472" s="11" t="n">
        <v>190700.182</v>
      </c>
      <c r="Z472" s="22">
        <f>AE472-AB472-AA472-AC472</f>
        <v/>
      </c>
      <c r="AA472" s="22">
        <f>N472-T472-W472</f>
        <v/>
      </c>
      <c r="AB472" s="22">
        <f>O472-V472-U472</f>
        <v/>
      </c>
      <c r="AC472" s="22">
        <f>P472</f>
        <v/>
      </c>
      <c r="AD472" s="23">
        <f>Z472+AA472+AB472+AC472</f>
        <v/>
      </c>
      <c r="AE472" s="11" t="n">
        <v>1830670.62</v>
      </c>
      <c r="AF472" s="24">
        <f>AD472-AE472</f>
        <v/>
      </c>
      <c r="AG472" s="13">
        <f>IF(OR(B472="",B472=0,M472=""),"",M472/B472*10000)</f>
        <v/>
      </c>
      <c r="AH472" s="13">
        <f>IF(OR(C472="",C472=0),"",N472/C472*10000)</f>
        <v/>
      </c>
      <c r="AI472" s="13">
        <f>IF(OR(D472="",D472=0),"",O472/D472*10000)</f>
        <v/>
      </c>
      <c r="AJ472" s="11" t="n">
        <v>14537.46282295613</v>
      </c>
      <c r="AK472" s="11" t="n">
        <v>0</v>
      </c>
      <c r="AL472" s="22">
        <f>AE472+AJ472+AK472</f>
        <v/>
      </c>
      <c r="AM472" s="22">
        <f>AE472</f>
        <v/>
      </c>
      <c r="AN472" s="14" t="n">
        <v>49323.48</v>
      </c>
      <c r="AO472" s="15" t="n">
        <v>37.115601</v>
      </c>
      <c r="AP472" s="14" t="n">
        <v>42160887.05255512</v>
      </c>
      <c r="AQ472" s="14" t="n">
        <v>26531.6758</v>
      </c>
      <c r="AR472" s="14" t="n">
        <v>1118.0109</v>
      </c>
      <c r="AS472" s="14" t="n"/>
      <c r="AT472" s="16" t="n">
        <v>435.6561251138703</v>
      </c>
      <c r="AU472" s="17" t="n">
        <v>0.0213666662</v>
      </c>
      <c r="AV472" s="14" t="n">
        <v>416512999.4662</v>
      </c>
      <c r="AW472" s="18" t="n">
        <v>60100000</v>
      </c>
      <c r="AX472" s="19" t="n">
        <v>42160887.05255512</v>
      </c>
      <c r="AY472" s="18" t="n">
        <v>3100000</v>
      </c>
      <c r="AZ472" s="18">
        <f>1000000000-999282716.3422</f>
        <v/>
      </c>
      <c r="BA472" s="20">
        <f>1000000000-AV472-AW472-AX472-AY472-AZ472</f>
        <v/>
      </c>
      <c r="BB472" s="21" t="n">
        <v>241.714938</v>
      </c>
      <c r="BC472" s="21">
        <f>BA472/1000000-BB472</f>
        <v/>
      </c>
      <c r="BD472" s="22">
        <f>BA472*37.81</f>
        <v/>
      </c>
    </row>
    <row r="473">
      <c r="A473" s="10" t="n">
        <v>46095</v>
      </c>
      <c r="B473" s="11" t="n">
        <v>1954159064.122066</v>
      </c>
      <c r="C473" s="11" t="n">
        <v>639797548.0305842</v>
      </c>
      <c r="D473" s="11" t="n">
        <v>81103244</v>
      </c>
      <c r="E473" s="11" t="n"/>
      <c r="F473" s="24" t="n">
        <v>428887056.3172907</v>
      </c>
      <c r="G473" s="24" t="n">
        <v>12997346.22565683</v>
      </c>
      <c r="H473" s="24" t="n">
        <v>14795074.01485948</v>
      </c>
      <c r="I473" s="24" t="n">
        <v>140464117.0339258</v>
      </c>
      <c r="J473" s="24" t="n">
        <v>93926.24452206391</v>
      </c>
      <c r="K473" s="24" t="n">
        <v>42560028.1943294</v>
      </c>
      <c r="L473" s="22">
        <f>SUM(F473:K473)</f>
        <v/>
      </c>
      <c r="M473" s="22">
        <f>Z473/(1-R473)</f>
        <v/>
      </c>
      <c r="N473" s="11" t="n">
        <v>57291.97345999569</v>
      </c>
      <c r="O473" s="11" t="n">
        <v>42502</v>
      </c>
      <c r="P473" s="11" t="n"/>
      <c r="Q473" s="22">
        <f>M473+N473+O473+P473</f>
        <v/>
      </c>
      <c r="R473" s="12" t="n">
        <v>0.01</v>
      </c>
      <c r="S473" s="22">
        <f>M473*R473</f>
        <v/>
      </c>
      <c r="T473" s="22">
        <f>N473*R473</f>
        <v/>
      </c>
      <c r="U473" s="22">
        <f>(O473-V473)*R473</f>
        <v/>
      </c>
      <c r="V473" s="11" t="n">
        <v>8023</v>
      </c>
      <c r="W473" s="11" t="n">
        <v>0</v>
      </c>
      <c r="X473" s="22">
        <f>S473+T473+U473+V473+W473</f>
        <v/>
      </c>
      <c r="Y473" s="11" t="n">
        <v>80619.97500000001</v>
      </c>
      <c r="Z473" s="22">
        <f>AE473-AB473-AA473-AC473</f>
        <v/>
      </c>
      <c r="AA473" s="22">
        <f>N473-T473-W473</f>
        <v/>
      </c>
      <c r="AB473" s="22">
        <f>O473-V473-U473</f>
        <v/>
      </c>
      <c r="AC473" s="22">
        <f>P473</f>
        <v/>
      </c>
      <c r="AD473" s="23">
        <f>Z473+AA473+AB473+AC473</f>
        <v/>
      </c>
      <c r="AE473" s="11" t="n">
        <v>628780.0600000001</v>
      </c>
      <c r="AF473" s="24">
        <f>AD473-AE473</f>
        <v/>
      </c>
      <c r="AG473" s="13">
        <f>IF(OR(B473="",B473=0,M473=""),"",M473/B473*10000)</f>
        <v/>
      </c>
      <c r="AH473" s="13">
        <f>IF(OR(C473="",C473=0),"",N473/C473*10000)</f>
        <v/>
      </c>
      <c r="AI473" s="13">
        <f>IF(OR(D473="",D473=0),"",O473/D473*10000)</f>
        <v/>
      </c>
      <c r="AJ473" s="11" t="n">
        <v>7548.847382987662</v>
      </c>
      <c r="AK473" s="11" t="n">
        <v>0</v>
      </c>
      <c r="AL473" s="22">
        <f>AE473+AJ473+AK473</f>
        <v/>
      </c>
      <c r="AM473" s="22">
        <f>AE473</f>
        <v/>
      </c>
      <c r="AN473" s="14" t="n">
        <v>16809.89</v>
      </c>
      <c r="AO473" s="15" t="n">
        <v>37.405364</v>
      </c>
      <c r="AP473" s="14" t="n">
        <v>42176729.40255512</v>
      </c>
      <c r="AQ473" s="14" t="n">
        <v>26522.5569</v>
      </c>
      <c r="AR473" s="14" t="n">
        <v>1169.2845</v>
      </c>
      <c r="AS473" s="14" t="n"/>
      <c r="AT473" s="16" t="n">
        <v>435.4891825826749</v>
      </c>
      <c r="AU473" s="17" t="n">
        <v>0.0213707142</v>
      </c>
      <c r="AV473" s="14" t="n">
        <v>416486476.9094</v>
      </c>
      <c r="AW473" s="18" t="n">
        <v>60100000</v>
      </c>
      <c r="AX473" s="19" t="n">
        <v>42176729.40255512</v>
      </c>
      <c r="AY473" s="18" t="n">
        <v>3100000</v>
      </c>
      <c r="AZ473" s="18">
        <f>1000000000-999281547.0577</f>
        <v/>
      </c>
      <c r="BA473" s="20">
        <f>1000000000-AV473-AW473-AX473-AY473-AZ473</f>
        <v/>
      </c>
      <c r="BB473" s="21" t="n">
        <v>241.714938</v>
      </c>
      <c r="BC473" s="21">
        <f>BA473/1000000-BB473</f>
        <v/>
      </c>
      <c r="BD473" s="22">
        <f>BA473*36.59</f>
        <v/>
      </c>
    </row>
    <row r="474">
      <c r="A474" s="10" t="n">
        <v>46096</v>
      </c>
      <c r="B474" s="11" t="n">
        <v>2928566196.549086</v>
      </c>
      <c r="C474" s="11" t="n">
        <v>965658589.156062</v>
      </c>
      <c r="D474" s="11" t="n">
        <v>70648682</v>
      </c>
      <c r="E474" s="11" t="n"/>
      <c r="F474" s="24" t="n">
        <v>651680729.9929223</v>
      </c>
      <c r="G474" s="24" t="n">
        <v>21212322.68473981</v>
      </c>
      <c r="H474" s="24" t="n">
        <v>19400148.80816191</v>
      </c>
      <c r="I474" s="24" t="n">
        <v>212847855.2984612</v>
      </c>
      <c r="J474" s="24" t="n">
        <v>148082.0926936631</v>
      </c>
      <c r="K474" s="24" t="n">
        <v>60369450.27908313</v>
      </c>
      <c r="L474" s="22">
        <f>SUM(F474:K474)</f>
        <v/>
      </c>
      <c r="M474" s="22">
        <f>Z474/(1-R474)</f>
        <v/>
      </c>
      <c r="N474" s="11" t="n">
        <v>78934.07870600093</v>
      </c>
      <c r="O474" s="11" t="n">
        <v>31407</v>
      </c>
      <c r="P474" s="11" t="n"/>
      <c r="Q474" s="22">
        <f>M474+N474+O474+P474</f>
        <v/>
      </c>
      <c r="R474" s="12" t="n">
        <v>0.01</v>
      </c>
      <c r="S474" s="22">
        <f>M474*R474</f>
        <v/>
      </c>
      <c r="T474" s="22">
        <f>N474*R474</f>
        <v/>
      </c>
      <c r="U474" s="22">
        <f>(O474-V474)*R474</f>
        <v/>
      </c>
      <c r="V474" s="11" t="n">
        <v>8860</v>
      </c>
      <c r="W474" s="11" t="n">
        <v>0</v>
      </c>
      <c r="X474" s="22">
        <f>S474+T474+U474+V474+W474</f>
        <v/>
      </c>
      <c r="Y474" s="11" t="n">
        <v>95379.9179</v>
      </c>
      <c r="Z474" s="22">
        <f>AE474-AB474-AA474-AC474</f>
        <v/>
      </c>
      <c r="AA474" s="22">
        <f>N474-T474-W474</f>
        <v/>
      </c>
      <c r="AB474" s="22">
        <f>O474-V474-U474</f>
        <v/>
      </c>
      <c r="AC474" s="22">
        <f>P474</f>
        <v/>
      </c>
      <c r="AD474" s="23">
        <f>Z474+AA474+AB474+AC474</f>
        <v/>
      </c>
      <c r="AE474" s="11" t="n">
        <v>929730.28</v>
      </c>
      <c r="AF474" s="24">
        <f>AD474-AE474</f>
        <v/>
      </c>
      <c r="AG474" s="13">
        <f>IF(OR(B474="",B474=0,M474=""),"",M474/B474*10000)</f>
        <v/>
      </c>
      <c r="AH474" s="13">
        <f>IF(OR(C474="",C474=0),"",N474/C474*10000)</f>
        <v/>
      </c>
      <c r="AI474" s="13">
        <f>IF(OR(D474="",D474=0),"",O474/D474*10000)</f>
        <v/>
      </c>
      <c r="AJ474" s="11" t="n">
        <v>6731.896899871463</v>
      </c>
      <c r="AK474" s="11" t="n">
        <v>0</v>
      </c>
      <c r="AL474" s="22">
        <f>AE474+AJ474+AK474</f>
        <v/>
      </c>
      <c r="AM474" s="22">
        <f>AE474</f>
        <v/>
      </c>
      <c r="AN474" s="14" t="n">
        <v>24882.62</v>
      </c>
      <c r="AO474" s="15" t="n">
        <v>37.364646</v>
      </c>
      <c r="AP474" s="14" t="n">
        <v>42202159.96255512</v>
      </c>
      <c r="AQ474" s="14" t="n">
        <v>26513.68</v>
      </c>
      <c r="AR474" s="14" t="n">
        <v>280.2648</v>
      </c>
      <c r="AS474" s="14" t="n"/>
      <c r="AT474" s="16" t="n">
        <v>435.0964077011865</v>
      </c>
      <c r="AU474" s="17" t="n">
        <v>0.0213802471</v>
      </c>
      <c r="AV474" s="14" t="n">
        <v>416459963.2294</v>
      </c>
      <c r="AW474" s="18" t="n">
        <v>60100000</v>
      </c>
      <c r="AX474" s="19" t="n">
        <v>42202159.96255512</v>
      </c>
      <c r="AY474" s="18" t="n">
        <v>3100000</v>
      </c>
      <c r="AZ474" s="18">
        <f>1000000000-999281266.793</f>
        <v/>
      </c>
      <c r="BA474" s="20">
        <f>1000000000-AV474-AW474-AX474-AY474-AZ474</f>
        <v/>
      </c>
      <c r="BB474" s="21" t="n">
        <v>241.714938</v>
      </c>
      <c r="BC474" s="21">
        <f>BA474/1000000-BB474</f>
        <v/>
      </c>
      <c r="BD474" s="22">
        <f>BA474*37.67</f>
        <v/>
      </c>
    </row>
    <row r="475">
      <c r="A475" s="10" t="n">
        <v>46097</v>
      </c>
      <c r="B475" s="11" t="n">
        <v>6544780138.078207</v>
      </c>
      <c r="C475" s="11" t="n">
        <v>2053387347.984632</v>
      </c>
      <c r="D475" s="11" t="n">
        <v>184912298</v>
      </c>
      <c r="E475" s="11" t="n"/>
      <c r="F475" s="24" t="n">
        <v>1366462493.035098</v>
      </c>
      <c r="G475" s="24" t="n">
        <v>67723381.55431069</v>
      </c>
      <c r="H475" s="24" t="n">
        <v>19709088.32016462</v>
      </c>
      <c r="I475" s="24" t="n">
        <v>338673926.3907728</v>
      </c>
      <c r="J475" s="24" t="n">
        <v>92639.3936950638</v>
      </c>
      <c r="K475" s="24" t="n">
        <v>260725819.2905912</v>
      </c>
      <c r="L475" s="22">
        <f>SUM(F475:K475)</f>
        <v/>
      </c>
      <c r="M475" s="22">
        <f>Z475/(1-R475)</f>
        <v/>
      </c>
      <c r="N475" s="11" t="n">
        <v>121437.3085710005</v>
      </c>
      <c r="O475" s="11" t="n">
        <v>90856</v>
      </c>
      <c r="P475" s="11" t="n"/>
      <c r="Q475" s="22">
        <f>M475+N475+O475+P475</f>
        <v/>
      </c>
      <c r="R475" s="12" t="n">
        <v>0.01</v>
      </c>
      <c r="S475" s="22">
        <f>M475*R475</f>
        <v/>
      </c>
      <c r="T475" s="22">
        <f>N475*R475</f>
        <v/>
      </c>
      <c r="U475" s="22">
        <f>(O475-V475)*R475</f>
        <v/>
      </c>
      <c r="V475" s="11" t="n">
        <v>20446</v>
      </c>
      <c r="W475" s="11" t="n">
        <v>0</v>
      </c>
      <c r="X475" s="22">
        <f>S475+T475+U475+V475+W475</f>
        <v/>
      </c>
      <c r="Y475" s="11" t="n">
        <v>184422.0152</v>
      </c>
      <c r="Z475" s="22">
        <f>AE475-AB475-AA475-AC475</f>
        <v/>
      </c>
      <c r="AA475" s="22">
        <f>N475-T475-W475</f>
        <v/>
      </c>
      <c r="AB475" s="22">
        <f>O475-V475-U475</f>
        <v/>
      </c>
      <c r="AC475" s="22">
        <f>P475</f>
        <v/>
      </c>
      <c r="AD475" s="23">
        <f>Z475+AA475+AB475+AC475</f>
        <v/>
      </c>
      <c r="AE475" s="11" t="n">
        <v>2056534.62</v>
      </c>
      <c r="AF475" s="24">
        <f>AD475-AE475</f>
        <v/>
      </c>
      <c r="AG475" s="13">
        <f>IF(OR(B475="",B475=0,M475=""),"",M475/B475*10000)</f>
        <v/>
      </c>
      <c r="AH475" s="13">
        <f>IF(OR(C475="",C475=0),"",N475/C475*10000)</f>
        <v/>
      </c>
      <c r="AI475" s="13">
        <f>IF(OR(D475="",D475=0),"",O475/D475*10000)</f>
        <v/>
      </c>
      <c r="AJ475" s="11" t="n">
        <v>18142.36376332987</v>
      </c>
      <c r="AK475" s="11" t="n">
        <v>0</v>
      </c>
      <c r="AL475" s="22">
        <f>AE475+AJ475+AK475</f>
        <v/>
      </c>
      <c r="AM475" s="22">
        <f>AE475</f>
        <v/>
      </c>
      <c r="AN475" s="14" t="n">
        <v>52403.88</v>
      </c>
      <c r="AO475" s="15" t="n">
        <v>39.243938</v>
      </c>
      <c r="AP475" s="14" t="n">
        <v>42256895.91255512</v>
      </c>
      <c r="AQ475" s="14" t="n">
        <v>26158.1654</v>
      </c>
      <c r="AR475" s="14" t="n">
        <v>690.6835</v>
      </c>
      <c r="AS475" s="14" t="n"/>
      <c r="AT475" s="16" t="n">
        <v>434.8585007962238</v>
      </c>
      <c r="AU475" s="17" t="n">
        <v>0.0213860275</v>
      </c>
      <c r="AV475" s="14" t="n">
        <v>416433805.064</v>
      </c>
      <c r="AW475" s="18" t="n">
        <v>60100000</v>
      </c>
      <c r="AX475" s="19" t="n">
        <v>42256895.91255512</v>
      </c>
      <c r="AY475" s="18" t="n">
        <v>3100000</v>
      </c>
      <c r="AZ475" s="18">
        <f>1000000000-999280576.1095</f>
        <v/>
      </c>
      <c r="BA475" s="20">
        <f>1000000000-AV475-AW475-AX475-AY475-AZ475</f>
        <v/>
      </c>
      <c r="BB475" s="21" t="n">
        <v>241.714938</v>
      </c>
      <c r="BC475" s="21">
        <f>BA475/1000000-BB475</f>
        <v/>
      </c>
      <c r="BD475" s="22">
        <f>BA475*37.38</f>
        <v/>
      </c>
    </row>
    <row r="476">
      <c r="A476" s="10" t="n">
        <v>46098</v>
      </c>
      <c r="B476" s="11" t="n">
        <v>5627002017.479641</v>
      </c>
      <c r="C476" s="11" t="n">
        <v>1419520859.470353</v>
      </c>
      <c r="D476" s="11" t="n">
        <v>150934969</v>
      </c>
      <c r="E476" s="11" t="n"/>
      <c r="F476" s="24" t="n">
        <v>812613528.8167719</v>
      </c>
      <c r="G476" s="24" t="n">
        <v>40922253.15802125</v>
      </c>
      <c r="H476" s="24" t="n">
        <v>19238421.53680355</v>
      </c>
      <c r="I476" s="24" t="n">
        <v>318906481.3232136</v>
      </c>
      <c r="J476" s="24" t="n">
        <v>58296.49531766951</v>
      </c>
      <c r="K476" s="24" t="n">
        <v>227781878.1402252</v>
      </c>
      <c r="L476" s="22">
        <f>SUM(F476:K476)</f>
        <v/>
      </c>
      <c r="M476" s="22">
        <f>Z476/(1-R476)</f>
        <v/>
      </c>
      <c r="N476" s="11" t="n">
        <v>85816.12252298514</v>
      </c>
      <c r="O476" s="11" t="n">
        <v>71225</v>
      </c>
      <c r="P476" s="11" t="n"/>
      <c r="Q476" s="22">
        <f>M476+N476+O476+P476</f>
        <v/>
      </c>
      <c r="R476" s="12" t="n">
        <v>0.01</v>
      </c>
      <c r="S476" s="22">
        <f>M476*R476</f>
        <v/>
      </c>
      <c r="T476" s="22">
        <f>N476*R476</f>
        <v/>
      </c>
      <c r="U476" s="22">
        <f>(O476-V476)*R476</f>
        <v/>
      </c>
      <c r="V476" s="11" t="n">
        <v>16359</v>
      </c>
      <c r="W476" s="11" t="n">
        <v>0</v>
      </c>
      <c r="X476" s="22">
        <f>S476+T476+U476+V476+W476</f>
        <v/>
      </c>
      <c r="Y476" s="11" t="n">
        <v>156103.6953</v>
      </c>
      <c r="Z476" s="22">
        <f>AE476-AB476-AA476-AC476</f>
        <v/>
      </c>
      <c r="AA476" s="22">
        <f>N476-T476-W476</f>
        <v/>
      </c>
      <c r="AB476" s="22">
        <f>O476-V476-U476</f>
        <v/>
      </c>
      <c r="AC476" s="22">
        <f>P476</f>
        <v/>
      </c>
      <c r="AD476" s="23">
        <f>Z476+AA476+AB476+AC476</f>
        <v/>
      </c>
      <c r="AE476" s="11" t="n">
        <v>1717663.47</v>
      </c>
      <c r="AF476" s="24">
        <f>AD476-AE476</f>
        <v/>
      </c>
      <c r="AG476" s="13">
        <f>IF(OR(B476="",B476=0,M476=""),"",M476/B476*10000)</f>
        <v/>
      </c>
      <c r="AH476" s="13">
        <f>IF(OR(C476="",C476=0),"",N476/C476*10000)</f>
        <v/>
      </c>
      <c r="AI476" s="13">
        <f>IF(OR(D476="",D476=0),"",O476/D476*10000)</f>
        <v/>
      </c>
      <c r="AJ476" s="11" t="n">
        <v>16207.24801841554</v>
      </c>
      <c r="AK476" s="11" t="n">
        <v>0</v>
      </c>
      <c r="AL476" s="22">
        <f>AE476+AJ476+AK476</f>
        <v/>
      </c>
      <c r="AM476" s="22">
        <f>AE476</f>
        <v/>
      </c>
      <c r="AN476" s="14" t="n">
        <v>42168.48</v>
      </c>
      <c r="AO476" s="15" t="n">
        <v>40.73335</v>
      </c>
      <c r="AP476" s="14" t="n">
        <v>42296551.71255512</v>
      </c>
      <c r="AQ476" s="14" t="n">
        <v>25920.2501</v>
      </c>
      <c r="AR476" s="14" t="n">
        <v>688.104</v>
      </c>
      <c r="AS476" s="14" t="n"/>
      <c r="AT476" s="16" t="n">
        <v>434.6722369230191</v>
      </c>
      <c r="AU476" s="17" t="n">
        <v>0.0213905564</v>
      </c>
      <c r="AV476" s="14" t="n">
        <v>416407884.8139</v>
      </c>
      <c r="AW476" s="18" t="n">
        <v>60100000</v>
      </c>
      <c r="AX476" s="19" t="n">
        <v>42296551.71255512</v>
      </c>
      <c r="AY476" s="18" t="n">
        <v>3100000</v>
      </c>
      <c r="AZ476" s="18">
        <f>1000000000-999279888.0055</f>
        <v/>
      </c>
      <c r="BA476" s="20">
        <f>1000000000-AV476-AW476-AX476-AY476-AZ476</f>
        <v/>
      </c>
      <c r="BB476" s="21" t="n">
        <v>241.714938</v>
      </c>
      <c r="BC476" s="21">
        <f>BA476/1000000-BB476</f>
        <v/>
      </c>
      <c r="BD476" s="22">
        <f>BA476*40.63</f>
        <v/>
      </c>
    </row>
    <row r="477">
      <c r="A477" s="10" t="n">
        <v>46099</v>
      </c>
      <c r="B477" s="11" t="n">
        <v>6081331236.881853</v>
      </c>
      <c r="C477" s="11" t="n">
        <v>2455343214.218946</v>
      </c>
      <c r="D477" s="11" t="n">
        <v>201452297</v>
      </c>
      <c r="E477" s="11" t="n"/>
      <c r="F477" s="24" t="n">
        <v>1663532785.40525</v>
      </c>
      <c r="G477" s="24" t="n">
        <v>45251637.57842188</v>
      </c>
      <c r="H477" s="24" t="n">
        <v>20139713.78675838</v>
      </c>
      <c r="I477" s="24" t="n">
        <v>443524697.9478121</v>
      </c>
      <c r="J477" s="24" t="n">
        <v>213926.0899914313</v>
      </c>
      <c r="K477" s="24" t="n">
        <v>282680453.4107127</v>
      </c>
      <c r="L477" s="22">
        <f>SUM(F477:K477)</f>
        <v/>
      </c>
      <c r="M477" s="22">
        <f>Z477/(1-R477)</f>
        <v/>
      </c>
      <c r="N477" s="11" t="n">
        <v>136563.9924509954</v>
      </c>
      <c r="O477" s="11" t="n">
        <v>100923</v>
      </c>
      <c r="P477" s="11" t="n"/>
      <c r="Q477" s="22">
        <f>M477+N477+O477+P477</f>
        <v/>
      </c>
      <c r="R477" s="12" t="n">
        <v>0.01</v>
      </c>
      <c r="S477" s="22">
        <f>M477*R477</f>
        <v/>
      </c>
      <c r="T477" s="22">
        <f>N477*R477</f>
        <v/>
      </c>
      <c r="U477" s="22">
        <f>(O477-V477)*R477</f>
        <v/>
      </c>
      <c r="V477" s="11" t="n">
        <v>14162</v>
      </c>
      <c r="W477" s="11" t="n">
        <v>0</v>
      </c>
      <c r="X477" s="22">
        <f>S477+T477+U477+V477+W477</f>
        <v/>
      </c>
      <c r="Y477" s="11" t="n">
        <v>157843.1882</v>
      </c>
      <c r="Z477" s="22">
        <f>AE477-AB477-AA477-AC477</f>
        <v/>
      </c>
      <c r="AA477" s="22">
        <f>N477-T477-W477</f>
        <v/>
      </c>
      <c r="AB477" s="22">
        <f>O477-V477-U477</f>
        <v/>
      </c>
      <c r="AC477" s="22">
        <f>P477</f>
        <v/>
      </c>
      <c r="AD477" s="23">
        <f>Z477+AA477+AB477+AC477</f>
        <v/>
      </c>
      <c r="AE477" s="11" t="n">
        <v>1931952.06</v>
      </c>
      <c r="AF477" s="24">
        <f>AD477-AE477</f>
        <v/>
      </c>
      <c r="AG477" s="13">
        <f>IF(OR(B477="",B477=0,M477=""),"",M477/B477*10000)</f>
        <v/>
      </c>
      <c r="AH477" s="13">
        <f>IF(OR(C477="",C477=0),"",N477/C477*10000)</f>
        <v/>
      </c>
      <c r="AI477" s="13">
        <f>IF(OR(D477="",D477=0),"",O477/D477*10000)</f>
        <v/>
      </c>
      <c r="AJ477" s="11" t="n">
        <v>37957.11321834336</v>
      </c>
      <c r="AK477" s="11" t="n">
        <v>0</v>
      </c>
      <c r="AL477" s="22">
        <f>AE477+AJ477+AK477</f>
        <v/>
      </c>
      <c r="AM477" s="22">
        <f>AE477</f>
        <v/>
      </c>
      <c r="AN477" s="14" t="n">
        <v>46408.79</v>
      </c>
      <c r="AO477" s="15" t="n">
        <v>41.629012</v>
      </c>
      <c r="AP477" s="14" t="n">
        <v>42343472.10255512</v>
      </c>
      <c r="AQ477" s="14" t="n">
        <v>26481.1709</v>
      </c>
      <c r="AR477" s="14" t="n">
        <v>1001.0048</v>
      </c>
      <c r="AS477" s="14" t="n"/>
      <c r="AT477" s="16" t="n">
        <v>433.8548348594891</v>
      </c>
      <c r="AU477" s="17" t="n">
        <v>0.0214104653</v>
      </c>
      <c r="AV477" s="14" t="n">
        <v>416381403.643</v>
      </c>
      <c r="AW477" s="18" t="n">
        <v>60100000</v>
      </c>
      <c r="AX477" s="19" t="n">
        <v>42343472.10255512</v>
      </c>
      <c r="AY477" s="18" t="n">
        <v>3100000</v>
      </c>
      <c r="AZ477" s="18">
        <f>1000000000-999278887.0007</f>
        <v/>
      </c>
      <c r="BA477" s="20">
        <f>1000000000-AV477-AW477-AX477-AY477-AZ477</f>
        <v/>
      </c>
      <c r="BB477" s="21" t="n">
        <v>241.714938</v>
      </c>
      <c r="BC477" s="21">
        <f>BA477/1000000-BB477</f>
        <v/>
      </c>
      <c r="BD477" s="22">
        <f>BA477*40.73</f>
        <v/>
      </c>
    </row>
    <row r="478">
      <c r="A478" s="10" t="n">
        <v>46100</v>
      </c>
      <c r="B478" s="11" t="n">
        <v>5776144002.978495</v>
      </c>
      <c r="C478" s="11" t="n">
        <v>3916618768.377005</v>
      </c>
      <c r="D478" s="11" t="n">
        <v>172378544</v>
      </c>
      <c r="E478" s="11" t="n"/>
      <c r="F478" s="24" t="n">
        <v>2958172616.153718</v>
      </c>
      <c r="G478" s="24" t="n">
        <v>37665595.95228717</v>
      </c>
      <c r="H478" s="24" t="n">
        <v>19662201.21616349</v>
      </c>
      <c r="I478" s="24" t="n">
        <v>591002082.9286954</v>
      </c>
      <c r="J478" s="24" t="n">
        <v>115478.2480719571</v>
      </c>
      <c r="K478" s="24" t="n">
        <v>310000793.8780689</v>
      </c>
      <c r="L478" s="22">
        <f>SUM(F478:K478)</f>
        <v/>
      </c>
      <c r="M478" s="22">
        <f>Z478/(1-R478)</f>
        <v/>
      </c>
      <c r="N478" s="11" t="n">
        <v>240403.9675739906</v>
      </c>
      <c r="O478" s="11" t="n">
        <v>85429</v>
      </c>
      <c r="P478" s="11" t="n"/>
      <c r="Q478" s="22">
        <f>M478+N478+O478+P478</f>
        <v/>
      </c>
      <c r="R478" s="12" t="n">
        <v>0.01</v>
      </c>
      <c r="S478" s="22">
        <f>M478*R478</f>
        <v/>
      </c>
      <c r="T478" s="22">
        <f>N478*R478</f>
        <v/>
      </c>
      <c r="U478" s="22">
        <f>(O478-V478)*R478</f>
        <v/>
      </c>
      <c r="V478" s="11" t="n">
        <v>11829</v>
      </c>
      <c r="W478" s="11" t="n">
        <v>0</v>
      </c>
      <c r="X478" s="22">
        <f>S478+T478+U478+V478+W478</f>
        <v/>
      </c>
      <c r="Y478" s="11" t="n">
        <v>159520.5976</v>
      </c>
      <c r="Z478" s="22">
        <f>AE478-AB478-AA478-AC478</f>
        <v/>
      </c>
      <c r="AA478" s="22">
        <f>N478-T478-W478</f>
        <v/>
      </c>
      <c r="AB478" s="22">
        <f>O478-V478-U478</f>
        <v/>
      </c>
      <c r="AC478" s="22">
        <f>P478</f>
        <v/>
      </c>
      <c r="AD478" s="23">
        <f>Z478+AA478+AB478+AC478</f>
        <v/>
      </c>
      <c r="AE478" s="11" t="n">
        <v>1919269.57</v>
      </c>
      <c r="AF478" s="24">
        <f>AD478-AE478</f>
        <v/>
      </c>
      <c r="AG478" s="13">
        <f>IF(OR(B478="",B478=0,M478=""),"",M478/B478*10000)</f>
        <v/>
      </c>
      <c r="AH478" s="13">
        <f>IF(OR(C478="",C478=0),"",N478/C478*10000)</f>
        <v/>
      </c>
      <c r="AI478" s="13">
        <f>IF(OR(D478="",D478=0),"",O478/D478*10000)</f>
        <v/>
      </c>
      <c r="AJ478" s="11" t="n">
        <v>20312.05724812334</v>
      </c>
      <c r="AK478" s="11" t="n">
        <v>0</v>
      </c>
      <c r="AL478" s="22">
        <f>AE478+AJ478+AK478</f>
        <v/>
      </c>
      <c r="AM478" s="22">
        <f>AE478</f>
        <v/>
      </c>
      <c r="AN478" s="14" t="n">
        <v>48083.94</v>
      </c>
      <c r="AO478" s="15" t="n">
        <v>39.914981</v>
      </c>
      <c r="AP478" s="14" t="n">
        <v>42390511.50255512</v>
      </c>
      <c r="AQ478" s="14" t="n">
        <v>26434.5099</v>
      </c>
      <c r="AR478" s="14" t="n">
        <v>1559.2383</v>
      </c>
      <c r="AS478" s="14" t="n"/>
      <c r="AT478" s="16" t="n">
        <v>433.6761695200595</v>
      </c>
      <c r="AU478" s="17" t="n">
        <v>0.0214148244</v>
      </c>
      <c r="AV478" s="14" t="n">
        <v>416354969.1331</v>
      </c>
      <c r="AW478" s="18" t="n">
        <v>60100000</v>
      </c>
      <c r="AX478" s="19" t="n">
        <v>42390511.50255512</v>
      </c>
      <c r="AY478" s="18" t="n">
        <v>3100000</v>
      </c>
      <c r="AZ478" s="18">
        <f>1000000000-999277327.7625</f>
        <v/>
      </c>
      <c r="BA478" s="20">
        <f>1000000000-AV478-AW478-AX478-AY478-AZ478</f>
        <v/>
      </c>
      <c r="BB478" s="21" t="n">
        <v>241.714938</v>
      </c>
      <c r="BC478" s="21">
        <f>BA478/1000000-BB478</f>
        <v/>
      </c>
      <c r="BD478" s="22">
        <f>BA478*42.07</f>
        <v/>
      </c>
    </row>
    <row r="479">
      <c r="A479" s="10" t="n">
        <v>46101</v>
      </c>
      <c r="B479" s="11" t="n">
        <v>4384780293.29467</v>
      </c>
      <c r="C479" s="11" t="n">
        <v>2327726300.02012</v>
      </c>
      <c r="D479" s="11" t="n">
        <v>115811184</v>
      </c>
      <c r="E479" s="11" t="n"/>
      <c r="F479" s="24" t="n">
        <v>1515344019.431954</v>
      </c>
      <c r="G479" s="24" t="n">
        <v>28953062.83536482</v>
      </c>
      <c r="H479" s="24" t="n">
        <v>23015344.42023544</v>
      </c>
      <c r="I479" s="24" t="n">
        <v>462035587.2636998</v>
      </c>
      <c r="J479" s="24" t="n">
        <v>35928.76674392026</v>
      </c>
      <c r="K479" s="24" t="n">
        <v>298342357.302123</v>
      </c>
      <c r="L479" s="22">
        <f>SUM(F479:K479)</f>
        <v/>
      </c>
      <c r="M479" s="22">
        <f>Z479/(1-R479)</f>
        <v/>
      </c>
      <c r="N479" s="11" t="n">
        <v>147881.7422050007</v>
      </c>
      <c r="O479" s="11" t="n">
        <v>55418</v>
      </c>
      <c r="P479" s="11" t="n"/>
      <c r="Q479" s="22">
        <f>M479+N479+O479+P479</f>
        <v/>
      </c>
      <c r="R479" s="12" t="n">
        <v>0.01</v>
      </c>
      <c r="S479" s="22">
        <f>M479*R479</f>
        <v/>
      </c>
      <c r="T479" s="22">
        <f>N479*R479</f>
        <v/>
      </c>
      <c r="U479" s="22">
        <f>(O479-V479)*R479</f>
        <v/>
      </c>
      <c r="V479" s="11" t="n">
        <v>10037</v>
      </c>
      <c r="W479" s="11" t="n">
        <v>0</v>
      </c>
      <c r="X479" s="22">
        <f>S479+T479+U479+V479+W479</f>
        <v/>
      </c>
      <c r="Y479" s="11" t="n">
        <v>129516.6192</v>
      </c>
      <c r="Z479" s="22">
        <f>AE479-AB479-AA479-AC479</f>
        <v/>
      </c>
      <c r="AA479" s="22">
        <f>N479-T479-W479</f>
        <v/>
      </c>
      <c r="AB479" s="22">
        <f>O479-V479-U479</f>
        <v/>
      </c>
      <c r="AC479" s="22">
        <f>P479</f>
        <v/>
      </c>
      <c r="AD479" s="23">
        <f>Z479+AA479+AB479+AC479</f>
        <v/>
      </c>
      <c r="AE479" s="11" t="n">
        <v>1398791.89</v>
      </c>
      <c r="AF479" s="24">
        <f>AD479-AE479</f>
        <v/>
      </c>
      <c r="AG479" s="13">
        <f>IF(OR(B479="",B479=0,M479=""),"",M479/B479*10000)</f>
        <v/>
      </c>
      <c r="AH479" s="13">
        <f>IF(OR(C479="",C479=0),"",N479/C479*10000)</f>
        <v/>
      </c>
      <c r="AI479" s="13">
        <f>IF(OR(D479="",D479=0),"",O479/D479*10000)</f>
        <v/>
      </c>
      <c r="AJ479" s="11" t="n">
        <v>20215.87673919038</v>
      </c>
      <c r="AK479" s="11" t="n">
        <v>0</v>
      </c>
      <c r="AL479" s="22">
        <f>AE479+AJ479+AK479</f>
        <v/>
      </c>
      <c r="AM479" s="22">
        <f>AE479</f>
        <v/>
      </c>
      <c r="AN479" s="14" t="n">
        <v>35474.14</v>
      </c>
      <c r="AO479" s="15" t="n">
        <v>39.431312</v>
      </c>
      <c r="AP479" s="14" t="n">
        <v>42426049.16255512</v>
      </c>
      <c r="AQ479" s="14" t="n">
        <v>26463.4663</v>
      </c>
      <c r="AR479" s="14" t="n">
        <v>563.0605</v>
      </c>
      <c r="AS479" s="14" t="n"/>
      <c r="AT479" s="16" t="n">
        <v>433.6212441469142</v>
      </c>
      <c r="AU479" s="17" t="n">
        <v>0.021416165</v>
      </c>
      <c r="AV479" s="14" t="n">
        <v>416328505.6668</v>
      </c>
      <c r="AW479" s="18" t="n">
        <v>60100000</v>
      </c>
      <c r="AX479" s="19" t="n">
        <v>42426049.16255512</v>
      </c>
      <c r="AY479" s="18" t="n">
        <v>3100000</v>
      </c>
      <c r="AZ479" s="18">
        <f>1000000000-999276764.702</f>
        <v/>
      </c>
      <c r="BA479" s="20">
        <f>1000000000-AV479-AW479-AX479-AY479-AZ479</f>
        <v/>
      </c>
      <c r="BB479" s="21" t="n">
        <v>241.714938</v>
      </c>
      <c r="BC479" s="21">
        <f>BA479/1000000-BB479</f>
        <v/>
      </c>
      <c r="BD479" s="22">
        <f>BA479*39.81</f>
        <v/>
      </c>
    </row>
    <row r="480">
      <c r="A480" s="10" t="n">
        <v>46102</v>
      </c>
      <c r="B480" s="11" t="n">
        <v>1820909720.409466</v>
      </c>
      <c r="C480" s="11" t="n">
        <v>385886654.6662954</v>
      </c>
      <c r="D480" s="11" t="n">
        <v>50810059</v>
      </c>
      <c r="E480" s="11" t="n"/>
      <c r="F480" s="24" t="n">
        <v>243765683.426143</v>
      </c>
      <c r="G480" s="24" t="n">
        <v>10709689.75455779</v>
      </c>
      <c r="H480" s="24" t="n">
        <v>15952767.39390927</v>
      </c>
      <c r="I480" s="24" t="n">
        <v>64606691.69431058</v>
      </c>
      <c r="J480" s="24" t="n">
        <v>11339.3865869544</v>
      </c>
      <c r="K480" s="24" t="n">
        <v>50840483.01078784</v>
      </c>
      <c r="L480" s="22">
        <f>SUM(F480:K480)</f>
        <v/>
      </c>
      <c r="M480" s="22">
        <f>Z480/(1-R480)</f>
        <v/>
      </c>
      <c r="N480" s="11" t="n">
        <v>48618.33601600012</v>
      </c>
      <c r="O480" s="11" t="n">
        <v>25527</v>
      </c>
      <c r="P480" s="11" t="n"/>
      <c r="Q480" s="22">
        <f>M480+N480+O480+P480</f>
        <v/>
      </c>
      <c r="R480" s="12" t="n">
        <v>0.01</v>
      </c>
      <c r="S480" s="22">
        <f>M480*R480</f>
        <v/>
      </c>
      <c r="T480" s="22">
        <f>N480*R480</f>
        <v/>
      </c>
      <c r="U480" s="22">
        <f>(O480-V480)*R480</f>
        <v/>
      </c>
      <c r="V480" s="11" t="n">
        <v>4733</v>
      </c>
      <c r="W480" s="11" t="n">
        <v>8655.120124000225</v>
      </c>
      <c r="X480" s="22">
        <f>S480+T480+U480+V480+W480</f>
        <v/>
      </c>
      <c r="Y480" s="11" t="n">
        <v>64409.42760000001</v>
      </c>
      <c r="Z480" s="22">
        <f>AE480-AB480-AA480-AC480</f>
        <v/>
      </c>
      <c r="AA480" s="22">
        <f>N480-T480-W480</f>
        <v/>
      </c>
      <c r="AB480" s="22">
        <f>O480-V480-U480</f>
        <v/>
      </c>
      <c r="AC480" s="22">
        <f>P480</f>
        <v/>
      </c>
      <c r="AD480" s="23">
        <f>Z480+AA480+AB480+AC480</f>
        <v/>
      </c>
      <c r="AE480" s="11" t="n">
        <v>565820.13</v>
      </c>
      <c r="AF480" s="24">
        <f>AD480-AE480</f>
        <v/>
      </c>
      <c r="AG480" s="13">
        <f>IF(OR(B480="",B480=0,M480=""),"",M480/B480*10000)</f>
        <v/>
      </c>
      <c r="AH480" s="13">
        <f>IF(OR(C480="",C480=0),"",N480/C480*10000)</f>
        <v/>
      </c>
      <c r="AI480" s="13">
        <f>IF(OR(D480="",D480=0),"",O480/D480*10000)</f>
        <v/>
      </c>
      <c r="AJ480" s="11" t="n">
        <v>4802.687313533955</v>
      </c>
      <c r="AK480" s="11" t="n">
        <v>0</v>
      </c>
      <c r="AL480" s="22">
        <f>AE480+AJ480+AK480</f>
        <v/>
      </c>
      <c r="AM480" s="22">
        <f>AE480</f>
        <v/>
      </c>
      <c r="AN480" s="14" t="n">
        <v>14254.91</v>
      </c>
      <c r="AO480" s="15" t="n">
        <v>39.692999</v>
      </c>
      <c r="AP480" s="14" t="n">
        <v>42443640.52255512</v>
      </c>
      <c r="AQ480" s="14" t="n">
        <v>26474.8084</v>
      </c>
      <c r="AR480" s="14" t="n">
        <v>863.7541</v>
      </c>
      <c r="AS480" s="14" t="n"/>
      <c r="AT480" s="16" t="n">
        <v>434.0438101295291</v>
      </c>
      <c r="AU480" s="17" t="n">
        <v>0.0214058576</v>
      </c>
      <c r="AV480" s="14" t="n">
        <v>416302030.8583</v>
      </c>
      <c r="AW480" s="18" t="n">
        <v>60100000</v>
      </c>
      <c r="AX480" s="19" t="n">
        <v>42443640.52255512</v>
      </c>
      <c r="AY480" s="18" t="n">
        <v>3100000</v>
      </c>
      <c r="AZ480" s="18">
        <f>1000000000-999275900.9479</f>
        <v/>
      </c>
      <c r="BA480" s="20">
        <f>1000000000-AV480-AW480-AX480-AY480-AZ480</f>
        <v/>
      </c>
      <c r="BB480" s="21" t="n">
        <v>241.714938</v>
      </c>
      <c r="BC480" s="21">
        <f>BA480/1000000-BB480</f>
        <v/>
      </c>
      <c r="BD480" s="22">
        <f>BA480*39.67</f>
        <v/>
      </c>
    </row>
    <row r="481">
      <c r="A481" s="10" t="n">
        <v>46103</v>
      </c>
      <c r="B481" s="11" t="n">
        <v>4126093156.852892</v>
      </c>
      <c r="C481" s="11" t="n">
        <v>931981428.7109683</v>
      </c>
      <c r="D481" s="11" t="n">
        <v>98254347</v>
      </c>
      <c r="E481" s="11" t="n"/>
      <c r="F481" s="24" t="n">
        <v>663867231.8096489</v>
      </c>
      <c r="G481" s="24" t="n">
        <v>19738989.15844799</v>
      </c>
      <c r="H481" s="24" t="n">
        <v>18898672.63675857</v>
      </c>
      <c r="I481" s="24" t="n">
        <v>146185445.3307561</v>
      </c>
      <c r="J481" s="24" t="n">
        <v>21064.19444834439</v>
      </c>
      <c r="K481" s="24" t="n">
        <v>83270025.58090843</v>
      </c>
      <c r="L481" s="22">
        <f>SUM(F481:K481)</f>
        <v/>
      </c>
      <c r="M481" s="22">
        <f>Z481/(1-R481)</f>
        <v/>
      </c>
      <c r="N481" s="11" t="n">
        <v>83122.60874899758</v>
      </c>
      <c r="O481" s="11" t="n">
        <v>46563</v>
      </c>
      <c r="P481" s="11" t="n"/>
      <c r="Q481" s="22">
        <f>M481+N481+O481+P481</f>
        <v/>
      </c>
      <c r="R481" s="12" t="n">
        <v>0.01</v>
      </c>
      <c r="S481" s="22">
        <f>M481*R481</f>
        <v/>
      </c>
      <c r="T481" s="22">
        <f>N481*R481</f>
        <v/>
      </c>
      <c r="U481" s="22">
        <f>(O481-V481)*R481</f>
        <v/>
      </c>
      <c r="V481" s="11" t="n">
        <v>11290</v>
      </c>
      <c r="W481" s="11" t="n">
        <v>27973.61684100012</v>
      </c>
      <c r="X481" s="22">
        <f>S481+T481+U481+V481+W481</f>
        <v/>
      </c>
      <c r="Y481" s="11" t="n">
        <v>105025.6897</v>
      </c>
      <c r="Z481" s="22">
        <f>AE481-AB481-AA481-AC481</f>
        <v/>
      </c>
      <c r="AA481" s="22">
        <f>N481-T481-W481</f>
        <v/>
      </c>
      <c r="AB481" s="22">
        <f>O481-V481-U481</f>
        <v/>
      </c>
      <c r="AC481" s="22">
        <f>P481</f>
        <v/>
      </c>
      <c r="AD481" s="23">
        <f>Z481+AA481+AB481+AC481</f>
        <v/>
      </c>
      <c r="AE481" s="11" t="n">
        <v>1226196.43</v>
      </c>
      <c r="AF481" s="24">
        <f>AD481-AE481</f>
        <v/>
      </c>
      <c r="AG481" s="13">
        <f>IF(OR(B481="",B481=0,M481=""),"",M481/B481*10000)</f>
        <v/>
      </c>
      <c r="AH481" s="13">
        <f>IF(OR(C481="",C481=0),"",N481/C481*10000)</f>
        <v/>
      </c>
      <c r="AI481" s="13">
        <f>IF(OR(D481="",D481=0),"",O481/D481*10000)</f>
        <v/>
      </c>
      <c r="AJ481" s="11" t="n">
        <v>8939.900559362892</v>
      </c>
      <c r="AK481" s="11" t="n">
        <v>0</v>
      </c>
      <c r="AL481" s="22">
        <f>AE481+AJ481+AK481</f>
        <v/>
      </c>
      <c r="AM481" s="22">
        <f>AE481</f>
        <v/>
      </c>
      <c r="AN481" s="14" t="n">
        <v>31939.5</v>
      </c>
      <c r="AO481" s="15" t="n">
        <v>38.391222</v>
      </c>
      <c r="AP481" s="14" t="n">
        <v>42472662.50255512</v>
      </c>
      <c r="AQ481" s="14" t="n">
        <v>26473.247</v>
      </c>
      <c r="AR481" s="14" t="n">
        <v>166.6936</v>
      </c>
      <c r="AS481" s="14" t="n"/>
      <c r="AT481" s="16" t="n">
        <v>434.152370643411</v>
      </c>
      <c r="AU481" s="17" t="n">
        <v>0.021403212</v>
      </c>
      <c r="AV481" s="14" t="n">
        <v>416275557.6113</v>
      </c>
      <c r="AW481" s="18" t="n">
        <v>60100000</v>
      </c>
      <c r="AX481" s="19" t="n">
        <v>42472662.50255512</v>
      </c>
      <c r="AY481" s="18" t="n">
        <v>3100000</v>
      </c>
      <c r="AZ481" s="18">
        <f>1000000000-999275734.2543</f>
        <v/>
      </c>
      <c r="BA481" s="20">
        <f>1000000000-AV481-AW481-AX481-AY481-AZ481</f>
        <v/>
      </c>
      <c r="BB481" s="21" t="n">
        <v>241.714938</v>
      </c>
      <c r="BC481" s="21">
        <f>BA481/1000000-BB481</f>
        <v/>
      </c>
      <c r="BD481" s="22">
        <f>BA481*39.37</f>
        <v/>
      </c>
    </row>
    <row r="482">
      <c r="A482" s="10" t="n">
        <v>46104</v>
      </c>
      <c r="B482" s="11" t="n">
        <v>6528274119.144862</v>
      </c>
      <c r="C482" s="11" t="n">
        <v>5939022744.342738</v>
      </c>
      <c r="D482" s="11" t="n">
        <v>238315622</v>
      </c>
      <c r="E482" s="11" t="n"/>
      <c r="F482" s="24" t="n">
        <v>4488418246.927802</v>
      </c>
      <c r="G482" s="24" t="n">
        <v>39219571.75976363</v>
      </c>
      <c r="H482" s="24" t="n">
        <v>21349583.3859879</v>
      </c>
      <c r="I482" s="24" t="n">
        <v>874648623.7458395</v>
      </c>
      <c r="J482" s="24" t="n">
        <v>115275.363804781</v>
      </c>
      <c r="K482" s="24" t="n">
        <v>515271443.1595412</v>
      </c>
      <c r="L482" s="22">
        <f>SUM(F482:K482)</f>
        <v/>
      </c>
      <c r="M482" s="22">
        <f>Z482/(1-R482)</f>
        <v/>
      </c>
      <c r="N482" s="11" t="n">
        <v>377851.9636789946</v>
      </c>
      <c r="O482" s="11" t="n">
        <v>112724</v>
      </c>
      <c r="P482" s="11" t="n"/>
      <c r="Q482" s="22">
        <f>M482+N482+O482+P482</f>
        <v/>
      </c>
      <c r="R482" s="12" t="n">
        <v>0.01</v>
      </c>
      <c r="S482" s="22">
        <f>M482*R482</f>
        <v/>
      </c>
      <c r="T482" s="22">
        <f>N482*R482</f>
        <v/>
      </c>
      <c r="U482" s="22">
        <f>(O482-V482)*R482</f>
        <v/>
      </c>
      <c r="V482" s="11" t="n">
        <v>19560</v>
      </c>
      <c r="W482" s="11" t="n">
        <v>153142.0899569986</v>
      </c>
      <c r="X482" s="22">
        <f>S482+T482+U482+V482+W482</f>
        <v/>
      </c>
      <c r="Y482" s="11" t="n">
        <v>180785.1138</v>
      </c>
      <c r="Z482" s="22">
        <f>AE482-AB482-AA482-AC482</f>
        <v/>
      </c>
      <c r="AA482" s="22">
        <f>N482-T482-W482</f>
        <v/>
      </c>
      <c r="AB482" s="22">
        <f>O482-V482-U482</f>
        <v/>
      </c>
      <c r="AC482" s="22">
        <f>P482</f>
        <v/>
      </c>
      <c r="AD482" s="23">
        <f>Z482+AA482+AB482+AC482</f>
        <v/>
      </c>
      <c r="AE482" s="11" t="n">
        <v>2320660.87</v>
      </c>
      <c r="AF482" s="24">
        <f>AD482-AE482</f>
        <v/>
      </c>
      <c r="AG482" s="13">
        <f>IF(OR(B482="",B482=0,M482=""),"",M482/B482*10000)</f>
        <v/>
      </c>
      <c r="AH482" s="13">
        <f>IF(OR(C482="",C482=0),"",N482/C482*10000)</f>
        <v/>
      </c>
      <c r="AI482" s="13">
        <f>IF(OR(D482="",D482=0),"",O482/D482*10000)</f>
        <v/>
      </c>
      <c r="AJ482" s="11" t="n">
        <v>26925.80792680451</v>
      </c>
      <c r="AK482" s="11" t="n">
        <v>0</v>
      </c>
      <c r="AL482" s="22">
        <f>AE482+AJ482+AK482</f>
        <v/>
      </c>
      <c r="AM482" s="22">
        <f>AE482</f>
        <v/>
      </c>
      <c r="AN482" s="14" t="n">
        <v>61301.8</v>
      </c>
      <c r="AO482" s="15" t="n">
        <v>37.856325</v>
      </c>
      <c r="AP482" s="14" t="n">
        <v>42533972.38255512</v>
      </c>
      <c r="AQ482" s="14" t="n">
        <v>26478.5054</v>
      </c>
      <c r="AR482" s="14" t="n">
        <v>229.8099</v>
      </c>
      <c r="AS482" s="14" t="n"/>
      <c r="AT482" s="16" t="n">
        <v>434.0927156748726</v>
      </c>
      <c r="AU482" s="17" t="n">
        <v>0.0214046656</v>
      </c>
      <c r="AV482" s="14" t="n">
        <v>416249079.1059</v>
      </c>
      <c r="AW482" s="18" t="n">
        <v>60100000</v>
      </c>
      <c r="AX482" s="19" t="n">
        <v>42533972.38255512</v>
      </c>
      <c r="AY482" s="18" t="n">
        <v>3100000</v>
      </c>
      <c r="AZ482" s="18">
        <f>1000000000-999275504.4443</f>
        <v/>
      </c>
      <c r="BA482" s="20">
        <f>1000000000-AV482-AW482-AX482-AY482-AZ482</f>
        <v/>
      </c>
      <c r="BB482" s="21" t="n">
        <v>241.714938</v>
      </c>
      <c r="BC482" s="21">
        <f>BA482/1000000-BB482</f>
        <v/>
      </c>
      <c r="BD482" s="22">
        <f>BA482*37.87</f>
        <v/>
      </c>
    </row>
    <row r="483">
      <c r="A483" s="10" t="n">
        <v>46105</v>
      </c>
      <c r="B483" s="11" t="n">
        <v>4634462334.582295</v>
      </c>
      <c r="C483" s="11" t="n">
        <v>3469124699.012689</v>
      </c>
      <c r="D483" s="11" t="n">
        <v>115812748</v>
      </c>
      <c r="E483" s="11" t="n"/>
      <c r="F483" s="24" t="n">
        <v>2359069739.358587</v>
      </c>
      <c r="G483" s="24" t="n">
        <v>26110499.90609226</v>
      </c>
      <c r="H483" s="24" t="n">
        <v>21481651.52933696</v>
      </c>
      <c r="I483" s="24" t="n">
        <v>674290820.9163129</v>
      </c>
      <c r="J483" s="24" t="n">
        <v>49640.45732834266</v>
      </c>
      <c r="K483" s="24" t="n">
        <v>388122346.8450313</v>
      </c>
      <c r="L483" s="22">
        <f>SUM(F483:K483)</f>
        <v/>
      </c>
      <c r="M483" s="22">
        <f>Z483/(1-R483)</f>
        <v/>
      </c>
      <c r="N483" s="11" t="n">
        <v>214719.495523004</v>
      </c>
      <c r="O483" s="11" t="n">
        <v>57914</v>
      </c>
      <c r="P483" s="11" t="n"/>
      <c r="Q483" s="22">
        <f>M483+N483+O483+P483</f>
        <v/>
      </c>
      <c r="R483" s="12" t="n">
        <v>0.01</v>
      </c>
      <c r="S483" s="22">
        <f>M483*R483</f>
        <v/>
      </c>
      <c r="T483" s="22">
        <f>N483*R483</f>
        <v/>
      </c>
      <c r="U483" s="22">
        <f>(O483-V483)*R483</f>
        <v/>
      </c>
      <c r="V483" s="11" t="n">
        <v>10746</v>
      </c>
      <c r="W483" s="11" t="n">
        <v>84331.1710209992</v>
      </c>
      <c r="X483" s="22">
        <f>S483+T483+U483+V483+W483</f>
        <v/>
      </c>
      <c r="Y483" s="11" t="n">
        <v>126880.5763</v>
      </c>
      <c r="Z483" s="22">
        <f>AE483-AB483-AA483-AC483</f>
        <v/>
      </c>
      <c r="AA483" s="22">
        <f>N483-T483-W483</f>
        <v/>
      </c>
      <c r="AB483" s="22">
        <f>O483-V483-U483</f>
        <v/>
      </c>
      <c r="AC483" s="22">
        <f>P483</f>
        <v/>
      </c>
      <c r="AD483" s="23">
        <f>Z483+AA483+AB483+AC483</f>
        <v/>
      </c>
      <c r="AE483" s="11" t="n">
        <v>1474551.66</v>
      </c>
      <c r="AF483" s="24">
        <f>AD483-AE483</f>
        <v/>
      </c>
      <c r="AG483" s="13">
        <f>IF(OR(B483="",B483=0,M483=""),"",M483/B483*10000)</f>
        <v/>
      </c>
      <c r="AH483" s="13">
        <f>IF(OR(C483="",C483=0),"",N483/C483*10000)</f>
        <v/>
      </c>
      <c r="AI483" s="13">
        <f>IF(OR(D483="",D483=0),"",O483/D483*10000)</f>
        <v/>
      </c>
      <c r="AJ483" s="11" t="n">
        <v>12817.79610248204</v>
      </c>
      <c r="AK483" s="11" t="n">
        <v>18599.6</v>
      </c>
      <c r="AL483" s="22">
        <f>AE483+AJ483+AK483</f>
        <v/>
      </c>
      <c r="AM483" s="22">
        <f>AE483</f>
        <v/>
      </c>
      <c r="AN483" s="14" t="n">
        <v>38003.95</v>
      </c>
      <c r="AO483" s="15" t="n">
        <v>38.799958</v>
      </c>
      <c r="AP483" s="14" t="n">
        <v>42571128.28255512</v>
      </c>
      <c r="AQ483" s="14" t="n">
        <v>26477.2033</v>
      </c>
      <c r="AR483" s="14" t="n">
        <v>1259.6123</v>
      </c>
      <c r="AS483" s="14" t="n"/>
      <c r="AT483" s="16" t="n">
        <v>433.9352894441757</v>
      </c>
      <c r="AU483" s="17" t="n">
        <v>0.0214085033</v>
      </c>
      <c r="AV483" s="14" t="n">
        <v>416222601.9027</v>
      </c>
      <c r="AW483" s="18" t="n">
        <v>60100000</v>
      </c>
      <c r="AX483" s="19" t="n">
        <v>42571128.28255512</v>
      </c>
      <c r="AY483" s="18" t="n">
        <v>3100000</v>
      </c>
      <c r="AZ483" s="18">
        <f>1000000000-999274244.832</f>
        <v/>
      </c>
      <c r="BA483" s="20">
        <f>1000000000-AV483-AW483-AX483-AY483-AZ483</f>
        <v/>
      </c>
      <c r="BB483" s="21" t="n">
        <v>241.714938</v>
      </c>
      <c r="BC483" s="21">
        <f>BA483/1000000-BB483</f>
        <v/>
      </c>
      <c r="BD483" s="22">
        <f>BA483*37.57</f>
        <v/>
      </c>
    </row>
    <row r="484">
      <c r="A484" s="10" t="n">
        <v>46106</v>
      </c>
      <c r="B484" s="11" t="n">
        <v>4593017614.552328</v>
      </c>
      <c r="C484" s="11" t="n">
        <v>2544010665.063923</v>
      </c>
      <c r="D484" s="11" t="n">
        <v>91591642</v>
      </c>
      <c r="E484" s="11" t="n"/>
      <c r="F484" s="24" t="n">
        <v>1662937128.331033</v>
      </c>
      <c r="G484" s="24" t="n">
        <v>25333012.01184934</v>
      </c>
      <c r="H484" s="24" t="n">
        <v>23623241.20137601</v>
      </c>
      <c r="I484" s="24" t="n">
        <v>472810018.5537137</v>
      </c>
      <c r="J484" s="24" t="n">
        <v>208395.941905507</v>
      </c>
      <c r="K484" s="24" t="n">
        <v>359098869.0240455</v>
      </c>
      <c r="L484" s="22">
        <f>SUM(F484:K484)</f>
        <v/>
      </c>
      <c r="M484" s="22">
        <f>Z484/(1-R484)</f>
        <v/>
      </c>
      <c r="N484" s="11" t="n">
        <v>146699.0119769977</v>
      </c>
      <c r="O484" s="11" t="n">
        <v>46508</v>
      </c>
      <c r="P484" s="11" t="n"/>
      <c r="Q484" s="22">
        <f>M484+N484+O484+P484</f>
        <v/>
      </c>
      <c r="R484" s="12" t="n">
        <v>0.01</v>
      </c>
      <c r="S484" s="22">
        <f>M484*R484</f>
        <v/>
      </c>
      <c r="T484" s="22">
        <f>N484*R484</f>
        <v/>
      </c>
      <c r="U484" s="22">
        <f>(O484-V484)*R484</f>
        <v/>
      </c>
      <c r="V484" s="11" t="n">
        <v>7982</v>
      </c>
      <c r="W484" s="11" t="n">
        <v>51842.51142199984</v>
      </c>
      <c r="X484" s="22">
        <f>S484+T484+U484+V484+W484</f>
        <v/>
      </c>
      <c r="Y484" s="11" t="n">
        <v>123391.6572</v>
      </c>
      <c r="Z484" s="22">
        <f>AE484-AB484-AA484-AC484</f>
        <v/>
      </c>
      <c r="AA484" s="22">
        <f>N484-T484-W484</f>
        <v/>
      </c>
      <c r="AB484" s="22">
        <f>O484-V484-U484</f>
        <v/>
      </c>
      <c r="AC484" s="22">
        <f>P484</f>
        <v/>
      </c>
      <c r="AD484" s="23">
        <f>Z484+AA484+AB484+AC484</f>
        <v/>
      </c>
      <c r="AE484" s="11" t="n">
        <v>1489905.01</v>
      </c>
      <c r="AF484" s="24">
        <f>AD484-AE484</f>
        <v/>
      </c>
      <c r="AG484" s="13">
        <f>IF(OR(B484="",B484=0,M484=""),"",M484/B484*10000)</f>
        <v/>
      </c>
      <c r="AH484" s="13">
        <f>IF(OR(C484="",C484=0),"",N484/C484*10000)</f>
        <v/>
      </c>
      <c r="AI484" s="13">
        <f>IF(OR(D484="",D484=0),"",O484/D484*10000)</f>
        <v/>
      </c>
      <c r="AJ484" s="11" t="n">
        <v>8814.31290329727</v>
      </c>
      <c r="AK484" s="11" t="n">
        <v>0</v>
      </c>
      <c r="AL484" s="22">
        <f>AE484+AJ484+AK484</f>
        <v/>
      </c>
      <c r="AM484" s="22">
        <f>AE484</f>
        <v/>
      </c>
      <c r="AN484" s="14" t="n">
        <v>36745.44</v>
      </c>
      <c r="AO484" s="15" t="n">
        <v>40.546664</v>
      </c>
      <c r="AP484" s="14" t="n">
        <v>42608216.20255512</v>
      </c>
      <c r="AQ484" s="14" t="n">
        <v>26474.6328</v>
      </c>
      <c r="AR484" s="14" t="n">
        <v>1004.2188</v>
      </c>
      <c r="AS484" s="14" t="n"/>
      <c r="AT484" s="16" t="n">
        <v>434.0252418075709</v>
      </c>
      <c r="AU484" s="17" t="n">
        <v>0.0214063102</v>
      </c>
      <c r="AV484" s="14" t="n">
        <v>416196127.2698</v>
      </c>
      <c r="AW484" s="18" t="n">
        <v>60100000</v>
      </c>
      <c r="AX484" s="19" t="n">
        <v>42608216.20255512</v>
      </c>
      <c r="AY484" s="18" t="n">
        <v>3100000</v>
      </c>
      <c r="AZ484" s="18">
        <f>1000000000-999273240.6132</f>
        <v/>
      </c>
      <c r="BA484" s="20">
        <f>1000000000-AV484-AW484-AX484-AY484-AZ484</f>
        <v/>
      </c>
      <c r="BB484" s="21" t="n">
        <v>241.714938</v>
      </c>
      <c r="BC484" s="21">
        <f>BA484/1000000-BB484</f>
        <v/>
      </c>
      <c r="BD484" s="22">
        <f>BA484*40.66</f>
        <v/>
      </c>
    </row>
    <row r="485">
      <c r="A485" s="10" t="n">
        <v>46107</v>
      </c>
      <c r="B485" s="11" t="n">
        <v>4468778030.340717</v>
      </c>
      <c r="C485" s="11" t="n">
        <v>2413494092.542288</v>
      </c>
      <c r="D485" s="11" t="n">
        <v>101819543</v>
      </c>
      <c r="E485" s="11" t="n"/>
      <c r="F485" s="24" t="n">
        <v>1594926252.559997</v>
      </c>
      <c r="G485" s="24" t="n">
        <v>22729059.60655171</v>
      </c>
      <c r="H485" s="24" t="n">
        <v>27352760.98349387</v>
      </c>
      <c r="I485" s="24" t="n">
        <v>460467625.4274387</v>
      </c>
      <c r="J485" s="24" t="n">
        <v>134400.7842056461</v>
      </c>
      <c r="K485" s="24" t="n">
        <v>307883993.1806006</v>
      </c>
      <c r="L485" s="22">
        <f>SUM(F485:K485)</f>
        <v/>
      </c>
      <c r="M485" s="22">
        <f>Z485/(1-R485)</f>
        <v/>
      </c>
      <c r="N485" s="11" t="n">
        <v>146611.4550709949</v>
      </c>
      <c r="O485" s="11" t="n">
        <v>52042</v>
      </c>
      <c r="P485" s="11" t="n"/>
      <c r="Q485" s="22">
        <f>M485+N485+O485+P485</f>
        <v/>
      </c>
      <c r="R485" s="12" t="n">
        <v>0.01</v>
      </c>
      <c r="S485" s="22">
        <f>M485*R485</f>
        <v/>
      </c>
      <c r="T485" s="22">
        <f>N485*R485</f>
        <v/>
      </c>
      <c r="U485" s="22">
        <f>(O485-V485)*R485</f>
        <v/>
      </c>
      <c r="V485" s="11" t="n">
        <v>13459</v>
      </c>
      <c r="W485" s="11" t="n">
        <v>49013.60643599748</v>
      </c>
      <c r="X485" s="22">
        <f>S485+T485+U485+V485+W485</f>
        <v/>
      </c>
      <c r="Y485" s="11" t="n">
        <v>132859.2089</v>
      </c>
      <c r="Z485" s="22">
        <f>AE485-AB485-AA485-AC485</f>
        <v/>
      </c>
      <c r="AA485" s="22">
        <f>N485-T485-W485</f>
        <v/>
      </c>
      <c r="AB485" s="22">
        <f>O485-V485-U485</f>
        <v/>
      </c>
      <c r="AC485" s="22">
        <f>P485</f>
        <v/>
      </c>
      <c r="AD485" s="23">
        <f>Z485+AA485+AB485+AC485</f>
        <v/>
      </c>
      <c r="AE485" s="11" t="n">
        <v>1376153.56</v>
      </c>
      <c r="AF485" s="24">
        <f>AD485-AE485</f>
        <v/>
      </c>
      <c r="AG485" s="13">
        <f>IF(OR(B485="",B485=0,M485=""),"",M485/B485*10000)</f>
        <v/>
      </c>
      <c r="AH485" s="13">
        <f>IF(OR(C485="",C485=0),"",N485/C485*10000)</f>
        <v/>
      </c>
      <c r="AI485" s="13">
        <f>IF(OR(D485="",D485=0),"",O485/D485*10000)</f>
        <v/>
      </c>
      <c r="AJ485" s="11" t="n">
        <v>7089.566958894238</v>
      </c>
      <c r="AK485" s="11" t="n">
        <v>20132.06</v>
      </c>
      <c r="AL485" s="22">
        <f>AE485+AJ485+AK485</f>
        <v/>
      </c>
      <c r="AM485" s="22">
        <f>AE485</f>
        <v/>
      </c>
      <c r="AN485" s="14" t="n">
        <v>35190.32</v>
      </c>
      <c r="AO485" s="15" t="n">
        <v>39.106026</v>
      </c>
      <c r="AP485" s="14" t="n">
        <v>42643822.48255512</v>
      </c>
      <c r="AQ485" s="14" t="n">
        <v>26439.4326</v>
      </c>
      <c r="AR485" s="14" t="n">
        <v>798.0862</v>
      </c>
      <c r="AS485" s="14" t="n"/>
      <c r="AT485" s="16" t="n">
        <v>434.3915396812293</v>
      </c>
      <c r="AU485" s="17" t="n">
        <v>0.0213973868</v>
      </c>
      <c r="AV485" s="14" t="n">
        <v>416169687.8373</v>
      </c>
      <c r="AW485" s="18" t="n">
        <v>60100000</v>
      </c>
      <c r="AX485" s="19" t="n">
        <v>42643822.48255512</v>
      </c>
      <c r="AY485" s="18" t="n">
        <v>3100000</v>
      </c>
      <c r="AZ485" s="18">
        <f>1000000000-999272442.5271</f>
        <v/>
      </c>
      <c r="BA485" s="20">
        <f>1000000000-AV485-AW485-AX485-AY485-AZ485</f>
        <v/>
      </c>
      <c r="BB485" s="21" t="n">
        <v>241.714938</v>
      </c>
      <c r="BC485" s="21">
        <f>BA485/1000000-BB485</f>
        <v/>
      </c>
      <c r="BD485" s="22">
        <f>BA485*40.2</f>
        <v/>
      </c>
    </row>
    <row r="486">
      <c r="A486" s="10" t="n">
        <v>46108</v>
      </c>
      <c r="B486" s="11" t="n">
        <v>4075325102.948778</v>
      </c>
      <c r="C486" s="11" t="n">
        <v>2331741264.10743</v>
      </c>
      <c r="D486" s="11" t="n">
        <v>120863991</v>
      </c>
      <c r="E486" s="11" t="n"/>
      <c r="F486" s="24" t="n">
        <v>1409690525.149344</v>
      </c>
      <c r="G486" s="24" t="n">
        <v>23975174.12179544</v>
      </c>
      <c r="H486" s="24" t="n">
        <v>30244239.34209212</v>
      </c>
      <c r="I486" s="24" t="n">
        <v>478138586.3492612</v>
      </c>
      <c r="J486" s="24" t="n">
        <v>180024.2865639048</v>
      </c>
      <c r="K486" s="24" t="n">
        <v>389512714.8583742</v>
      </c>
      <c r="L486" s="22">
        <f>SUM(F486:K486)</f>
        <v/>
      </c>
      <c r="M486" s="22">
        <f>Z486/(1-R486)</f>
        <v/>
      </c>
      <c r="N486" s="11" t="n">
        <v>161694.1994109977</v>
      </c>
      <c r="O486" s="11" t="n">
        <v>56514</v>
      </c>
      <c r="P486" s="11" t="n"/>
      <c r="Q486" s="22">
        <f>M486+N486+O486+P486</f>
        <v/>
      </c>
      <c r="R486" s="12" t="n">
        <v>0.01</v>
      </c>
      <c r="S486" s="22">
        <f>M486*R486</f>
        <v/>
      </c>
      <c r="T486" s="22">
        <f>N486*R486</f>
        <v/>
      </c>
      <c r="U486" s="22">
        <f>(O486-V486)*R486</f>
        <v/>
      </c>
      <c r="V486" s="11" t="n">
        <v>15426</v>
      </c>
      <c r="W486" s="11" t="n">
        <v>52842.17345000149</v>
      </c>
      <c r="X486" s="22">
        <f>S486+T486+U486+V486+W486</f>
        <v/>
      </c>
      <c r="Y486" s="11" t="n">
        <v>161854.7043</v>
      </c>
      <c r="Z486" s="22">
        <f>AE486-AB486-AA486-AC486</f>
        <v/>
      </c>
      <c r="AA486" s="22">
        <f>N486-T486-W486</f>
        <v/>
      </c>
      <c r="AB486" s="22">
        <f>O486-V486-U486</f>
        <v/>
      </c>
      <c r="AC486" s="22">
        <f>P486</f>
        <v/>
      </c>
      <c r="AD486" s="23">
        <f>Z486+AA486+AB486+AC486</f>
        <v/>
      </c>
      <c r="AE486" s="11" t="n">
        <v>1328434.1</v>
      </c>
      <c r="AF486" s="24">
        <f>AD486-AE486</f>
        <v/>
      </c>
      <c r="AG486" s="13">
        <f>IF(OR(B486="",B486=0,M486=""),"",M486/B486*10000)</f>
        <v/>
      </c>
      <c r="AH486" s="13">
        <f>IF(OR(C486="",C486=0),"",N486/C486*10000)</f>
        <v/>
      </c>
      <c r="AI486" s="13">
        <f>IF(OR(D486="",D486=0),"",O486/D486*10000)</f>
        <v/>
      </c>
      <c r="AJ486" s="11" t="n">
        <v>7081.633351007457</v>
      </c>
      <c r="AK486" s="11" t="n">
        <v>0</v>
      </c>
      <c r="AL486" s="22">
        <f>AE486+AJ486+AK486</f>
        <v/>
      </c>
      <c r="AM486" s="22">
        <f>AE486</f>
        <v/>
      </c>
      <c r="AN486" s="14" t="n">
        <v>34495.71</v>
      </c>
      <c r="AO486" s="15" t="n">
        <v>38.510125</v>
      </c>
      <c r="AP486" s="14" t="n">
        <v>42678566.08255512</v>
      </c>
      <c r="AQ486" s="14" t="n">
        <v>26488.8466</v>
      </c>
      <c r="AR486" s="14" t="n">
        <v>1296.0589</v>
      </c>
      <c r="AS486" s="14" t="n"/>
      <c r="AT486" s="16" t="n">
        <v>434.3931739432238</v>
      </c>
      <c r="AU486" s="17" t="n">
        <v>0.0213973471</v>
      </c>
      <c r="AV486" s="14" t="n">
        <v>416143198.9907</v>
      </c>
      <c r="AW486" s="18" t="n">
        <v>60100000</v>
      </c>
      <c r="AX486" s="19" t="n">
        <v>42678566.08255512</v>
      </c>
      <c r="AY486" s="18" t="n">
        <v>3100000</v>
      </c>
      <c r="AZ486" s="18">
        <f>1000000000-999271146.4682</f>
        <v/>
      </c>
      <c r="BA486" s="20">
        <f>1000000000-AV486-AW486-AX486-AY486-AZ486</f>
        <v/>
      </c>
      <c r="BB486" s="21" t="n">
        <v>241.714938</v>
      </c>
      <c r="BC486" s="21">
        <f>BA486/1000000-BB486</f>
        <v/>
      </c>
      <c r="BD486" s="22">
        <f>BA486*39.13</f>
        <v/>
      </c>
    </row>
    <row r="487">
      <c r="A487" s="10" t="n">
        <v>46109</v>
      </c>
      <c r="B487" s="11" t="n">
        <v>2011935236.653506</v>
      </c>
      <c r="C487" s="11" t="n">
        <v>386148347.183842</v>
      </c>
      <c r="D487" s="11" t="n">
        <v>74599473</v>
      </c>
      <c r="E487" s="11" t="n"/>
      <c r="F487" s="24" t="n">
        <v>223848024.1851752</v>
      </c>
      <c r="G487" s="24" t="n">
        <v>11964570.89778315</v>
      </c>
      <c r="H487" s="24" t="n">
        <v>24294725.82376305</v>
      </c>
      <c r="I487" s="24" t="n">
        <v>72279981.72313549</v>
      </c>
      <c r="J487" s="24" t="n">
        <v>48195.66238933462</v>
      </c>
      <c r="K487" s="24" t="n">
        <v>53712848.89159579</v>
      </c>
      <c r="L487" s="22">
        <f>SUM(F487:K487)</f>
        <v/>
      </c>
      <c r="M487" s="22">
        <f>Z487/(1-R487)</f>
        <v/>
      </c>
      <c r="N487" s="11" t="n">
        <v>38935.10266899963</v>
      </c>
      <c r="O487" s="11" t="n">
        <v>36535</v>
      </c>
      <c r="P487" s="11" t="n"/>
      <c r="Q487" s="22">
        <f>M487+N487+O487+P487</f>
        <v/>
      </c>
      <c r="R487" s="12" t="n">
        <v>0.01</v>
      </c>
      <c r="S487" s="22">
        <f>M487*R487</f>
        <v/>
      </c>
      <c r="T487" s="22">
        <f>N487*R487</f>
        <v/>
      </c>
      <c r="U487" s="22">
        <f>(O487-V487)*R487</f>
        <v/>
      </c>
      <c r="V487" s="11" t="n">
        <v>7974</v>
      </c>
      <c r="W487" s="11" t="n">
        <v>9377.786881000578</v>
      </c>
      <c r="X487" s="22">
        <f>S487+T487+U487+V487+W487</f>
        <v/>
      </c>
      <c r="Y487" s="11" t="n">
        <v>67142.1142</v>
      </c>
      <c r="Z487" s="22">
        <f>AE487-AB487-AA487-AC487</f>
        <v/>
      </c>
      <c r="AA487" s="22">
        <f>N487-T487-W487</f>
        <v/>
      </c>
      <c r="AB487" s="22">
        <f>O487-V487-U487</f>
        <v/>
      </c>
      <c r="AC487" s="22">
        <f>P487</f>
        <v/>
      </c>
      <c r="AD487" s="23">
        <f>Z487+AA487+AB487+AC487</f>
        <v/>
      </c>
      <c r="AE487" s="11" t="n">
        <v>646955.66</v>
      </c>
      <c r="AF487" s="24">
        <f>AD487-AE487</f>
        <v/>
      </c>
      <c r="AG487" s="13">
        <f>IF(OR(B487="",B487=0,M487=""),"",M487/B487*10000)</f>
        <v/>
      </c>
      <c r="AH487" s="13">
        <f>IF(OR(C487="",C487=0),"",N487/C487*10000)</f>
        <v/>
      </c>
      <c r="AI487" s="13">
        <f>IF(OR(D487="",D487=0),"",O487/D487*10000)</f>
        <v/>
      </c>
      <c r="AJ487" s="11" t="n">
        <v>4089.846242555367</v>
      </c>
      <c r="AK487" s="11" t="n">
        <v>0</v>
      </c>
      <c r="AL487" s="22">
        <f>AE487+AJ487+AK487</f>
        <v/>
      </c>
      <c r="AM487" s="22">
        <f>AE487</f>
        <v/>
      </c>
      <c r="AN487" s="14" t="n">
        <v>16409.18</v>
      </c>
      <c r="AO487" s="15" t="n">
        <v>39.426446</v>
      </c>
      <c r="AP487" s="14" t="n">
        <v>42694298.92255512</v>
      </c>
      <c r="AQ487" s="14" t="n">
        <v>26478.2252</v>
      </c>
      <c r="AR487" s="14" t="n">
        <v>884.5664</v>
      </c>
      <c r="AS487" s="14" t="n"/>
      <c r="AT487" s="16" t="n">
        <v>434.4966852453123</v>
      </c>
      <c r="AU487" s="17" t="n">
        <v>0.0213948275</v>
      </c>
      <c r="AV487" s="14" t="n">
        <v>416116720.7654</v>
      </c>
      <c r="AW487" s="18" t="n">
        <v>60100000</v>
      </c>
      <c r="AX487" s="19" t="n">
        <v>42694298.92255512</v>
      </c>
      <c r="AY487" s="18" t="n">
        <v>3100000</v>
      </c>
      <c r="AZ487" s="18">
        <f>1000000000-999270261.9019</f>
        <v/>
      </c>
      <c r="BA487" s="20">
        <f>1000000000-AV487-AW487-AX487-AY487-AZ487</f>
        <v/>
      </c>
      <c r="BB487" s="21" t="n">
        <v>241.714938</v>
      </c>
      <c r="BC487" s="21">
        <f>BA487/1000000-BB487</f>
        <v/>
      </c>
      <c r="BD487" s="22">
        <f>BA487*38.08</f>
        <v/>
      </c>
    </row>
    <row r="488">
      <c r="A488" s="10" t="n">
        <v>46110</v>
      </c>
      <c r="B488" s="11" t="n">
        <v>2201144306.109097</v>
      </c>
      <c r="C488" s="11" t="n">
        <v>644708859.234061</v>
      </c>
      <c r="D488" s="11" t="n">
        <v>68340801</v>
      </c>
      <c r="E488" s="11" t="n"/>
      <c r="F488" s="24" t="n">
        <v>433329256.6348239</v>
      </c>
      <c r="G488" s="24" t="n">
        <v>16263860.88848723</v>
      </c>
      <c r="H488" s="24" t="n">
        <v>27210005.79586472</v>
      </c>
      <c r="I488" s="24" t="n">
        <v>127094156.3064273</v>
      </c>
      <c r="J488" s="24" t="n">
        <v>38602.76499643816</v>
      </c>
      <c r="K488" s="24" t="n">
        <v>40772976.84346139</v>
      </c>
      <c r="L488" s="22">
        <f>SUM(F488:K488)</f>
        <v/>
      </c>
      <c r="M488" s="22">
        <f>Z488/(1-R488)</f>
        <v/>
      </c>
      <c r="N488" s="11" t="n">
        <v>54280.95382299974</v>
      </c>
      <c r="O488" s="11" t="n">
        <v>31483</v>
      </c>
      <c r="P488" s="11" t="n"/>
      <c r="Q488" s="22">
        <f>M488+N488+O488+P488</f>
        <v/>
      </c>
      <c r="R488" s="12" t="n">
        <v>0.01</v>
      </c>
      <c r="S488" s="22">
        <f>M488*R488</f>
        <v/>
      </c>
      <c r="T488" s="22">
        <f>N488*R488</f>
        <v/>
      </c>
      <c r="U488" s="22">
        <f>(O488-V488)*R488</f>
        <v/>
      </c>
      <c r="V488" s="11" t="n">
        <v>6822</v>
      </c>
      <c r="W488" s="11" t="n">
        <v>15430.79088099996</v>
      </c>
      <c r="X488" s="22">
        <f>S488+T488+U488+V488+W488</f>
        <v/>
      </c>
      <c r="Y488" s="11" t="n">
        <v>75993.12179999999</v>
      </c>
      <c r="Z488" s="22">
        <f>AE488-AB488-AA488-AC488</f>
        <v/>
      </c>
      <c r="AA488" s="22">
        <f>N488-T488-W488</f>
        <v/>
      </c>
      <c r="AB488" s="22">
        <f>O488-V488-U488</f>
        <v/>
      </c>
      <c r="AC488" s="22">
        <f>P488</f>
        <v/>
      </c>
      <c r="AD488" s="23">
        <f>Z488+AA488+AB488+AC488</f>
        <v/>
      </c>
      <c r="AE488" s="11" t="n">
        <v>700025.42</v>
      </c>
      <c r="AF488" s="24">
        <f>AD488-AE488</f>
        <v/>
      </c>
      <c r="AG488" s="13">
        <f>IF(OR(B488="",B488=0,M488=""),"",M488/B488*10000)</f>
        <v/>
      </c>
      <c r="AH488" s="13">
        <f>IF(OR(C488="",C488=0),"",N488/C488*10000)</f>
        <v/>
      </c>
      <c r="AI488" s="13">
        <f>IF(OR(D488="",D488=0),"",O488/D488*10000)</f>
        <v/>
      </c>
      <c r="AJ488" s="11" t="n">
        <v>4275.559562977322</v>
      </c>
      <c r="AK488" s="11" t="n">
        <v>19737.21</v>
      </c>
      <c r="AL488" s="22">
        <f>AE488+AJ488+AK488</f>
        <v/>
      </c>
      <c r="AM488" s="22">
        <f>AE488</f>
        <v/>
      </c>
      <c r="AN488" s="14" t="n">
        <v>18038.83</v>
      </c>
      <c r="AO488" s="15" t="n">
        <v>38.806587</v>
      </c>
      <c r="AP488" s="14" t="n">
        <v>42712619.23255512</v>
      </c>
      <c r="AQ488" s="14" t="n">
        <v>26489.1993</v>
      </c>
      <c r="AR488" s="14" t="n">
        <v>252.1519</v>
      </c>
      <c r="AS488" s="14" t="n"/>
      <c r="AT488" s="16" t="n">
        <v>434.4182951041072</v>
      </c>
      <c r="AU488" s="17" t="n">
        <v>0.0213967355</v>
      </c>
      <c r="AV488" s="14" t="n">
        <v>416090231.5661</v>
      </c>
      <c r="AW488" s="18" t="n">
        <v>60100000</v>
      </c>
      <c r="AX488" s="19" t="n">
        <v>42712619.23255512</v>
      </c>
      <c r="AY488" s="18" t="n">
        <v>3100000</v>
      </c>
      <c r="AZ488" s="18">
        <f>1000000000-999270009.7499</f>
        <v/>
      </c>
      <c r="BA488" s="20">
        <f>1000000000-AV488-AW488-AX488-AY488-AZ488</f>
        <v/>
      </c>
      <c r="BB488" s="21" t="n">
        <v>241.714938</v>
      </c>
      <c r="BC488" s="21">
        <f>BA488/1000000-BB488</f>
        <v/>
      </c>
      <c r="BD488" s="22">
        <f>BA488*39.45</f>
        <v/>
      </c>
    </row>
    <row r="489">
      <c r="A489" s="10" t="n">
        <v>46111</v>
      </c>
      <c r="B489" s="11" t="n">
        <v>3849875613.532469</v>
      </c>
      <c r="C489" s="11" t="n">
        <v>2297079677.813326</v>
      </c>
      <c r="D489" s="11" t="n">
        <v>110827708</v>
      </c>
      <c r="E489" s="11" t="n"/>
      <c r="F489" s="24" t="n">
        <v>1398937089.221202</v>
      </c>
      <c r="G489" s="24" t="n">
        <v>23666372.13433336</v>
      </c>
      <c r="H489" s="24" t="n">
        <v>28945770.69513484</v>
      </c>
      <c r="I489" s="24" t="n">
        <v>507944511.5952362</v>
      </c>
      <c r="J489" s="24" t="n">
        <v>236629.2492800367</v>
      </c>
      <c r="K489" s="24" t="n">
        <v>337349304.9181396</v>
      </c>
      <c r="L489" s="22">
        <f>SUM(F489:K489)</f>
        <v/>
      </c>
      <c r="M489" s="22">
        <f>Z489/(1-R489)</f>
        <v/>
      </c>
      <c r="N489" s="11" t="n">
        <v>119402.1418430009</v>
      </c>
      <c r="O489" s="11" t="n">
        <v>54539</v>
      </c>
      <c r="P489" s="11" t="n"/>
      <c r="Q489" s="22">
        <f>M489+N489+O489+P489</f>
        <v/>
      </c>
      <c r="R489" s="12" t="n">
        <v>0.01</v>
      </c>
      <c r="S489" s="22">
        <f>M489*R489</f>
        <v/>
      </c>
      <c r="T489" s="22">
        <f>N489*R489</f>
        <v/>
      </c>
      <c r="U489" s="22">
        <f>(O489-V489)*R489</f>
        <v/>
      </c>
      <c r="V489" s="11" t="n">
        <v>7040</v>
      </c>
      <c r="W489" s="11" t="n">
        <v>42371.7759799992</v>
      </c>
      <c r="X489" s="22">
        <f>S489+T489+U489+V489+W489</f>
        <v/>
      </c>
      <c r="Y489" s="11" t="n">
        <v>118670.9007</v>
      </c>
      <c r="Z489" s="22">
        <f>AE489-AB489-AA489-AC489</f>
        <v/>
      </c>
      <c r="AA489" s="22">
        <f>N489-T489-W489</f>
        <v/>
      </c>
      <c r="AB489" s="22">
        <f>O489-V489-U489</f>
        <v/>
      </c>
      <c r="AC489" s="22">
        <f>P489</f>
        <v/>
      </c>
      <c r="AD489" s="23">
        <f>Z489+AA489+AB489+AC489</f>
        <v/>
      </c>
      <c r="AE489" s="11" t="n">
        <v>1240450.63</v>
      </c>
      <c r="AF489" s="24">
        <f>AD489-AE489</f>
        <v/>
      </c>
      <c r="AG489" s="13">
        <f>IF(OR(B489="",B489=0,M489=""),"",M489/B489*10000)</f>
        <v/>
      </c>
      <c r="AH489" s="13">
        <f>IF(OR(C489="",C489=0),"",N489/C489*10000)</f>
        <v/>
      </c>
      <c r="AI489" s="13">
        <f>IF(OR(D489="",D489=0),"",O489/D489*10000)</f>
        <v/>
      </c>
      <c r="AJ489" s="11" t="n">
        <v>13433.30876071424</v>
      </c>
      <c r="AK489" s="11" t="n">
        <v>19945.95</v>
      </c>
      <c r="AL489" s="22">
        <f>AE489+AJ489+AK489</f>
        <v/>
      </c>
      <c r="AM489" s="22">
        <f>AE489</f>
        <v/>
      </c>
      <c r="AN489" s="14" t="n">
        <v>32787.89</v>
      </c>
      <c r="AO489" s="15" t="n">
        <v>37.832585</v>
      </c>
      <c r="AP489" s="14" t="n">
        <v>42745268.37255512</v>
      </c>
      <c r="AQ489" s="14" t="n">
        <v>26454.5544</v>
      </c>
      <c r="AR489" s="14" t="n">
        <v>1138.5131</v>
      </c>
      <c r="AS489" s="14" t="n"/>
      <c r="AT489" s="16" t="n">
        <v>434.4944501019287</v>
      </c>
      <c r="AU489" s="17" t="n">
        <v>0.0213948819</v>
      </c>
      <c r="AV489" s="14" t="n">
        <v>416063777.0118</v>
      </c>
      <c r="AW489" s="18" t="n">
        <v>60100000</v>
      </c>
      <c r="AX489" s="19" t="n">
        <v>42745268.37255512</v>
      </c>
      <c r="AY489" s="18" t="n">
        <v>3100000</v>
      </c>
      <c r="AZ489" s="18">
        <f>1000000000-999268871.2368</f>
        <v/>
      </c>
      <c r="BA489" s="20">
        <f>1000000000-AV489-AW489-AX489-AY489-AZ489</f>
        <v/>
      </c>
      <c r="BB489" s="21" t="n">
        <v>241.714938</v>
      </c>
      <c r="BC489" s="21">
        <f>BA489/1000000-BB489</f>
        <v/>
      </c>
      <c r="BD489" s="22">
        <f>BA489*38.38</f>
        <v/>
      </c>
    </row>
    <row r="490">
      <c r="A490" s="10" t="n">
        <v>46112</v>
      </c>
      <c r="B490" s="11" t="n">
        <v>6129298217.880945</v>
      </c>
      <c r="C490" s="11" t="n">
        <v>3631296643.790091</v>
      </c>
      <c r="D490" s="11" t="n">
        <v>133363888</v>
      </c>
      <c r="E490" s="11" t="n"/>
      <c r="F490" s="24" t="n">
        <v>2112593167.526942</v>
      </c>
      <c r="G490" s="24" t="n">
        <v>31888430.89200114</v>
      </c>
      <c r="H490" s="24" t="n">
        <v>22974044.66105426</v>
      </c>
      <c r="I490" s="24" t="n">
        <v>1024404884.628694</v>
      </c>
      <c r="J490" s="24" t="n">
        <v>86829.5611339077</v>
      </c>
      <c r="K490" s="24" t="n">
        <v>439349286.5202656</v>
      </c>
      <c r="L490" s="22">
        <f>SUM(F490:K490)</f>
        <v/>
      </c>
      <c r="M490" s="22">
        <f>Z490/(1-R490)</f>
        <v/>
      </c>
      <c r="N490" s="11" t="n">
        <v>184617.4762740048</v>
      </c>
      <c r="O490" s="11" t="n">
        <v>62621</v>
      </c>
      <c r="P490" s="11" t="n"/>
      <c r="Q490" s="22">
        <f>M490+N490+O490+P490</f>
        <v/>
      </c>
      <c r="R490" s="12" t="n">
        <v>0.01</v>
      </c>
      <c r="S490" s="22">
        <f>M490*R490</f>
        <v/>
      </c>
      <c r="T490" s="22">
        <f>N490*R490</f>
        <v/>
      </c>
      <c r="U490" s="22">
        <f>(O490-V490)*R490</f>
        <v/>
      </c>
      <c r="V490" s="11" t="n">
        <v>9989</v>
      </c>
      <c r="W490" s="11" t="n">
        <v>70753.07228000132</v>
      </c>
      <c r="X490" s="22">
        <f>S490+T490+U490+V490+W490</f>
        <v/>
      </c>
      <c r="Y490" s="11" t="n">
        <v>156840.6469</v>
      </c>
      <c r="Z490" s="22">
        <f>AE490-AB490-AA490-AC490</f>
        <v/>
      </c>
      <c r="AA490" s="22">
        <f>N490-T490-W490</f>
        <v/>
      </c>
      <c r="AB490" s="22">
        <f>O490-V490-U490</f>
        <v/>
      </c>
      <c r="AC490" s="22">
        <f>P490</f>
        <v/>
      </c>
      <c r="AD490" s="23">
        <f>Z490+AA490+AB490+AC490</f>
        <v/>
      </c>
      <c r="AE490" s="11" t="n">
        <v>1834915.22</v>
      </c>
      <c r="AF490" s="24">
        <f>AD490-AE490</f>
        <v/>
      </c>
      <c r="AG490" s="13">
        <f>IF(OR(B490="",B490=0,M490=""),"",M490/B490*10000)</f>
        <v/>
      </c>
      <c r="AH490" s="13">
        <f>IF(OR(C490="",C490=0),"",N490/C490*10000)</f>
        <v/>
      </c>
      <c r="AI490" s="13">
        <f>IF(OR(D490="",D490=0),"",O490/D490*10000)</f>
        <v/>
      </c>
      <c r="AJ490" s="11" t="n">
        <v>8633.906741899928</v>
      </c>
      <c r="AK490" s="11" t="n">
        <v>0</v>
      </c>
      <c r="AL490" s="22">
        <f>AE490+AJ490+AK490</f>
        <v/>
      </c>
      <c r="AM490" s="22">
        <f>AE490</f>
        <v/>
      </c>
      <c r="AN490" s="14" t="n">
        <v>50158.6</v>
      </c>
      <c r="AO490" s="15" t="n">
        <v>36.582265</v>
      </c>
      <c r="AP490" s="14" t="n">
        <v>42797054.99255512</v>
      </c>
      <c r="AQ490" s="14" t="n">
        <v>26387.6955</v>
      </c>
      <c r="AR490" s="14" t="n">
        <v>794.1036</v>
      </c>
      <c r="AS490" s="14" t="n"/>
      <c r="AT490" s="16" t="n">
        <v>434.6766307282575</v>
      </c>
      <c r="AU490" s="17" t="n">
        <v>0.0213904495</v>
      </c>
      <c r="AV490" s="14" t="n">
        <v>416037389.3162</v>
      </c>
      <c r="AW490" s="18" t="n">
        <v>60100000</v>
      </c>
      <c r="AX490" s="19" t="n">
        <v>42797054.99255512</v>
      </c>
      <c r="AY490" s="18" t="n">
        <v>3100000</v>
      </c>
      <c r="AZ490" s="18">
        <f>1000000000-999268077.1332</f>
        <v/>
      </c>
      <c r="BA490" s="20">
        <f>1000000000-AV490-AW490-AX490-AY490-AZ490</f>
        <v/>
      </c>
      <c r="BB490" s="21" t="n">
        <v>241.714938</v>
      </c>
      <c r="BC490" s="21">
        <f>BA490/1000000-BB490</f>
        <v/>
      </c>
      <c r="BD490" s="22">
        <f>BA490*36.85</f>
        <v/>
      </c>
    </row>
    <row r="491">
      <c r="A491" s="10" t="n">
        <v>46113</v>
      </c>
      <c r="B491" s="11" t="n">
        <v>5005313419.977071</v>
      </c>
      <c r="C491" s="11" t="n">
        <v>3215167234.753158</v>
      </c>
      <c r="D491" s="11" t="n">
        <v>96719004</v>
      </c>
      <c r="E491" s="11" t="n"/>
      <c r="F491" s="24" t="n">
        <v>2048990655.03757</v>
      </c>
      <c r="G491" s="24" t="n">
        <v>18696987.13230182</v>
      </c>
      <c r="H491" s="24" t="n">
        <v>25841381.55244302</v>
      </c>
      <c r="I491" s="24" t="n">
        <v>767026648.7858369</v>
      </c>
      <c r="J491" s="24" t="n">
        <v>79884.99782892069</v>
      </c>
      <c r="K491" s="24" t="n">
        <v>354531677.2471764</v>
      </c>
      <c r="L491" s="22">
        <f>SUM(F491:K491)</f>
        <v/>
      </c>
      <c r="M491" s="22">
        <f>Z491/(1-R491)</f>
        <v/>
      </c>
      <c r="N491" s="11" t="n">
        <v>171161.5736419973</v>
      </c>
      <c r="O491" s="11" t="n">
        <v>47354</v>
      </c>
      <c r="P491" s="11" t="n"/>
      <c r="Q491" s="22">
        <f>M491+N491+O491+P491</f>
        <v/>
      </c>
      <c r="R491" s="12" t="n">
        <v>0.01</v>
      </c>
      <c r="S491" s="22">
        <f>M491*R491</f>
        <v/>
      </c>
      <c r="T491" s="22">
        <f>N491*R491</f>
        <v/>
      </c>
      <c r="U491" s="22">
        <f>(O491-V491)*R491</f>
        <v/>
      </c>
      <c r="V491" s="11" t="n">
        <v>12602</v>
      </c>
      <c r="W491" s="11" t="n">
        <v>59464.7623309994</v>
      </c>
      <c r="X491" s="22">
        <f>S491+T491+U491+V491+W491</f>
        <v/>
      </c>
      <c r="Y491" s="11" t="n">
        <v>145503.2992</v>
      </c>
      <c r="Z491" s="22">
        <f>AE491-AB491-AA491-AC491</f>
        <v/>
      </c>
      <c r="AA491" s="22">
        <f>N491-T491-W491</f>
        <v/>
      </c>
      <c r="AB491" s="22">
        <f>O491-V491-U491</f>
        <v/>
      </c>
      <c r="AC491" s="22">
        <f>P491</f>
        <v/>
      </c>
      <c r="AD491" s="23">
        <f>Z491+AA491+AB491+AC491</f>
        <v/>
      </c>
      <c r="AE491" s="11" t="n">
        <v>1608560.48</v>
      </c>
      <c r="AF491" s="24">
        <f>AD491-AE491</f>
        <v/>
      </c>
      <c r="AG491" s="13">
        <f>IF(OR(B491="",B491=0,M491=""),"",M491/B491*10000)</f>
        <v/>
      </c>
      <c r="AH491" s="13">
        <f>IF(OR(C491="",C491=0),"",N491/C491*10000)</f>
        <v/>
      </c>
      <c r="AI491" s="13">
        <f>IF(OR(D491="",D491=0),"",O491/D491*10000)</f>
        <v/>
      </c>
      <c r="AJ491" s="11" t="n">
        <v>6777.793290454058</v>
      </c>
      <c r="AK491" s="11" t="n">
        <v>0</v>
      </c>
      <c r="AL491" s="22">
        <f>AE491+AJ491+AK491</f>
        <v/>
      </c>
      <c r="AM491" s="22">
        <f>AE491</f>
        <v/>
      </c>
      <c r="AN491" s="14" t="n">
        <v>43749.54</v>
      </c>
      <c r="AO491" s="15" t="n">
        <v>36.767483</v>
      </c>
      <c r="AP491" s="14" t="n">
        <v>42839299.65255512</v>
      </c>
      <c r="AQ491" s="14" t="n">
        <v>26478.4995</v>
      </c>
      <c r="AR491" s="14" t="n">
        <v>971.313</v>
      </c>
      <c r="AS491" s="14" t="n"/>
      <c r="AT491" s="16" t="n">
        <v>435.124449517345</v>
      </c>
      <c r="AU491" s="17" t="n">
        <v>0.0213795661</v>
      </c>
      <c r="AV491" s="14" t="n">
        <v>416010910.8168</v>
      </c>
      <c r="AW491" s="18" t="n">
        <v>60100000</v>
      </c>
      <c r="AX491" s="19" t="n">
        <v>42839299.65255512</v>
      </c>
      <c r="AY491" s="18" t="n">
        <v>3100000</v>
      </c>
      <c r="AZ491" s="18">
        <f>1000000000-999267105.8202</f>
        <v/>
      </c>
      <c r="BA491" s="20">
        <f>1000000000-AV491-AW491-AX491-AY491-AZ491</f>
        <v/>
      </c>
      <c r="BB491" s="21" t="n">
        <v>241.714938</v>
      </c>
      <c r="BC491" s="21">
        <f>BA491/1000000-BB491</f>
        <v/>
      </c>
      <c r="BD491" s="22">
        <f>BA491*36.5</f>
        <v/>
      </c>
    </row>
    <row r="492">
      <c r="A492" s="10" t="n">
        <v>46114</v>
      </c>
      <c r="B492" s="11" t="n">
        <v>5250502712.170612</v>
      </c>
      <c r="C492" s="11" t="n">
        <v>4284546571.725117</v>
      </c>
      <c r="D492" s="11" t="n">
        <v>119770724</v>
      </c>
      <c r="E492" s="11" t="n"/>
      <c r="F492" s="24" t="n">
        <v>2766759670.203016</v>
      </c>
      <c r="G492" s="24" t="n">
        <v>25769079.8365996</v>
      </c>
      <c r="H492" s="24" t="n">
        <v>25581478.77926909</v>
      </c>
      <c r="I492" s="24" t="n">
        <v>1047119575.375775</v>
      </c>
      <c r="J492" s="24" t="n">
        <v>212048.3838685201</v>
      </c>
      <c r="K492" s="24" t="n">
        <v>419104719.1465884</v>
      </c>
      <c r="L492" s="22">
        <f>SUM(F492:K492)</f>
        <v/>
      </c>
      <c r="M492" s="22">
        <f>Z492/(1-R492)</f>
        <v/>
      </c>
      <c r="N492" s="11" t="n">
        <v>256950.4583400019</v>
      </c>
      <c r="O492" s="11" t="n">
        <v>58823</v>
      </c>
      <c r="P492" s="11" t="n"/>
      <c r="Q492" s="22">
        <f>M492+N492+O492+P492</f>
        <v/>
      </c>
      <c r="R492" s="12" t="n">
        <v>0.01</v>
      </c>
      <c r="S492" s="22">
        <f>M492*R492</f>
        <v/>
      </c>
      <c r="T492" s="22">
        <f>N492*R492</f>
        <v/>
      </c>
      <c r="U492" s="22">
        <f>(O492-V492)*R492</f>
        <v/>
      </c>
      <c r="V492" s="11" t="n">
        <v>9179</v>
      </c>
      <c r="W492" s="11" t="n">
        <v>96227.15679300039</v>
      </c>
      <c r="X492" s="22">
        <f>S492+T492+U492+V492+W492</f>
        <v/>
      </c>
      <c r="Y492" s="11" t="n">
        <v>196587.3649</v>
      </c>
      <c r="Z492" s="22">
        <f>AE492-AB492-AA492-AC492</f>
        <v/>
      </c>
      <c r="AA492" s="22">
        <f>N492-T492-W492</f>
        <v/>
      </c>
      <c r="AB492" s="22">
        <f>O492-V492-U492</f>
        <v/>
      </c>
      <c r="AC492" s="22">
        <f>P492</f>
        <v/>
      </c>
      <c r="AD492" s="23">
        <f>Z492+AA492+AB492+AC492</f>
        <v/>
      </c>
      <c r="AE492" s="11" t="n">
        <v>1732229.66</v>
      </c>
      <c r="AF492" s="24">
        <f>AD492-AE492</f>
        <v/>
      </c>
      <c r="AG492" s="13">
        <f>IF(OR(B492="",B492=0,M492=""),"",M492/B492*10000)</f>
        <v/>
      </c>
      <c r="AH492" s="13">
        <f>IF(OR(C492="",C492=0),"",N492/C492*10000)</f>
        <v/>
      </c>
      <c r="AI492" s="13">
        <f>IF(OR(D492="",D492=0),"",O492/D492*10000)</f>
        <v/>
      </c>
      <c r="AJ492" s="11" t="n">
        <v>5138.851470896767</v>
      </c>
      <c r="AK492" s="11" t="n">
        <v>0</v>
      </c>
      <c r="AL492" s="22">
        <f>AE492+AJ492+AK492</f>
        <v/>
      </c>
      <c r="AM492" s="22">
        <f>AE492</f>
        <v/>
      </c>
      <c r="AN492" s="14" t="n">
        <v>49360.33</v>
      </c>
      <c r="AO492" s="15" t="n">
        <v>35.093559</v>
      </c>
      <c r="AP492" s="14" t="n">
        <v>42888622.73255512</v>
      </c>
      <c r="AQ492" s="14" t="n">
        <v>26459.0968</v>
      </c>
      <c r="AR492" s="14" t="n">
        <v>283.5728</v>
      </c>
      <c r="AS492" s="14" t="n"/>
      <c r="AT492" s="16" t="n">
        <v>432.4425954627319</v>
      </c>
      <c r="AU492" s="17" t="n">
        <v>0.0214449942</v>
      </c>
      <c r="AV492" s="14" t="n">
        <v>415984451.7199</v>
      </c>
      <c r="AW492" s="18" t="n">
        <v>60100000</v>
      </c>
      <c r="AX492" s="19" t="n">
        <v>42888622.73255512</v>
      </c>
      <c r="AY492" s="18" t="n">
        <v>3100000</v>
      </c>
      <c r="AZ492" s="18">
        <f>1000000000-999266822.2474</f>
        <v/>
      </c>
      <c r="BA492" s="20">
        <f>1000000000-AV492-AW492-AX492-AY492-AZ492</f>
        <v/>
      </c>
      <c r="BB492" s="21" t="n">
        <v>241.714938</v>
      </c>
      <c r="BC492" s="21">
        <f>BA492/1000000-BB492</f>
        <v/>
      </c>
      <c r="BD492" s="22">
        <f>BA492*36</f>
        <v/>
      </c>
    </row>
    <row r="493">
      <c r="A493" s="10" t="n">
        <v>46115</v>
      </c>
      <c r="B493" s="11" t="n">
        <v>2431134151.122731</v>
      </c>
      <c r="C493" s="11" t="n">
        <v>475921996.7575402</v>
      </c>
      <c r="D493" s="11" t="n">
        <v>60250905</v>
      </c>
      <c r="E493" s="11" t="n"/>
      <c r="F493" s="24" t="n">
        <v>255642334.6068501</v>
      </c>
      <c r="G493" s="24" t="n">
        <v>12317046.34944396</v>
      </c>
      <c r="H493" s="24" t="n">
        <v>9707754.919518488</v>
      </c>
      <c r="I493" s="24" t="n">
        <v>148232831.9306353</v>
      </c>
      <c r="J493" s="24" t="n">
        <v>65012.79400037465</v>
      </c>
      <c r="K493" s="24" t="n">
        <v>49957016.15709207</v>
      </c>
      <c r="L493" s="22">
        <f>SUM(F493:K493)</f>
        <v/>
      </c>
      <c r="M493" s="22">
        <f>Z493/(1-R493)</f>
        <v/>
      </c>
      <c r="N493" s="11" t="n">
        <v>43741.95997399992</v>
      </c>
      <c r="O493" s="11" t="n">
        <v>28451</v>
      </c>
      <c r="P493" s="11" t="n"/>
      <c r="Q493" s="22">
        <f>M493+N493+O493+P493</f>
        <v/>
      </c>
      <c r="R493" s="12" t="n">
        <v>0.01</v>
      </c>
      <c r="S493" s="22">
        <f>M493*R493</f>
        <v/>
      </c>
      <c r="T493" s="22">
        <f>N493*R493</f>
        <v/>
      </c>
      <c r="U493" s="22">
        <f>(O493-V493)*R493</f>
        <v/>
      </c>
      <c r="V493" s="11" t="n">
        <v>5453</v>
      </c>
      <c r="W493" s="11" t="n">
        <v>11999.87134199996</v>
      </c>
      <c r="X493" s="22">
        <f>S493+T493+U493+V493+W493</f>
        <v/>
      </c>
      <c r="Y493" s="11" t="n">
        <v>67043.1211</v>
      </c>
      <c r="Z493" s="22">
        <f>AE493-AB493-AA493-AC493</f>
        <v/>
      </c>
      <c r="AA493" s="22">
        <f>N493-T493-W493</f>
        <v/>
      </c>
      <c r="AB493" s="22">
        <f>O493-V493-U493</f>
        <v/>
      </c>
      <c r="AC493" s="22">
        <f>P493</f>
        <v/>
      </c>
      <c r="AD493" s="23">
        <f>Z493+AA493+AB493+AC493</f>
        <v/>
      </c>
      <c r="AE493" s="11" t="n">
        <v>750398.22</v>
      </c>
      <c r="AF493" s="24">
        <f>AD493-AE493</f>
        <v/>
      </c>
      <c r="AG493" s="13">
        <f>IF(OR(B493="",B493=0,M493=""),"",M493/B493*10000)</f>
        <v/>
      </c>
      <c r="AH493" s="13">
        <f>IF(OR(C493="",C493=0),"",N493/C493*10000)</f>
        <v/>
      </c>
      <c r="AI493" s="13">
        <f>IF(OR(D493="",D493=0),"",O493/D493*10000)</f>
        <v/>
      </c>
      <c r="AJ493" s="11" t="n">
        <v>2730.180522242762</v>
      </c>
      <c r="AK493" s="11" t="n">
        <v>0</v>
      </c>
      <c r="AL493" s="22">
        <f>AE493+AJ493+AK493</f>
        <v/>
      </c>
      <c r="AM493" s="22">
        <f>AE493</f>
        <v/>
      </c>
      <c r="AN493" s="14" t="n">
        <v>21013.16</v>
      </c>
      <c r="AO493" s="15" t="n">
        <v>35.71087</v>
      </c>
      <c r="AP493" s="14" t="n">
        <v>42909162.12255512</v>
      </c>
      <c r="AQ493" s="14" t="n">
        <v>26361.2491</v>
      </c>
      <c r="AR493" s="14" t="n">
        <v>985.9113</v>
      </c>
      <c r="AS493" s="14" t="n"/>
      <c r="AT493" s="16" t="n">
        <v>432.5445550937565</v>
      </c>
      <c r="AU493" s="17" t="n">
        <v>0.0214424957</v>
      </c>
      <c r="AV493" s="14" t="n">
        <v>415958090.4708</v>
      </c>
      <c r="AW493" s="18" t="n">
        <v>60100000</v>
      </c>
      <c r="AX493" s="19" t="n">
        <v>42909162.12255512</v>
      </c>
      <c r="AY493" s="18" t="n">
        <v>3100000</v>
      </c>
      <c r="AZ493" s="18">
        <f>1000000000-999265836.3361</f>
        <v/>
      </c>
      <c r="BA493" s="20">
        <f>1000000000-AV493-AW493-AX493-AY493-AZ493</f>
        <v/>
      </c>
      <c r="BB493" s="21" t="n">
        <v>241.714938</v>
      </c>
      <c r="BC493" s="21">
        <f>BA493/1000000-BB493</f>
        <v/>
      </c>
      <c r="BD493" s="22">
        <f>BA493*35.23</f>
        <v/>
      </c>
    </row>
    <row r="494">
      <c r="A494" s="10" t="n">
        <v>46116</v>
      </c>
      <c r="B494" s="11" t="n">
        <v>1226147591.096494</v>
      </c>
      <c r="C494" s="11" t="n">
        <v>213968571.957505</v>
      </c>
      <c r="D494" s="11" t="n">
        <v>40329525</v>
      </c>
      <c r="E494" s="11" t="n"/>
      <c r="F494" s="24" t="n">
        <v>123746031.573353</v>
      </c>
      <c r="G494" s="24" t="n">
        <v>7890644.199174727</v>
      </c>
      <c r="H494" s="24" t="n">
        <v>8666959.320653688</v>
      </c>
      <c r="I494" s="24" t="n">
        <v>51620147.37514739</v>
      </c>
      <c r="J494" s="24" t="n">
        <v>41489.45491608358</v>
      </c>
      <c r="K494" s="24" t="n">
        <v>22003300.03426014</v>
      </c>
      <c r="L494" s="22">
        <f>SUM(F494:K494)</f>
        <v/>
      </c>
      <c r="M494" s="22">
        <f>Z494/(1-R494)</f>
        <v/>
      </c>
      <c r="N494" s="11" t="n">
        <v>22577.02649800004</v>
      </c>
      <c r="O494" s="11" t="n">
        <v>23303</v>
      </c>
      <c r="P494" s="11" t="n"/>
      <c r="Q494" s="22">
        <f>M494+N494+O494+P494</f>
        <v/>
      </c>
      <c r="R494" s="12" t="n">
        <v>0.01</v>
      </c>
      <c r="S494" s="22">
        <f>M494*R494</f>
        <v/>
      </c>
      <c r="T494" s="22">
        <f>N494*R494</f>
        <v/>
      </c>
      <c r="U494" s="22">
        <f>(O494-V494)*R494</f>
        <v/>
      </c>
      <c r="V494" s="11" t="n">
        <v>6155</v>
      </c>
      <c r="W494" s="11" t="n">
        <v>5075.931936999865</v>
      </c>
      <c r="X494" s="22">
        <f>S494+T494+U494+V494+W494</f>
        <v/>
      </c>
      <c r="Y494" s="11" t="n">
        <v>47758.42020000001</v>
      </c>
      <c r="Z494" s="22">
        <f>AE494-AB494-AA494-AC494</f>
        <v/>
      </c>
      <c r="AA494" s="22">
        <f>N494-T494-W494</f>
        <v/>
      </c>
      <c r="AB494" s="22">
        <f>O494-V494-U494</f>
        <v/>
      </c>
      <c r="AC494" s="22">
        <f>P494</f>
        <v/>
      </c>
      <c r="AD494" s="23">
        <f>Z494+AA494+AB494+AC494</f>
        <v/>
      </c>
      <c r="AE494" s="11" t="n">
        <v>387540.53</v>
      </c>
      <c r="AF494" s="24">
        <f>AD494-AE494</f>
        <v/>
      </c>
      <c r="AG494" s="13">
        <f>IF(OR(B494="",B494=0,M494=""),"",M494/B494*10000)</f>
        <v/>
      </c>
      <c r="AH494" s="13">
        <f>IF(OR(C494="",C494=0),"",N494/C494*10000)</f>
        <v/>
      </c>
      <c r="AI494" s="13">
        <f>IF(OR(D494="",D494=0),"",O494/D494*10000)</f>
        <v/>
      </c>
      <c r="AJ494" s="11" t="n">
        <v>1772.13652051325</v>
      </c>
      <c r="AK494" s="11" t="n">
        <v>0</v>
      </c>
      <c r="AL494" s="22">
        <f>AE494+AJ494+AK494</f>
        <v/>
      </c>
      <c r="AM494" s="22">
        <f>AE494</f>
        <v/>
      </c>
      <c r="AN494" s="14" t="n">
        <v>10794.08</v>
      </c>
      <c r="AO494" s="15" t="n">
        <v>35.903063</v>
      </c>
      <c r="AP494" s="14" t="n">
        <v>42920232.58255512</v>
      </c>
      <c r="AQ494" s="14" t="n">
        <v>26401.5238</v>
      </c>
      <c r="AR494" s="14" t="n">
        <v>800.5732</v>
      </c>
      <c r="AS494" s="14" t="n"/>
      <c r="AT494" s="16" t="n">
        <v>432.2551716996252</v>
      </c>
      <c r="AU494" s="17" t="n">
        <v>0.0214495893</v>
      </c>
      <c r="AV494" s="14" t="n">
        <v>415931688.9471</v>
      </c>
      <c r="AW494" s="18" t="n">
        <v>60100000</v>
      </c>
      <c r="AX494" s="19" t="n">
        <v>42920232.58255512</v>
      </c>
      <c r="AY494" s="18" t="n">
        <v>3100000</v>
      </c>
      <c r="AZ494" s="18">
        <f>1000000000-999265035.7629</f>
        <v/>
      </c>
      <c r="BA494" s="20">
        <f>1000000000-AV494-AW494-AX494-AY494-AZ494</f>
        <v/>
      </c>
      <c r="BB494" s="21" t="n">
        <v>241.714938</v>
      </c>
      <c r="BC494" s="21">
        <f>BA494/1000000-BB494</f>
        <v/>
      </c>
      <c r="BD494" s="22">
        <f>BA494*35.63</f>
        <v/>
      </c>
    </row>
    <row r="495">
      <c r="A495" s="10" t="n">
        <v>46117</v>
      </c>
      <c r="B495" s="11" t="n">
        <v>2413656719.864017</v>
      </c>
      <c r="C495" s="11" t="n">
        <v>760846881.1619153</v>
      </c>
      <c r="D495" s="11" t="n">
        <v>57508417</v>
      </c>
      <c r="E495" s="11" t="n"/>
      <c r="F495" s="24" t="n">
        <v>550428143.4978598</v>
      </c>
      <c r="G495" s="24" t="n">
        <v>12811112.68093315</v>
      </c>
      <c r="H495" s="24" t="n">
        <v>5835543.957081865</v>
      </c>
      <c r="I495" s="24" t="n">
        <v>136490700.7670451</v>
      </c>
      <c r="J495" s="24" t="n">
        <v>18087.92660219935</v>
      </c>
      <c r="K495" s="24" t="n">
        <v>55263292.33239324</v>
      </c>
      <c r="L495" s="22">
        <f>SUM(F495:K495)</f>
        <v/>
      </c>
      <c r="M495" s="22">
        <f>Z495/(1-R495)</f>
        <v/>
      </c>
      <c r="N495" s="11" t="n">
        <v>50130.64974000043</v>
      </c>
      <c r="O495" s="11" t="n">
        <v>33119</v>
      </c>
      <c r="P495" s="11" t="n"/>
      <c r="Q495" s="22">
        <f>M495+N495+O495+P495</f>
        <v/>
      </c>
      <c r="R495" s="12" t="n">
        <v>0.01</v>
      </c>
      <c r="S495" s="22">
        <f>M495*R495</f>
        <v/>
      </c>
      <c r="T495" s="22">
        <f>N495*R495</f>
        <v/>
      </c>
      <c r="U495" s="22">
        <f>(O495-V495)*R495</f>
        <v/>
      </c>
      <c r="V495" s="11" t="n">
        <v>6954</v>
      </c>
      <c r="W495" s="11" t="n">
        <v>17047.5985370001</v>
      </c>
      <c r="X495" s="22">
        <f>S495+T495+U495+V495+W495</f>
        <v/>
      </c>
      <c r="Y495" s="11" t="n">
        <v>83224.69189999999</v>
      </c>
      <c r="Z495" s="22">
        <f>AE495-AB495-AA495-AC495</f>
        <v/>
      </c>
      <c r="AA495" s="22">
        <f>N495-T495-W495</f>
        <v/>
      </c>
      <c r="AB495" s="22">
        <f>O495-V495-U495</f>
        <v/>
      </c>
      <c r="AC495" s="22">
        <f>P495</f>
        <v/>
      </c>
      <c r="AD495" s="23">
        <f>Z495+AA495+AB495+AC495</f>
        <v/>
      </c>
      <c r="AE495" s="11" t="n">
        <v>584199.17</v>
      </c>
      <c r="AF495" s="24">
        <f>AD495-AE495</f>
        <v/>
      </c>
      <c r="AG495" s="13">
        <f>IF(OR(B495="",B495=0,M495=""),"",M495/B495*10000)</f>
        <v/>
      </c>
      <c r="AH495" s="13">
        <f>IF(OR(C495="",C495=0),"",N495/C495*10000)</f>
        <v/>
      </c>
      <c r="AI495" s="13">
        <f>IF(OR(D495="",D495=0),"",O495/D495*10000)</f>
        <v/>
      </c>
      <c r="AJ495" s="11" t="n">
        <v>2894.024783761015</v>
      </c>
      <c r="AK495" s="11" t="n">
        <v>0</v>
      </c>
      <c r="AL495" s="22">
        <f>AE495+AJ495+AK495</f>
        <v/>
      </c>
      <c r="AM495" s="22">
        <f>AE495</f>
        <v/>
      </c>
      <c r="AN495" s="14" t="n">
        <v>16362.22</v>
      </c>
      <c r="AO495" s="15" t="n">
        <v>35.704151</v>
      </c>
      <c r="AP495" s="14" t="n">
        <v>42945222.82255512</v>
      </c>
      <c r="AQ495" s="14" t="n">
        <v>26393.4448</v>
      </c>
      <c r="AR495" s="14" t="n">
        <v>125.9566</v>
      </c>
      <c r="AS495" s="14" t="n"/>
      <c r="AT495" s="16" t="n">
        <v>432.32199747544</v>
      </c>
      <c r="AU495" s="17" t="n">
        <v>0.0214479506</v>
      </c>
      <c r="AV495" s="14" t="n">
        <v>415905295.5022</v>
      </c>
      <c r="AW495" s="18" t="n">
        <v>60100000</v>
      </c>
      <c r="AX495" s="19" t="n">
        <v>42945222.82255512</v>
      </c>
      <c r="AY495" s="18" t="n">
        <v>3100000</v>
      </c>
      <c r="AZ495" s="18">
        <f>1000000000-999264909.8064</f>
        <v/>
      </c>
      <c r="BA495" s="20">
        <f>1000000000-AV495-AW495-AX495-AY495-AZ495</f>
        <v/>
      </c>
      <c r="BB495" s="21" t="n">
        <v>241.714938</v>
      </c>
      <c r="BC495" s="21">
        <f>BA495/1000000-BB495</f>
        <v/>
      </c>
      <c r="BD495" s="22">
        <f>BA495*36.23</f>
        <v/>
      </c>
    </row>
    <row r="496">
      <c r="A496" s="10" t="n">
        <v>46118</v>
      </c>
      <c r="B496" s="11" t="n">
        <v>4583231412.065397</v>
      </c>
      <c r="C496" s="11" t="n">
        <v>2682336978.646923</v>
      </c>
      <c r="D496" s="11" t="n">
        <v>92885393</v>
      </c>
      <c r="E496" s="11" t="n"/>
      <c r="F496" s="24" t="n">
        <v>1785794793.039177</v>
      </c>
      <c r="G496" s="24" t="n">
        <v>21034998.17035862</v>
      </c>
      <c r="H496" s="24" t="n">
        <v>19502629.92386906</v>
      </c>
      <c r="I496" s="24" t="n">
        <v>583038564.4330093</v>
      </c>
      <c r="J496" s="24" t="n">
        <v>34290.58263653677</v>
      </c>
      <c r="K496" s="24" t="n">
        <v>272931702.4978721</v>
      </c>
      <c r="L496" s="22">
        <f>SUM(F496:K496)</f>
        <v/>
      </c>
      <c r="M496" s="22">
        <f>Z496/(1-R496)</f>
        <v/>
      </c>
      <c r="N496" s="11" t="n">
        <v>135790.5977079959</v>
      </c>
      <c r="O496" s="11" t="n">
        <v>47287</v>
      </c>
      <c r="P496" s="11" t="n"/>
      <c r="Q496" s="22">
        <f>M496+N496+O496+P496</f>
        <v/>
      </c>
      <c r="R496" s="12" t="n">
        <v>0.01</v>
      </c>
      <c r="S496" s="22">
        <f>M496*R496</f>
        <v/>
      </c>
      <c r="T496" s="22">
        <f>N496*R496</f>
        <v/>
      </c>
      <c r="U496" s="22">
        <f>(O496-V496)*R496</f>
        <v/>
      </c>
      <c r="V496" s="11" t="n">
        <v>12329</v>
      </c>
      <c r="W496" s="11" t="n">
        <v>47894.79949399942</v>
      </c>
      <c r="X496" s="22">
        <f>S496+T496+U496+V496+W496</f>
        <v/>
      </c>
      <c r="Y496" s="11" t="n">
        <v>120838.8174</v>
      </c>
      <c r="Z496" s="22">
        <f>AE496-AB496-AA496-AC496</f>
        <v/>
      </c>
      <c r="AA496" s="22">
        <f>N496-T496-W496</f>
        <v/>
      </c>
      <c r="AB496" s="22">
        <f>O496-V496-U496</f>
        <v/>
      </c>
      <c r="AC496" s="22">
        <f>P496</f>
        <v/>
      </c>
      <c r="AD496" s="23">
        <f>Z496+AA496+AB496+AC496</f>
        <v/>
      </c>
      <c r="AE496" s="11" t="n">
        <v>1704830.87</v>
      </c>
      <c r="AF496" s="24">
        <f>AD496-AE496</f>
        <v/>
      </c>
      <c r="AG496" s="13">
        <f>IF(OR(B496="",B496=0,M496=""),"",M496/B496*10000)</f>
        <v/>
      </c>
      <c r="AH496" s="13">
        <f>IF(OR(C496="",C496=0),"",N496/C496*10000)</f>
        <v/>
      </c>
      <c r="AI496" s="13">
        <f>IF(OR(D496="",D496=0),"",O496/D496*10000)</f>
        <v/>
      </c>
      <c r="AJ496" s="11" t="n">
        <v>6572.948748723747</v>
      </c>
      <c r="AK496" s="11" t="n">
        <v>0</v>
      </c>
      <c r="AL496" s="22">
        <f>AE496+AJ496+AK496</f>
        <v/>
      </c>
      <c r="AM496" s="22">
        <f>AE496</f>
        <v/>
      </c>
      <c r="AN496" s="14" t="n">
        <v>46080.62</v>
      </c>
      <c r="AO496" s="15" t="n">
        <v>36.9967</v>
      </c>
      <c r="AP496" s="14" t="n">
        <v>42982589.28255512</v>
      </c>
      <c r="AQ496" s="14" t="n">
        <v>26398.4528</v>
      </c>
      <c r="AR496" s="14" t="n">
        <v>170.212</v>
      </c>
      <c r="AS496" s="14" t="n">
        <v>330000</v>
      </c>
      <c r="AT496" s="16" t="n">
        <v>432.2537079725136</v>
      </c>
      <c r="AU496" s="17" t="n">
        <v>0.0214496252</v>
      </c>
      <c r="AV496" s="14" t="n">
        <v>415878897.0495</v>
      </c>
      <c r="AW496" s="18" t="n">
        <v>60100000</v>
      </c>
      <c r="AX496" s="19" t="n">
        <v>42982589.28255512</v>
      </c>
      <c r="AY496" s="18" t="n">
        <v>3100000</v>
      </c>
      <c r="AZ496" s="18">
        <f>1000000000-999264739.5943</f>
        <v/>
      </c>
      <c r="BA496" s="20">
        <f>1000000000-AV496-AW496-AX496-AY496-AZ496</f>
        <v/>
      </c>
      <c r="BB496" s="21" t="n">
        <v>241.384938</v>
      </c>
      <c r="BC496" s="21">
        <f>BA496/1000000-BB496</f>
        <v/>
      </c>
      <c r="BD496" s="22">
        <f>BA496*36.67</f>
        <v/>
      </c>
    </row>
    <row r="497">
      <c r="A497" s="10" t="n">
        <v>46119</v>
      </c>
      <c r="B497" s="11" t="n">
        <v>6281423214.61724</v>
      </c>
      <c r="C497" s="11" t="n">
        <v>5528092258.034888</v>
      </c>
      <c r="D497" s="11" t="n">
        <v>156937806</v>
      </c>
      <c r="E497" s="11" t="n"/>
      <c r="F497" s="24" t="n">
        <v>3981735496.717259</v>
      </c>
      <c r="G497" s="24" t="n">
        <v>28107362.16583023</v>
      </c>
      <c r="H497" s="24" t="n">
        <v>16708632.6725305</v>
      </c>
      <c r="I497" s="24" t="n">
        <v>1122491665.901774</v>
      </c>
      <c r="J497" s="24" t="n">
        <v>919490.6089278981</v>
      </c>
      <c r="K497" s="24" t="n">
        <v>378129609.9685667</v>
      </c>
      <c r="L497" s="22">
        <f>SUM(F497:K497)</f>
        <v/>
      </c>
      <c r="M497" s="22">
        <f>Z497/(1-R497)</f>
        <v/>
      </c>
      <c r="N497" s="11" t="n">
        <v>253113.8043560007</v>
      </c>
      <c r="O497" s="11" t="n">
        <v>75695</v>
      </c>
      <c r="P497" s="11" t="n"/>
      <c r="Q497" s="22">
        <f>M497+N497+O497+P497</f>
        <v/>
      </c>
      <c r="R497" s="12" t="n">
        <v>0.01</v>
      </c>
      <c r="S497" s="22">
        <f>M497*R497</f>
        <v/>
      </c>
      <c r="T497" s="22">
        <f>N497*R497</f>
        <v/>
      </c>
      <c r="U497" s="22">
        <f>(O497-V497)*R497</f>
        <v/>
      </c>
      <c r="V497" s="11" t="n">
        <v>21243</v>
      </c>
      <c r="W497" s="11" t="n">
        <v>95339.99192099922</v>
      </c>
      <c r="X497" s="22">
        <f>S497+T497+U497+V497+W497</f>
        <v/>
      </c>
      <c r="Y497" s="11" t="n">
        <v>175887.9981</v>
      </c>
      <c r="Z497" s="22">
        <f>AE497-AB497-AA497-AC497</f>
        <v/>
      </c>
      <c r="AA497" s="22">
        <f>N497-T497-W497</f>
        <v/>
      </c>
      <c r="AB497" s="22">
        <f>O497-V497-U497</f>
        <v/>
      </c>
      <c r="AC497" s="22">
        <f>P497</f>
        <v/>
      </c>
      <c r="AD497" s="23">
        <f>Z497+AA497+AB497+AC497</f>
        <v/>
      </c>
      <c r="AE497" s="11" t="n">
        <v>1312533.34</v>
      </c>
      <c r="AF497" s="24">
        <f>AD497-AE497</f>
        <v/>
      </c>
      <c r="AG497" s="13">
        <f>IF(OR(B497="",B497=0,M497=""),"",M497/B497*10000)</f>
        <v/>
      </c>
      <c r="AH497" s="13">
        <f>IF(OR(C497="",C497=0),"",N497/C497*10000)</f>
        <v/>
      </c>
      <c r="AI497" s="13">
        <f>IF(OR(D497="",D497=0),"",O497/D497*10000)</f>
        <v/>
      </c>
      <c r="AJ497" s="11" t="n">
        <v>9696.05685814286</v>
      </c>
      <c r="AK497" s="11" t="n">
        <v>18167.93</v>
      </c>
      <c r="AL497" s="22">
        <f>AE497+AJ497+AK497</f>
        <v/>
      </c>
      <c r="AM497" s="22">
        <f>AE497</f>
        <v/>
      </c>
      <c r="AN497" s="14" t="n">
        <v>35674.93</v>
      </c>
      <c r="AO497" s="15" t="n">
        <v>36.791476</v>
      </c>
      <c r="AP497" s="14" t="n">
        <v>43028187.78255512</v>
      </c>
      <c r="AQ497" s="14" t="n">
        <v>26394.3754</v>
      </c>
      <c r="AR497" s="14" t="n">
        <v>1310.5848</v>
      </c>
      <c r="AS497" s="14" t="n"/>
      <c r="AT497" s="16" t="n">
        <v>432.1951870901908</v>
      </c>
      <c r="AU497" s="17" t="n">
        <v>0.0214510605</v>
      </c>
      <c r="AV497" s="14" t="n">
        <v>415852502.6741</v>
      </c>
      <c r="AW497" s="18" t="n">
        <v>60100000</v>
      </c>
      <c r="AX497" s="19" t="n">
        <v>43028187.78255512</v>
      </c>
      <c r="AY497" s="18" t="n">
        <v>3100000</v>
      </c>
      <c r="AZ497" s="18">
        <f>1000000000-999263429.0095</f>
        <v/>
      </c>
      <c r="BA497" s="20">
        <f>1000000000-AV497-AW497-AX497-AY497-AZ497</f>
        <v/>
      </c>
      <c r="BB497" s="21" t="n">
        <v>241.384938</v>
      </c>
      <c r="BC497" s="21">
        <f>BA497/1000000-BB497</f>
        <v/>
      </c>
      <c r="BD497" s="22">
        <f>BA497*36.47</f>
        <v/>
      </c>
    </row>
    <row r="498">
      <c r="A498" s="10" t="n">
        <v>46120</v>
      </c>
      <c r="B498" s="11" t="n">
        <v>5060015731.880938</v>
      </c>
      <c r="C498" s="11" t="n">
        <v>4699564621.799747</v>
      </c>
      <c r="D498" s="11" t="n">
        <v>187268911</v>
      </c>
      <c r="E498" s="11" t="n"/>
      <c r="F498" s="24" t="n">
        <v>3399006612.685906</v>
      </c>
      <c r="G498" s="24" t="n">
        <v>26085860.09951297</v>
      </c>
      <c r="H498" s="24" t="n">
        <v>12265934.92463698</v>
      </c>
      <c r="I498" s="24" t="n">
        <v>830275234.7172952</v>
      </c>
      <c r="J498" s="24" t="n">
        <v>628866.8358319572</v>
      </c>
      <c r="K498" s="24" t="n">
        <v>431302112.5365644</v>
      </c>
      <c r="L498" s="22">
        <f>SUM(F498:K498)</f>
        <v/>
      </c>
      <c r="M498" s="22">
        <f>Z498/(1-R498)</f>
        <v/>
      </c>
      <c r="N498" s="11" t="n">
        <v>189252.1177949949</v>
      </c>
      <c r="O498" s="11" t="n">
        <v>97142</v>
      </c>
      <c r="P498" s="11" t="n"/>
      <c r="Q498" s="22">
        <f>M498+N498+O498+P498</f>
        <v/>
      </c>
      <c r="R498" s="12" t="n">
        <v>0.01</v>
      </c>
      <c r="S498" s="22">
        <f>M498*R498</f>
        <v/>
      </c>
      <c r="T498" s="22">
        <f>N498*R498</f>
        <v/>
      </c>
      <c r="U498" s="22">
        <f>(O498-V498)*R498</f>
        <v/>
      </c>
      <c r="V498" s="11" t="n">
        <v>21809</v>
      </c>
      <c r="W498" s="11" t="n">
        <v>74140.48453499733</v>
      </c>
      <c r="X498" s="22">
        <f>S498+T498+U498+V498+W498</f>
        <v/>
      </c>
      <c r="Y498" s="11" t="n">
        <v>155130.8491</v>
      </c>
      <c r="Z498" s="22">
        <f>AE498-AB498-AA498-AC498</f>
        <v/>
      </c>
      <c r="AA498" s="22">
        <f>N498-T498-W498</f>
        <v/>
      </c>
      <c r="AB498" s="22">
        <f>O498-V498-U498</f>
        <v/>
      </c>
      <c r="AC498" s="22">
        <f>P498</f>
        <v/>
      </c>
      <c r="AD498" s="23">
        <f>Z498+AA498+AB498+AC498</f>
        <v/>
      </c>
      <c r="AE498" s="11" t="n">
        <v>2524696.89</v>
      </c>
      <c r="AF498" s="24">
        <f>AD498-AE498</f>
        <v/>
      </c>
      <c r="AG498" s="13">
        <f>IF(OR(B498="",B498=0,M498=""),"",M498/B498*10000)</f>
        <v/>
      </c>
      <c r="AH498" s="13">
        <f>IF(OR(C498="",C498=0),"",N498/C498*10000)</f>
        <v/>
      </c>
      <c r="AI498" s="13">
        <f>IF(OR(D498="",D498=0),"",O498/D498*10000)</f>
        <v/>
      </c>
      <c r="AJ498" s="11" t="n">
        <v>12612.89212441474</v>
      </c>
      <c r="AK498" s="11" t="n">
        <v>0</v>
      </c>
      <c r="AL498" s="22">
        <f>AE498+AJ498+AK498</f>
        <v/>
      </c>
      <c r="AM498" s="22">
        <f>AE498</f>
        <v/>
      </c>
      <c r="AN498" s="14" t="n">
        <v>65114.98</v>
      </c>
      <c r="AO498" s="15" t="n">
        <v>38.772904</v>
      </c>
      <c r="AP498" s="14" t="n">
        <v>43083756.47255512</v>
      </c>
      <c r="AQ498" s="14" t="n">
        <v>26391.4274</v>
      </c>
      <c r="AR498" s="14" t="n">
        <v>961.1906</v>
      </c>
      <c r="AS498" s="14" t="n"/>
      <c r="AT498" s="16" t="n">
        <v>432.4735396562157</v>
      </c>
      <c r="AU498" s="17" t="n">
        <v>0.0214442358</v>
      </c>
      <c r="AV498" s="14" t="n">
        <v>415826111.2467</v>
      </c>
      <c r="AW498" s="18" t="n">
        <v>60100000</v>
      </c>
      <c r="AX498" s="19" t="n">
        <v>43083756.47255512</v>
      </c>
      <c r="AY498" s="18" t="n">
        <v>3100000</v>
      </c>
      <c r="AZ498" s="18">
        <f>1000000000-999262467.8189</f>
        <v/>
      </c>
      <c r="BA498" s="20">
        <f>1000000000-AV498-AW498-AX498-AY498-AZ498</f>
        <v/>
      </c>
      <c r="BB498" s="21" t="n">
        <v>241.384938</v>
      </c>
      <c r="BC498" s="21">
        <f>BA498/1000000-BB498</f>
        <v/>
      </c>
      <c r="BD498" s="22">
        <f>BA498*38.59</f>
        <v/>
      </c>
    </row>
    <row r="499">
      <c r="A499" s="10" t="n">
        <v>46121</v>
      </c>
      <c r="B499" s="11" t="n">
        <v>5130940669.054213</v>
      </c>
      <c r="C499" s="11" t="n">
        <v>3302527667.911992</v>
      </c>
      <c r="D499" s="11" t="n">
        <v>117406505</v>
      </c>
      <c r="E499" s="11" t="n"/>
      <c r="F499" s="24" t="n">
        <v>2341860393.270117</v>
      </c>
      <c r="G499" s="24" t="n">
        <v>24840651.01579957</v>
      </c>
      <c r="H499" s="24" t="n">
        <v>3214205.909371083</v>
      </c>
      <c r="I499" s="24" t="n">
        <v>605465743.7843133</v>
      </c>
      <c r="J499" s="24" t="n">
        <v>1024390.437373744</v>
      </c>
      <c r="K499" s="24" t="n">
        <v>326122283.4950172</v>
      </c>
      <c r="L499" s="22">
        <f>SUM(F499:K499)</f>
        <v/>
      </c>
      <c r="M499" s="22">
        <f>Z499/(1-R499)</f>
        <v/>
      </c>
      <c r="N499" s="11" t="n">
        <v>150897.1822769905</v>
      </c>
      <c r="O499" s="11" t="n">
        <v>60612</v>
      </c>
      <c r="P499" s="11" t="n"/>
      <c r="Q499" s="22">
        <f>M499+N499+O499+P499</f>
        <v/>
      </c>
      <c r="R499" s="12" t="n">
        <v>0.01</v>
      </c>
      <c r="S499" s="22">
        <f>M499*R499</f>
        <v/>
      </c>
      <c r="T499" s="22">
        <f>N499*R499</f>
        <v/>
      </c>
      <c r="U499" s="22">
        <f>(O499-V499)*R499</f>
        <v/>
      </c>
      <c r="V499" s="11" t="n">
        <v>15013</v>
      </c>
      <c r="W499" s="11" t="n">
        <v>57679.68407099997</v>
      </c>
      <c r="X499" s="22">
        <f>S499+T499+U499+V499+W499</f>
        <v/>
      </c>
      <c r="Y499" s="11" t="n">
        <v>130856.5832</v>
      </c>
      <c r="Z499" s="22">
        <f>AE499-AB499-AA499-AC499</f>
        <v/>
      </c>
      <c r="AA499" s="22">
        <f>N499-T499-W499</f>
        <v/>
      </c>
      <c r="AB499" s="22">
        <f>O499-V499-U499</f>
        <v/>
      </c>
      <c r="AC499" s="22">
        <f>P499</f>
        <v/>
      </c>
      <c r="AD499" s="23">
        <f>Z499+AA499+AB499+AC499</f>
        <v/>
      </c>
      <c r="AE499" s="11" t="n">
        <v>1671725.46</v>
      </c>
      <c r="AF499" s="24">
        <f>AD499-AE499</f>
        <v/>
      </c>
      <c r="AG499" s="13">
        <f>IF(OR(B499="",B499=0,M499=""),"",M499/B499*10000)</f>
        <v/>
      </c>
      <c r="AH499" s="13">
        <f>IF(OR(C499="",C499=0),"",N499/C499*10000)</f>
        <v/>
      </c>
      <c r="AI499" s="13">
        <f>IF(OR(D499="",D499=0),"",O499/D499*10000)</f>
        <v/>
      </c>
      <c r="AJ499" s="11" t="n">
        <v>7924.158229249182</v>
      </c>
      <c r="AK499" s="11" t="n">
        <v>19396.77</v>
      </c>
      <c r="AL499" s="22">
        <f>AE499+AJ499+AK499</f>
        <v/>
      </c>
      <c r="AM499" s="22">
        <f>AE499</f>
        <v/>
      </c>
      <c r="AN499" s="14" t="n">
        <v>42446.07</v>
      </c>
      <c r="AO499" s="15" t="n">
        <v>39.384694</v>
      </c>
      <c r="AP499" s="14" t="n">
        <v>43125924.83255512</v>
      </c>
      <c r="AQ499" s="14" t="n">
        <v>26388.9572</v>
      </c>
      <c r="AR499" s="14" t="n">
        <v>1181.5189</v>
      </c>
      <c r="AS499" s="14" t="n"/>
      <c r="AT499" s="16" t="n">
        <v>434.9269369129304</v>
      </c>
      <c r="AU499" s="17" t="n">
        <v>0.0213843642</v>
      </c>
      <c r="AV499" s="14" t="n">
        <v>415799722.2895</v>
      </c>
      <c r="AW499" s="18" t="n">
        <v>60100000</v>
      </c>
      <c r="AX499" s="19" t="n">
        <v>43125924.83255512</v>
      </c>
      <c r="AY499" s="18" t="n">
        <v>3100000</v>
      </c>
      <c r="AZ499" s="18">
        <f>1000000000-999261286.3</f>
        <v/>
      </c>
      <c r="BA499" s="20">
        <f>1000000000-AV499-AW499-AX499-AY499-AZ499</f>
        <v/>
      </c>
      <c r="BB499" s="21" t="n">
        <v>241.384938</v>
      </c>
      <c r="BC499" s="21">
        <f>BA499/1000000-BB499</f>
        <v/>
      </c>
      <c r="BD499" s="22">
        <f>BA499*38.35</f>
        <v/>
      </c>
    </row>
    <row r="500">
      <c r="A500" s="10" t="n">
        <v>46122</v>
      </c>
      <c r="B500" s="11" t="n">
        <v>3916719774.031897</v>
      </c>
      <c r="C500" s="11" t="n">
        <v>2007679017.575737</v>
      </c>
      <c r="D500" s="11" t="n">
        <v>126827403</v>
      </c>
      <c r="E500" s="11" t="n"/>
      <c r="F500" s="24" t="n">
        <v>1244800624.392953</v>
      </c>
      <c r="G500" s="24" t="n">
        <v>21623045.91765901</v>
      </c>
      <c r="H500" s="24" t="n">
        <v>3436540.715430561</v>
      </c>
      <c r="I500" s="24" t="n">
        <v>438105133.8544725</v>
      </c>
      <c r="J500" s="24" t="n">
        <v>770104.764529777</v>
      </c>
      <c r="K500" s="24" t="n">
        <v>298943567.9306923</v>
      </c>
      <c r="L500" s="22">
        <f>SUM(F500:K500)</f>
        <v/>
      </c>
      <c r="M500" s="22">
        <f>Z500/(1-R500)</f>
        <v/>
      </c>
      <c r="N500" s="11" t="n">
        <v>101566.6251739992</v>
      </c>
      <c r="O500" s="11" t="n">
        <v>69574</v>
      </c>
      <c r="P500" s="11" t="n"/>
      <c r="Q500" s="22">
        <f>M500+N500+O500+P500</f>
        <v/>
      </c>
      <c r="R500" s="12" t="n">
        <v>0.01</v>
      </c>
      <c r="S500" s="22">
        <f>M500*R500</f>
        <v/>
      </c>
      <c r="T500" s="22">
        <f>N500*R500</f>
        <v/>
      </c>
      <c r="U500" s="22">
        <f>(O500-V500)*R500</f>
        <v/>
      </c>
      <c r="V500" s="11" t="n">
        <v>12389</v>
      </c>
      <c r="W500" s="11" t="n">
        <v>37463.99349699952</v>
      </c>
      <c r="X500" s="22">
        <f>S500+T500+U500+V500+W500</f>
        <v/>
      </c>
      <c r="Y500" s="11" t="n">
        <v>105222.8578</v>
      </c>
      <c r="Z500" s="22">
        <f>AE500-AB500-AA500-AC500</f>
        <v/>
      </c>
      <c r="AA500" s="22">
        <f>N500-T500-W500</f>
        <v/>
      </c>
      <c r="AB500" s="22">
        <f>O500-V500-U500</f>
        <v/>
      </c>
      <c r="AC500" s="22">
        <f>P500</f>
        <v/>
      </c>
      <c r="AD500" s="23">
        <f>Z500+AA500+AB500+AC500</f>
        <v/>
      </c>
      <c r="AE500" s="11" t="n">
        <v>1295503.62</v>
      </c>
      <c r="AF500" s="24">
        <f>AD500-AE500</f>
        <v/>
      </c>
      <c r="AG500" s="13">
        <f>IF(OR(B500="",B500=0,M500=""),"",M500/B500*10000)</f>
        <v/>
      </c>
      <c r="AH500" s="13">
        <f>IF(OR(C500="",C500=0),"",N500/C500*10000)</f>
        <v/>
      </c>
      <c r="AI500" s="13">
        <f>IF(OR(D500="",D500=0),"",O500/D500*10000)</f>
        <v/>
      </c>
      <c r="AJ500" s="11" t="n">
        <v>10642.36891291499</v>
      </c>
      <c r="AK500" s="11" t="n">
        <v>0</v>
      </c>
      <c r="AL500" s="22">
        <f>AE500+AJ500+AK500</f>
        <v/>
      </c>
      <c r="AM500" s="22">
        <f>AE500</f>
        <v/>
      </c>
      <c r="AN500" s="14" t="n">
        <v>31405.46</v>
      </c>
      <c r="AO500" s="15" t="n">
        <v>41.250904</v>
      </c>
      <c r="AP500" s="14" t="n">
        <v>43157463.56255512</v>
      </c>
      <c r="AQ500" s="14" t="n">
        <v>26243.2147</v>
      </c>
      <c r="AR500" s="14" t="n">
        <v>841.2268</v>
      </c>
      <c r="AS500" s="14" t="n"/>
      <c r="AT500" s="16" t="n">
        <v>434.4827183093494</v>
      </c>
      <c r="AU500" s="17" t="n">
        <v>0.0213951674</v>
      </c>
      <c r="AV500" s="14" t="n">
        <v>415773479.0749</v>
      </c>
      <c r="AW500" s="18" t="n">
        <v>60100000</v>
      </c>
      <c r="AX500" s="19" t="n">
        <v>43157463.56255512</v>
      </c>
      <c r="AY500" s="18" t="n">
        <v>3100000</v>
      </c>
      <c r="AZ500" s="18">
        <f>1000000000-999260445.0732</f>
        <v/>
      </c>
      <c r="BA500" s="20">
        <f>1000000000-AV500-AW500-AX500-AY500-AZ500</f>
        <v/>
      </c>
      <c r="BB500" s="21" t="n">
        <v>241.384938</v>
      </c>
      <c r="BC500" s="21">
        <f>BA500/1000000-BB500</f>
        <v/>
      </c>
      <c r="BD500" s="22">
        <f>BA500*39.95</f>
        <v/>
      </c>
    </row>
    <row r="501">
      <c r="A501" s="10" t="n">
        <v>46123</v>
      </c>
      <c r="B501" s="11" t="n">
        <v>2263706477.651215</v>
      </c>
      <c r="C501" s="11" t="n">
        <v>545436419.2034631</v>
      </c>
      <c r="D501" s="11" t="n">
        <v>84074982</v>
      </c>
      <c r="E501" s="11" t="n"/>
      <c r="F501" s="24" t="n">
        <v>357547840.7794046</v>
      </c>
      <c r="G501" s="24" t="n">
        <v>11505646.81890504</v>
      </c>
      <c r="H501" s="24" t="n">
        <v>9769312.264565419</v>
      </c>
      <c r="I501" s="24" t="n">
        <v>100488019.1900337</v>
      </c>
      <c r="J501" s="24" t="n">
        <v>604588.5075905124</v>
      </c>
      <c r="K501" s="24" t="n">
        <v>65521011.64296383</v>
      </c>
      <c r="L501" s="22">
        <f>SUM(F501:K501)</f>
        <v/>
      </c>
      <c r="M501" s="22">
        <f>Z501/(1-R501)</f>
        <v/>
      </c>
      <c r="N501" s="11" t="n">
        <v>46193.62242999948</v>
      </c>
      <c r="O501" s="11" t="n">
        <v>49045</v>
      </c>
      <c r="P501" s="11" t="n"/>
      <c r="Q501" s="22">
        <f>M501+N501+O501+P501</f>
        <v/>
      </c>
      <c r="R501" s="12" t="n">
        <v>0.01</v>
      </c>
      <c r="S501" s="22">
        <f>M501*R501</f>
        <v/>
      </c>
      <c r="T501" s="22">
        <f>N501*R501</f>
        <v/>
      </c>
      <c r="U501" s="22">
        <f>(O501-V501)*R501</f>
        <v/>
      </c>
      <c r="V501" s="11" t="n">
        <v>12277</v>
      </c>
      <c r="W501" s="11" t="n">
        <v>11967.0919930012</v>
      </c>
      <c r="X501" s="22">
        <f>S501+T501+U501+V501+W501</f>
        <v/>
      </c>
      <c r="Y501" s="11" t="n">
        <v>89056.68539999999</v>
      </c>
      <c r="Z501" s="22">
        <f>AE501-AB501-AA501-AC501</f>
        <v/>
      </c>
      <c r="AA501" s="22">
        <f>N501-T501-W501</f>
        <v/>
      </c>
      <c r="AB501" s="22">
        <f>O501-V501-U501</f>
        <v/>
      </c>
      <c r="AC501" s="22">
        <f>P501</f>
        <v/>
      </c>
      <c r="AD501" s="23">
        <f>Z501+AA501+AB501+AC501</f>
        <v/>
      </c>
      <c r="AE501" s="11" t="n">
        <v>751239.75</v>
      </c>
      <c r="AF501" s="24">
        <f>AD501-AE501</f>
        <v/>
      </c>
      <c r="AG501" s="13">
        <f>IF(OR(B501="",B501=0,M501=""),"",M501/B501*10000)</f>
        <v/>
      </c>
      <c r="AH501" s="13">
        <f>IF(OR(C501="",C501=0),"",N501/C501*10000)</f>
        <v/>
      </c>
      <c r="AI501" s="13">
        <f>IF(OR(D501="",D501=0),"",O501/D501*10000)</f>
        <v/>
      </c>
      <c r="AJ501" s="11" t="n">
        <v>6216.601956952431</v>
      </c>
      <c r="AK501" s="11" t="n">
        <v>0</v>
      </c>
      <c r="AL501" s="22">
        <f>AE501+AJ501+AK501</f>
        <v/>
      </c>
      <c r="AM501" s="22">
        <f>AE501</f>
        <v/>
      </c>
      <c r="AN501" s="14" t="n">
        <v>17727.89</v>
      </c>
      <c r="AO501" s="15" t="n">
        <v>42.376151</v>
      </c>
      <c r="AP501" s="14" t="n">
        <v>43175392.31255512</v>
      </c>
      <c r="AQ501" s="14" t="n">
        <v>26333.5006</v>
      </c>
      <c r="AR501" s="14" t="n">
        <v>435.9036</v>
      </c>
      <c r="AS501" s="14" t="n"/>
      <c r="AT501" s="16" t="n">
        <v>434.0935537839927</v>
      </c>
      <c r="AU501" s="17" t="n">
        <v>0.0214046452</v>
      </c>
      <c r="AV501" s="14" t="n">
        <v>415747145.5743</v>
      </c>
      <c r="AW501" s="18" t="n">
        <v>60100000</v>
      </c>
      <c r="AX501" s="19" t="n">
        <v>43175392.31255512</v>
      </c>
      <c r="AY501" s="18" t="n">
        <v>3100000</v>
      </c>
      <c r="AZ501" s="18">
        <f>1000000000-999260009.1696</f>
        <v/>
      </c>
      <c r="BA501" s="20">
        <f>1000000000-AV501-AW501-AX501-AY501-AZ501</f>
        <v/>
      </c>
      <c r="BB501" s="21" t="n">
        <v>241.384938</v>
      </c>
      <c r="BC501" s="21">
        <f>BA501/1000000-BB501</f>
        <v/>
      </c>
      <c r="BD501" s="22">
        <f>BA501*41.59</f>
        <v/>
      </c>
    </row>
    <row r="502">
      <c r="A502" s="10" t="n">
        <v>46124</v>
      </c>
      <c r="B502" s="11" t="n">
        <v>3440559346.04739</v>
      </c>
      <c r="C502" s="11" t="n">
        <v>1980231784.73889</v>
      </c>
      <c r="D502" s="11" t="n">
        <v>85379962</v>
      </c>
      <c r="E502" s="11" t="n"/>
      <c r="F502" s="24" t="n">
        <v>1433321719.199857</v>
      </c>
      <c r="G502" s="24" t="n">
        <v>13878517.45159704</v>
      </c>
      <c r="H502" s="24" t="n">
        <v>14938555.78143265</v>
      </c>
      <c r="I502" s="24" t="n">
        <v>375904330.1770685</v>
      </c>
      <c r="J502" s="24" t="n">
        <v>491803.9615572914</v>
      </c>
      <c r="K502" s="24" t="n">
        <v>141696858.1673783</v>
      </c>
      <c r="L502" s="22">
        <f>SUM(F502:K502)</f>
        <v/>
      </c>
      <c r="M502" s="22">
        <f>Z502/(1-R502)</f>
        <v/>
      </c>
      <c r="N502" s="11" t="n">
        <v>132905.5389229994</v>
      </c>
      <c r="O502" s="11" t="n">
        <v>42336</v>
      </c>
      <c r="P502" s="11" t="n"/>
      <c r="Q502" s="22">
        <f>M502+N502+O502+P502</f>
        <v/>
      </c>
      <c r="R502" s="12" t="n">
        <v>0.01</v>
      </c>
      <c r="S502" s="22">
        <f>M502*R502</f>
        <v/>
      </c>
      <c r="T502" s="22">
        <f>N502*R502</f>
        <v/>
      </c>
      <c r="U502" s="22">
        <f>(O502-V502)*R502</f>
        <v/>
      </c>
      <c r="V502" s="11" t="n">
        <v>10351</v>
      </c>
      <c r="W502" s="11" t="n">
        <v>43429.11363799833</v>
      </c>
      <c r="X502" s="22">
        <f>S502+T502+U502+V502+W502</f>
        <v/>
      </c>
      <c r="Y502" s="11" t="n">
        <v>144562.4225</v>
      </c>
      <c r="Z502" s="22">
        <f>AE502-AB502-AA502-AC502</f>
        <v/>
      </c>
      <c r="AA502" s="22">
        <f>N502-T502-W502</f>
        <v/>
      </c>
      <c r="AB502" s="22">
        <f>O502-V502-U502</f>
        <v/>
      </c>
      <c r="AC502" s="22">
        <f>P502</f>
        <v/>
      </c>
      <c r="AD502" s="23">
        <f>Z502+AA502+AB502+AC502</f>
        <v/>
      </c>
      <c r="AE502" s="11" t="n">
        <v>1138369.82</v>
      </c>
      <c r="AF502" s="24">
        <f>AD502-AE502</f>
        <v/>
      </c>
      <c r="AG502" s="13">
        <f>IF(OR(B502="",B502=0,M502=""),"",M502/B502*10000)</f>
        <v/>
      </c>
      <c r="AH502" s="13">
        <f>IF(OR(C502="",C502=0),"",N502/C502*10000)</f>
        <v/>
      </c>
      <c r="AI502" s="13">
        <f>IF(OR(D502="",D502=0),"",O502/D502*10000)</f>
        <v/>
      </c>
      <c r="AJ502" s="11" t="n">
        <v>7164.283884746272</v>
      </c>
      <c r="AK502" s="11" t="n">
        <v>0</v>
      </c>
      <c r="AL502" s="22">
        <f>AE502+AJ502+AK502</f>
        <v/>
      </c>
      <c r="AM502" s="22">
        <f>AE502</f>
        <v/>
      </c>
      <c r="AN502" s="14" t="n">
        <v>27717.87</v>
      </c>
      <c r="AO502" s="15" t="n">
        <v>41.069888</v>
      </c>
      <c r="AP502" s="14" t="n">
        <v>43202403.85255512</v>
      </c>
      <c r="AQ502" s="14" t="n">
        <v>26419.8127</v>
      </c>
      <c r="AR502" s="14" t="n">
        <v>718.5359</v>
      </c>
      <c r="AS502" s="14" t="n"/>
      <c r="AT502" s="16" t="n">
        <v>434.0549432081494</v>
      </c>
      <c r="AU502" s="17" t="n">
        <v>0.0214055862</v>
      </c>
      <c r="AV502" s="14" t="n">
        <v>415720725.7617</v>
      </c>
      <c r="AW502" s="18" t="n">
        <v>60100000</v>
      </c>
      <c r="AX502" s="19" t="n">
        <v>43202403.85255512</v>
      </c>
      <c r="AY502" s="18" t="n">
        <v>3100000</v>
      </c>
      <c r="AZ502" s="18">
        <f>1000000000-999259290.6337</f>
        <v/>
      </c>
      <c r="BA502" s="20">
        <f>1000000000-AV502-AW502-AX502-AY502-AZ502</f>
        <v/>
      </c>
      <c r="BB502" s="21" t="n">
        <v>241.384938</v>
      </c>
      <c r="BC502" s="21">
        <f>BA502/1000000-BB502</f>
        <v/>
      </c>
      <c r="BD502" s="22">
        <f>BA502*42.54</f>
        <v/>
      </c>
    </row>
    <row r="503">
      <c r="A503" s="10" t="n">
        <v>46125</v>
      </c>
      <c r="B503" s="11" t="n">
        <v>5225429721.879374</v>
      </c>
      <c r="C503" s="11" t="n">
        <v>2678545109.654509</v>
      </c>
      <c r="D503" s="11" t="n">
        <v>113867245</v>
      </c>
      <c r="E503" s="11" t="n"/>
      <c r="F503" s="24" t="n">
        <v>1754263371.213507</v>
      </c>
      <c r="G503" s="24" t="n">
        <v>19728426.83156119</v>
      </c>
      <c r="H503" s="24" t="n">
        <v>12959209.27322677</v>
      </c>
      <c r="I503" s="24" t="n">
        <v>633295577.200381</v>
      </c>
      <c r="J503" s="24" t="n">
        <v>707397.5872135044</v>
      </c>
      <c r="K503" s="24" t="n">
        <v>257591127.5486191</v>
      </c>
      <c r="L503" s="22">
        <f>SUM(F503:K503)</f>
        <v/>
      </c>
      <c r="M503" s="22">
        <f>Z503/(1-R503)</f>
        <v/>
      </c>
      <c r="N503" s="11" t="n">
        <v>141636.6715210019</v>
      </c>
      <c r="O503" s="11" t="n">
        <v>59322</v>
      </c>
      <c r="P503" s="11" t="n"/>
      <c r="Q503" s="22">
        <f>M503+N503+O503+P503</f>
        <v/>
      </c>
      <c r="R503" s="12" t="n">
        <v>0.01</v>
      </c>
      <c r="S503" s="22">
        <f>M503*R503</f>
        <v/>
      </c>
      <c r="T503" s="22">
        <f>N503*R503</f>
        <v/>
      </c>
      <c r="U503" s="22">
        <f>(O503-V503)*R503</f>
        <v/>
      </c>
      <c r="V503" s="11" t="n">
        <v>10304</v>
      </c>
      <c r="W503" s="11" t="n">
        <v>50174.69860000066</v>
      </c>
      <c r="X503" s="22">
        <f>S503+T503+U503+V503+W503</f>
        <v/>
      </c>
      <c r="Y503" s="11" t="n">
        <v>138534.9262</v>
      </c>
      <c r="Z503" s="22">
        <f>AE503-AB503-AA503-AC503</f>
        <v/>
      </c>
      <c r="AA503" s="22">
        <f>N503-T503-W503</f>
        <v/>
      </c>
      <c r="AB503" s="22">
        <f>O503-V503-U503</f>
        <v/>
      </c>
      <c r="AC503" s="22">
        <f>P503</f>
        <v/>
      </c>
      <c r="AD503" s="23">
        <f>Z503+AA503+AB503+AC503</f>
        <v/>
      </c>
      <c r="AE503" s="11" t="n">
        <v>1682047.23</v>
      </c>
      <c r="AF503" s="24">
        <f>AD503-AE503</f>
        <v/>
      </c>
      <c r="AG503" s="13">
        <f>IF(OR(B503="",B503=0,M503=""),"",M503/B503*10000)</f>
        <v/>
      </c>
      <c r="AH503" s="13">
        <f>IF(OR(C503="",C503=0),"",N503/C503*10000)</f>
        <v/>
      </c>
      <c r="AI503" s="13">
        <f>IF(OR(D503="",D503=0),"",O503/D503*10000)</f>
        <v/>
      </c>
      <c r="AJ503" s="11" t="n">
        <v>11927.58847312924</v>
      </c>
      <c r="AK503" s="11" t="n">
        <v>0</v>
      </c>
      <c r="AL503" s="22">
        <f>AE503+AJ503+AK503</f>
        <v/>
      </c>
      <c r="AM503" s="22">
        <f>AE503</f>
        <v/>
      </c>
      <c r="AN503" s="14" t="n">
        <v>39230.22</v>
      </c>
      <c r="AO503" s="15" t="n">
        <v>42.876314</v>
      </c>
      <c r="AP503" s="14" t="n">
        <v>43242557.68255512</v>
      </c>
      <c r="AQ503" s="14" t="n">
        <v>26416.9001</v>
      </c>
      <c r="AR503" s="14" t="n">
        <v>228.6712</v>
      </c>
      <c r="AS503" s="14" t="n"/>
      <c r="AT503" s="16" t="n">
        <v>433.9554611328569</v>
      </c>
      <c r="AU503" s="17" t="n">
        <v>0.0214080114</v>
      </c>
      <c r="AV503" s="14" t="n">
        <v>415694308.8616</v>
      </c>
      <c r="AW503" s="18" t="n">
        <v>60100000</v>
      </c>
      <c r="AX503" s="19" t="n">
        <v>43242557.68255512</v>
      </c>
      <c r="AY503" s="18" t="n">
        <v>3100000</v>
      </c>
      <c r="AZ503" s="18">
        <f>1000000000-999259061.9625</f>
        <v/>
      </c>
      <c r="BA503" s="20">
        <f>1000000000-AV503-AW503-AX503-AY503-AZ503</f>
        <v/>
      </c>
      <c r="BB503" s="21" t="n">
        <v>241.384938</v>
      </c>
      <c r="BC503" s="21">
        <f>BA503/1000000-BB503</f>
        <v/>
      </c>
      <c r="BD503" s="22">
        <f>BA503*41.05</f>
        <v/>
      </c>
    </row>
    <row r="504">
      <c r="A504" s="10" t="n">
        <v>46126</v>
      </c>
      <c r="B504" s="11" t="n">
        <v>5636006432.707502</v>
      </c>
      <c r="C504" s="11" t="n">
        <v>2231679330.136435</v>
      </c>
      <c r="D504" s="11" t="n">
        <v>162702381</v>
      </c>
      <c r="E504" s="11" t="n"/>
      <c r="F504" s="24" t="n">
        <v>1451437535.78616</v>
      </c>
      <c r="G504" s="24" t="n">
        <v>18868590.527535</v>
      </c>
      <c r="H504" s="24" t="n">
        <v>6780607.478964905</v>
      </c>
      <c r="I504" s="24" t="n">
        <v>483828819.4092672</v>
      </c>
      <c r="J504" s="24" t="n">
        <v>719900.2951908567</v>
      </c>
      <c r="K504" s="24" t="n">
        <v>270043876.6393161</v>
      </c>
      <c r="L504" s="22">
        <f>SUM(F504:K504)</f>
        <v/>
      </c>
      <c r="M504" s="22">
        <f>Z504/(1-R504)</f>
        <v/>
      </c>
      <c r="N504" s="11" t="n">
        <v>111623.3396879991</v>
      </c>
      <c r="O504" s="11" t="n">
        <v>83581</v>
      </c>
      <c r="P504" s="11" t="n"/>
      <c r="Q504" s="22">
        <f>M504+N504+O504+P504</f>
        <v/>
      </c>
      <c r="R504" s="12" t="n">
        <v>0.01</v>
      </c>
      <c r="S504" s="22">
        <f>M504*R504</f>
        <v/>
      </c>
      <c r="T504" s="22">
        <f>N504*R504</f>
        <v/>
      </c>
      <c r="U504" s="22">
        <f>(O504-V504)*R504</f>
        <v/>
      </c>
      <c r="V504" s="11" t="n">
        <v>18388</v>
      </c>
      <c r="W504" s="11" t="n">
        <v>39312.94767799933</v>
      </c>
      <c r="X504" s="22">
        <f>S504+T504+U504+V504+W504</f>
        <v/>
      </c>
      <c r="Y504" s="11" t="n">
        <v>136265.4819</v>
      </c>
      <c r="Z504" s="22">
        <f>AE504-AB504-AA504-AC504</f>
        <v/>
      </c>
      <c r="AA504" s="22">
        <f>N504-T504-W504</f>
        <v/>
      </c>
      <c r="AB504" s="22">
        <f>O504-V504-U504</f>
        <v/>
      </c>
      <c r="AC504" s="22">
        <f>P504</f>
        <v/>
      </c>
      <c r="AD504" s="23">
        <f>Z504+AA504+AB504+AC504</f>
        <v/>
      </c>
      <c r="AE504" s="11" t="n">
        <v>1896392.55</v>
      </c>
      <c r="AF504" s="24">
        <f>AD504-AE504</f>
        <v/>
      </c>
      <c r="AG504" s="13">
        <f>IF(OR(B504="",B504=0,M504=""),"",M504/B504*10000)</f>
        <v/>
      </c>
      <c r="AH504" s="13">
        <f>IF(OR(C504="",C504=0),"",N504/C504*10000)</f>
        <v/>
      </c>
      <c r="AI504" s="13">
        <f>IF(OR(D504="",D504=0),"",O504/D504*10000)</f>
        <v/>
      </c>
      <c r="AJ504" s="11" t="n">
        <v>13024.60045250609</v>
      </c>
      <c r="AK504" s="11" t="n">
        <v>0</v>
      </c>
      <c r="AL504" s="22">
        <f>AE504+AJ504+AK504</f>
        <v/>
      </c>
      <c r="AM504" s="22">
        <f>AE504</f>
        <v/>
      </c>
      <c r="AN504" s="14" t="n">
        <v>42938.42</v>
      </c>
      <c r="AO504" s="15" t="n">
        <v>44.165401</v>
      </c>
      <c r="AP504" s="14" t="n">
        <v>43285637.74255512</v>
      </c>
      <c r="AQ504" s="14" t="n">
        <v>26453.2855</v>
      </c>
      <c r="AR504" s="14" t="n">
        <v>997.557</v>
      </c>
      <c r="AS504" s="14" t="n"/>
      <c r="AT504" s="16" t="n">
        <v>435.4302641902664</v>
      </c>
      <c r="AU504" s="17" t="n">
        <v>0.0213721433</v>
      </c>
      <c r="AV504" s="14" t="n">
        <v>415667855.5761</v>
      </c>
      <c r="AW504" s="18" t="n">
        <v>60100000</v>
      </c>
      <c r="AX504" s="19" t="n">
        <v>43285637.74255512</v>
      </c>
      <c r="AY504" s="18" t="n">
        <v>3100000</v>
      </c>
      <c r="AZ504" s="18">
        <f>1000000000-999258064.4055</f>
        <v/>
      </c>
      <c r="BA504" s="20">
        <f>1000000000-AV504-AW504-AX504-AY504-AZ504</f>
        <v/>
      </c>
      <c r="BB504" s="21" t="n">
        <v>241.384938</v>
      </c>
      <c r="BC504" s="21">
        <f>BA504/1000000-BB504</f>
        <v/>
      </c>
      <c r="BD504" s="22">
        <f>BA504*44.77</f>
        <v/>
      </c>
    </row>
    <row r="505">
      <c r="A505" s="10" t="n">
        <v>46127</v>
      </c>
      <c r="B505" s="11" t="n">
        <v>3983716754.291204</v>
      </c>
      <c r="C505" s="11" t="n">
        <v>2053939952.203295</v>
      </c>
      <c r="D505" s="11" t="n">
        <v>115480502</v>
      </c>
      <c r="E505" s="11" t="n"/>
      <c r="F505" s="24" t="n">
        <v>1164847195.908802</v>
      </c>
      <c r="G505" s="24" t="n">
        <v>12720953.8268162</v>
      </c>
      <c r="H505" s="24" t="n">
        <v>8563367.778595503</v>
      </c>
      <c r="I505" s="24" t="n">
        <v>622797191.8686856</v>
      </c>
      <c r="J505" s="24" t="n">
        <v>461480.7036541395</v>
      </c>
      <c r="K505" s="24" t="n">
        <v>244549762.1167409</v>
      </c>
      <c r="L505" s="22">
        <f>SUM(F505:K505)</f>
        <v/>
      </c>
      <c r="M505" s="22">
        <f>Z505/(1-R505)</f>
        <v/>
      </c>
      <c r="N505" s="11" t="n">
        <v>108922.52095</v>
      </c>
      <c r="O505" s="11" t="n">
        <v>58909</v>
      </c>
      <c r="P505" s="11" t="n"/>
      <c r="Q505" s="22">
        <f>M505+N505+O505+P505</f>
        <v/>
      </c>
      <c r="R505" s="12" t="n">
        <v>0.01</v>
      </c>
      <c r="S505" s="22">
        <f>M505*R505</f>
        <v/>
      </c>
      <c r="T505" s="22">
        <f>N505*R505</f>
        <v/>
      </c>
      <c r="U505" s="22">
        <f>(O505-V505)*R505</f>
        <v/>
      </c>
      <c r="V505" s="11" t="n">
        <v>14245</v>
      </c>
      <c r="W505" s="11" t="n">
        <v>39405.59319400043</v>
      </c>
      <c r="X505" s="22">
        <f>S505+T505+U505+V505+W505</f>
        <v/>
      </c>
      <c r="Y505" s="11" t="n">
        <v>104383.5164</v>
      </c>
      <c r="Z505" s="22">
        <f>AE505-AB505-AA505-AC505</f>
        <v/>
      </c>
      <c r="AA505" s="22">
        <f>N505-T505-W505</f>
        <v/>
      </c>
      <c r="AB505" s="22">
        <f>O505-V505-U505</f>
        <v/>
      </c>
      <c r="AC505" s="22">
        <f>P505</f>
        <v/>
      </c>
      <c r="AD505" s="23">
        <f>Z505+AA505+AB505+AC505</f>
        <v/>
      </c>
      <c r="AE505" s="11" t="n">
        <v>1324651.59</v>
      </c>
      <c r="AF505" s="24">
        <f>AD505-AE505</f>
        <v/>
      </c>
      <c r="AG505" s="13">
        <f>IF(OR(B505="",B505=0,M505=""),"",M505/B505*10000)</f>
        <v/>
      </c>
      <c r="AH505" s="13">
        <f>IF(OR(C505="",C505=0),"",N505/C505*10000)</f>
        <v/>
      </c>
      <c r="AI505" s="13">
        <f>IF(OR(D505="",D505=0),"",O505/D505*10000)</f>
        <v/>
      </c>
      <c r="AJ505" s="11" t="n">
        <v>10306.39943497868</v>
      </c>
      <c r="AK505" s="11" t="n">
        <v>21750.05</v>
      </c>
      <c r="AL505" s="22">
        <f>AE505+AJ505+AK505</f>
        <v/>
      </c>
      <c r="AM505" s="22">
        <f>AE505</f>
        <v/>
      </c>
      <c r="AN505" s="14" t="n">
        <v>29919.89</v>
      </c>
      <c r="AO505" s="15" t="n">
        <v>44.273278</v>
      </c>
      <c r="AP505" s="14" t="n">
        <v>43315329.98255512</v>
      </c>
      <c r="AQ505" s="14" t="n">
        <v>26464.6572</v>
      </c>
      <c r="AR505" s="14" t="n">
        <v>421.2748</v>
      </c>
      <c r="AS505" s="14" t="n"/>
      <c r="AT505" s="16" t="n">
        <v>435.5687296597019</v>
      </c>
      <c r="AU505" s="17" t="n">
        <v>0.0213687851</v>
      </c>
      <c r="AV505" s="14" t="n">
        <v>415641390.9189</v>
      </c>
      <c r="AW505" s="18" t="n">
        <v>60100000</v>
      </c>
      <c r="AX505" s="19" t="n">
        <v>43315329.98255512</v>
      </c>
      <c r="AY505" s="18" t="n">
        <v>3100000</v>
      </c>
      <c r="AZ505" s="18">
        <f>1000000000-999257643.1308</f>
        <v/>
      </c>
      <c r="BA505" s="20">
        <f>1000000000-AV505-AW505-AX505-AY505-AZ505</f>
        <v/>
      </c>
      <c r="BB505" s="21" t="n">
        <v>241.384938</v>
      </c>
      <c r="BC505" s="21">
        <f>BA505/1000000-BB505</f>
        <v/>
      </c>
      <c r="BD505" s="22">
        <f>BA505*43.8</f>
        <v/>
      </c>
    </row>
    <row r="506">
      <c r="A506" s="10" t="n">
        <v>46128</v>
      </c>
      <c r="B506" s="11" t="n">
        <v>5152428912.718777</v>
      </c>
      <c r="C506" s="11" t="n">
        <v>1795518681.077816</v>
      </c>
      <c r="D506" s="11" t="n">
        <v>141168806</v>
      </c>
      <c r="E506" s="11" t="n"/>
      <c r="F506" s="24" t="n">
        <v>914291666.3498105</v>
      </c>
      <c r="G506" s="24" t="n">
        <v>22629245.56538774</v>
      </c>
      <c r="H506" s="24" t="n">
        <v>3756592.565148938</v>
      </c>
      <c r="I506" s="24" t="n">
        <v>605111663.1475743</v>
      </c>
      <c r="J506" s="24" t="n">
        <v>303992.8594222871</v>
      </c>
      <c r="K506" s="24" t="n">
        <v>249425520.5904726</v>
      </c>
      <c r="L506" s="22">
        <f>SUM(F506:K506)</f>
        <v/>
      </c>
      <c r="M506" s="22">
        <f>Z506/(1-R506)</f>
        <v/>
      </c>
      <c r="N506" s="11" t="n">
        <v>89009.32995500012</v>
      </c>
      <c r="O506" s="11" t="n">
        <v>79066</v>
      </c>
      <c r="P506" s="11" t="n"/>
      <c r="Q506" s="22">
        <f>M506+N506+O506+P506</f>
        <v/>
      </c>
      <c r="R506" s="12" t="n">
        <v>0.01</v>
      </c>
      <c r="S506" s="22">
        <f>M506*R506</f>
        <v/>
      </c>
      <c r="T506" s="22">
        <f>N506*R506</f>
        <v/>
      </c>
      <c r="U506" s="22">
        <f>(O506-V506)*R506</f>
        <v/>
      </c>
      <c r="V506" s="11" t="n">
        <v>15632</v>
      </c>
      <c r="W506" s="11" t="n">
        <v>30197.11414199951</v>
      </c>
      <c r="X506" s="22">
        <f>S506+T506+U506+V506+W506</f>
        <v/>
      </c>
      <c r="Y506" s="11" t="n">
        <v>144010.6915</v>
      </c>
      <c r="Z506" s="22">
        <f>AE506-AB506-AA506-AC506</f>
        <v/>
      </c>
      <c r="AA506" s="22">
        <f>N506-T506-W506</f>
        <v/>
      </c>
      <c r="AB506" s="22">
        <f>O506-V506-U506</f>
        <v/>
      </c>
      <c r="AC506" s="22">
        <f>P506</f>
        <v/>
      </c>
      <c r="AD506" s="23">
        <f>Z506+AA506+AB506+AC506</f>
        <v/>
      </c>
      <c r="AE506" s="11" t="n">
        <v>1662817.42</v>
      </c>
      <c r="AF506" s="24">
        <f>AD506-AE506</f>
        <v/>
      </c>
      <c r="AG506" s="13">
        <f>IF(OR(B506="",B506=0,M506=""),"",M506/B506*10000)</f>
        <v/>
      </c>
      <c r="AH506" s="13">
        <f>IF(OR(C506="",C506=0),"",N506/C506*10000)</f>
        <v/>
      </c>
      <c r="AI506" s="13">
        <f>IF(OR(D506="",D506=0),"",O506/D506*10000)</f>
        <v/>
      </c>
      <c r="AJ506" s="11" t="n">
        <v>9956.86262909146</v>
      </c>
      <c r="AK506" s="11" t="n">
        <v>0</v>
      </c>
      <c r="AL506" s="22">
        <f>AE506+AJ506+AK506</f>
        <v/>
      </c>
      <c r="AM506" s="22">
        <f>AE506</f>
        <v/>
      </c>
      <c r="AN506" s="14" t="n">
        <v>37404.67</v>
      </c>
      <c r="AO506" s="15" t="n">
        <v>44.454808</v>
      </c>
      <c r="AP506" s="14" t="n">
        <v>43352296.74255512</v>
      </c>
      <c r="AQ506" s="14" t="n">
        <v>26464.5846</v>
      </c>
      <c r="AR506" s="14" t="n">
        <v>1297.7344</v>
      </c>
      <c r="AS506" s="14" t="n"/>
      <c r="AT506" s="16" t="n">
        <v>433.4223858995285</v>
      </c>
      <c r="AU506" s="17" t="n">
        <v>0.0214210208</v>
      </c>
      <c r="AV506" s="14" t="n">
        <v>415614926.3342</v>
      </c>
      <c r="AW506" s="18" t="n">
        <v>60100000</v>
      </c>
      <c r="AX506" s="19" t="n">
        <v>43352296.74255512</v>
      </c>
      <c r="AY506" s="18" t="n">
        <v>3100000</v>
      </c>
      <c r="AZ506" s="18">
        <f>1000000000-999256345.3963</f>
        <v/>
      </c>
      <c r="BA506" s="20">
        <f>1000000000-AV506-AW506-AX506-AY506-AZ506</f>
        <v/>
      </c>
      <c r="BB506" s="21" t="n">
        <v>241.384938</v>
      </c>
      <c r="BC506" s="21">
        <f>BA506/1000000-BB506</f>
        <v/>
      </c>
      <c r="BD506" s="22">
        <f>BA506*44.53</f>
        <v/>
      </c>
    </row>
    <row r="507">
      <c r="A507" s="10" t="n">
        <v>46129</v>
      </c>
      <c r="B507" s="11" t="n">
        <v>5845282990.374962</v>
      </c>
      <c r="C507" s="11" t="n">
        <v>2653685902.161241</v>
      </c>
      <c r="D507" s="11" t="n">
        <v>158902450</v>
      </c>
      <c r="E507" s="11" t="n"/>
      <c r="F507" s="24" t="n">
        <v>1739768836.300764</v>
      </c>
      <c r="G507" s="24" t="n">
        <v>33699463.89420103</v>
      </c>
      <c r="H507" s="24" t="n">
        <v>9297806.120509526</v>
      </c>
      <c r="I507" s="24" t="n">
        <v>627245072.0945941</v>
      </c>
      <c r="J507" s="24" t="n">
        <v>903474.4514025364</v>
      </c>
      <c r="K507" s="24" t="n">
        <v>242771249.2997701</v>
      </c>
      <c r="L507" s="22">
        <f>SUM(F507:K507)</f>
        <v/>
      </c>
      <c r="M507" s="22">
        <f>Z507/(1-R507)</f>
        <v/>
      </c>
      <c r="N507" s="11" t="n">
        <v>131750.9045259969</v>
      </c>
      <c r="O507" s="11" t="n">
        <v>84416</v>
      </c>
      <c r="P507" s="11" t="n"/>
      <c r="Q507" s="22">
        <f>M507+N507+O507+P507</f>
        <v/>
      </c>
      <c r="R507" s="12" t="n">
        <v>0.01</v>
      </c>
      <c r="S507" s="22">
        <f>M507*R507</f>
        <v/>
      </c>
      <c r="T507" s="22">
        <f>N507*R507</f>
        <v/>
      </c>
      <c r="U507" s="22">
        <f>(O507-V507)*R507</f>
        <v/>
      </c>
      <c r="V507" s="11" t="n">
        <v>21248</v>
      </c>
      <c r="W507" s="11" t="n">
        <v>46441.80874599989</v>
      </c>
      <c r="X507" s="22">
        <f>S507+T507+U507+V507+W507</f>
        <v/>
      </c>
      <c r="Y507" s="11" t="n">
        <v>122965.8608</v>
      </c>
      <c r="Z507" s="22">
        <f>AE507-AB507-AA507-AC507</f>
        <v/>
      </c>
      <c r="AA507" s="22">
        <f>N507-T507-W507</f>
        <v/>
      </c>
      <c r="AB507" s="22">
        <f>O507-V507-U507</f>
        <v/>
      </c>
      <c r="AC507" s="22">
        <f>P507</f>
        <v/>
      </c>
      <c r="AD507" s="23">
        <f>Z507+AA507+AB507+AC507</f>
        <v/>
      </c>
      <c r="AE507" s="11" t="n">
        <v>1926748.5</v>
      </c>
      <c r="AF507" s="24">
        <f>AD507-AE507</f>
        <v/>
      </c>
      <c r="AG507" s="13">
        <f>IF(OR(B507="",B507=0,M507=""),"",M507/B507*10000)</f>
        <v/>
      </c>
      <c r="AH507" s="13">
        <f>IF(OR(C507="",C507=0),"",N507/C507*10000)</f>
        <v/>
      </c>
      <c r="AI507" s="13">
        <f>IF(OR(D507="",D507=0),"",O507/D507*10000)</f>
        <v/>
      </c>
      <c r="AJ507" s="11" t="n">
        <v>11526.6433888988</v>
      </c>
      <c r="AK507" s="11" t="n">
        <v>22399.3</v>
      </c>
      <c r="AL507" s="22">
        <f>AE507+AJ507+AK507</f>
        <v/>
      </c>
      <c r="AM507" s="22">
        <f>AE507</f>
        <v/>
      </c>
      <c r="AN507" s="14" t="n">
        <v>43321.04</v>
      </c>
      <c r="AO507" s="15" t="n">
        <v>44.476044</v>
      </c>
      <c r="AP507" s="14" t="n">
        <v>43395448.83255512</v>
      </c>
      <c r="AQ507" s="14" t="n">
        <v>26437.0983</v>
      </c>
      <c r="AR507" s="14" t="n">
        <v>555.5300999999999</v>
      </c>
      <c r="AS507" s="14" t="n"/>
      <c r="AT507" s="16" t="n">
        <v>434.8905615438804</v>
      </c>
      <c r="AU507" s="17" t="n">
        <v>0.0213852482</v>
      </c>
      <c r="AV507" s="14" t="n">
        <v>415588489.236</v>
      </c>
      <c r="AW507" s="18" t="n">
        <v>60100000</v>
      </c>
      <c r="AX507" s="19" t="n">
        <v>43395448.83255512</v>
      </c>
      <c r="AY507" s="18" t="n">
        <v>3100000</v>
      </c>
      <c r="AZ507" s="18">
        <f>1000000000-999255789.8663</f>
        <v/>
      </c>
      <c r="BA507" s="20">
        <f>1000000000-AV507-AW507-AX507-AY507-AZ507</f>
        <v/>
      </c>
      <c r="BB507" s="21" t="n">
        <v>241.384938</v>
      </c>
      <c r="BC507" s="21">
        <f>BA507/1000000-BB507</f>
        <v/>
      </c>
      <c r="BD507" s="22">
        <f>BA507*44.09</f>
        <v/>
      </c>
    </row>
    <row r="508">
      <c r="A508" s="10" t="n">
        <v>46130</v>
      </c>
      <c r="B508" s="11" t="n">
        <v>2685569943.68555</v>
      </c>
      <c r="C508" s="11" t="n">
        <v>706595265.2719916</v>
      </c>
      <c r="D508" s="11" t="n">
        <v>73766452</v>
      </c>
      <c r="E508" s="11" t="n"/>
      <c r="F508" s="24" t="n">
        <v>477122499.2384136</v>
      </c>
      <c r="G508" s="24" t="n">
        <v>14651579.21018297</v>
      </c>
      <c r="H508" s="24" t="n">
        <v>12857725.03364569</v>
      </c>
      <c r="I508" s="24" t="n">
        <v>126322148.8579372</v>
      </c>
      <c r="J508" s="24" t="n">
        <v>715236.3577840418</v>
      </c>
      <c r="K508" s="24" t="n">
        <v>74926076.57402827</v>
      </c>
      <c r="L508" s="22">
        <f>SUM(F508:K508)</f>
        <v/>
      </c>
      <c r="M508" s="22">
        <f>Z508/(1-R508)</f>
        <v/>
      </c>
      <c r="N508" s="11" t="n">
        <v>64035.01179999788</v>
      </c>
      <c r="O508" s="11" t="n">
        <v>38508</v>
      </c>
      <c r="P508" s="11" t="n"/>
      <c r="Q508" s="22">
        <f>M508+N508+O508+P508</f>
        <v/>
      </c>
      <c r="R508" s="12" t="n">
        <v>0.01</v>
      </c>
      <c r="S508" s="22">
        <f>M508*R508</f>
        <v/>
      </c>
      <c r="T508" s="22">
        <f>N508*R508</f>
        <v/>
      </c>
      <c r="U508" s="22">
        <f>(O508-V508)*R508</f>
        <v/>
      </c>
      <c r="V508" s="11" t="n">
        <v>7810</v>
      </c>
      <c r="W508" s="11" t="n">
        <v>18995.62656100009</v>
      </c>
      <c r="X508" s="22">
        <f>S508+T508+U508+V508+W508</f>
        <v/>
      </c>
      <c r="Y508" s="11" t="n">
        <v>101795.2231</v>
      </c>
      <c r="Z508" s="22">
        <f>AE508-AB508-AA508-AC508</f>
        <v/>
      </c>
      <c r="AA508" s="22">
        <f>N508-T508-W508</f>
        <v/>
      </c>
      <c r="AB508" s="22">
        <f>O508-V508-U508</f>
        <v/>
      </c>
      <c r="AC508" s="22">
        <f>P508</f>
        <v/>
      </c>
      <c r="AD508" s="23">
        <f>Z508+AA508+AB508+AC508</f>
        <v/>
      </c>
      <c r="AE508" s="11" t="n">
        <v>877262.95</v>
      </c>
      <c r="AF508" s="24">
        <f>AD508-AE508</f>
        <v/>
      </c>
      <c r="AG508" s="13">
        <f>IF(OR(B508="",B508=0,M508=""),"",M508/B508*10000)</f>
        <v/>
      </c>
      <c r="AH508" s="13">
        <f>IF(OR(C508="",C508=0),"",N508/C508*10000)</f>
        <v/>
      </c>
      <c r="AI508" s="13">
        <f>IF(OR(D508="",D508=0),"",O508/D508*10000)</f>
        <v/>
      </c>
      <c r="AJ508" s="11" t="n">
        <v>6439.845551258521</v>
      </c>
      <c r="AK508" s="11" t="n">
        <v>0</v>
      </c>
      <c r="AL508" s="22">
        <f>AE508+AJ508+AK508</f>
        <v/>
      </c>
      <c r="AM508" s="22">
        <f>AE508</f>
        <v/>
      </c>
      <c r="AN508" s="14" t="n">
        <v>19741.81</v>
      </c>
      <c r="AO508" s="15" t="n">
        <v>44.436805</v>
      </c>
      <c r="AP508" s="14" t="n">
        <v>43415762.77255512</v>
      </c>
      <c r="AQ508" s="14" t="n">
        <v>26451.3725</v>
      </c>
      <c r="AR508" s="14" t="n">
        <v>1425.6598</v>
      </c>
      <c r="AS508" s="14" t="n"/>
      <c r="AT508" s="16" t="n">
        <v>435.3627506961535</v>
      </c>
      <c r="AU508" s="17" t="n">
        <v>0.0213737813</v>
      </c>
      <c r="AV508" s="14" t="n">
        <v>415562037.8635</v>
      </c>
      <c r="AW508" s="18" t="n">
        <v>60100000</v>
      </c>
      <c r="AX508" s="19" t="n">
        <v>43415762.77255512</v>
      </c>
      <c r="AY508" s="18" t="n">
        <v>3100000</v>
      </c>
      <c r="AZ508" s="18">
        <f>1000000000-999254364.2064</f>
        <v/>
      </c>
      <c r="BA508" s="20">
        <f>1000000000-AV508-AW508-AX508-AY508-AZ508</f>
        <v/>
      </c>
      <c r="BB508" s="21" t="n">
        <v>241.384938</v>
      </c>
      <c r="BC508" s="21">
        <f>BA508/1000000-BB508</f>
        <v/>
      </c>
      <c r="BD508" s="22">
        <f>BA508*44.77</f>
        <v/>
      </c>
    </row>
    <row r="509">
      <c r="A509" s="10" t="n">
        <v>46131</v>
      </c>
      <c r="B509" s="11" t="n">
        <v>4194223383.252233</v>
      </c>
      <c r="C509" s="11" t="n">
        <v>1108742979.164361</v>
      </c>
      <c r="D509" s="11" t="n">
        <v>119868281</v>
      </c>
      <c r="E509" s="11" t="n"/>
      <c r="F509" s="24" t="n">
        <v>820376719.180005</v>
      </c>
      <c r="G509" s="24" t="n">
        <v>14837284.92267681</v>
      </c>
      <c r="H509" s="24" t="n">
        <v>14642354.55716066</v>
      </c>
      <c r="I509" s="24" t="n">
        <v>173128530.7283267</v>
      </c>
      <c r="J509" s="24" t="n">
        <v>759263.5416261274</v>
      </c>
      <c r="K509" s="24" t="n">
        <v>84998826.23456554</v>
      </c>
      <c r="L509" s="22">
        <f>SUM(F509:K509)</f>
        <v/>
      </c>
      <c r="M509" s="22">
        <f>Z509/(1-R509)</f>
        <v/>
      </c>
      <c r="N509" s="11" t="n">
        <v>79880.1014869986</v>
      </c>
      <c r="O509" s="11" t="n">
        <v>60343</v>
      </c>
      <c r="P509" s="11" t="n"/>
      <c r="Q509" s="22">
        <f>M509+N509+O509+P509</f>
        <v/>
      </c>
      <c r="R509" s="12" t="n">
        <v>0.01</v>
      </c>
      <c r="S509" s="22">
        <f>M509*R509</f>
        <v/>
      </c>
      <c r="T509" s="22">
        <f>N509*R509</f>
        <v/>
      </c>
      <c r="U509" s="22">
        <f>(O509-V509)*R509</f>
        <v/>
      </c>
      <c r="V509" s="11" t="n">
        <v>11659</v>
      </c>
      <c r="W509" s="11" t="n">
        <v>25192.96617400015</v>
      </c>
      <c r="X509" s="22">
        <f>S509+T509+U509+V509+W509</f>
        <v/>
      </c>
      <c r="Y509" s="11" t="n">
        <v>112290.151</v>
      </c>
      <c r="Z509" s="22">
        <f>AE509-AB509-AA509-AC509</f>
        <v/>
      </c>
      <c r="AA509" s="22">
        <f>N509-T509-W509</f>
        <v/>
      </c>
      <c r="AB509" s="22">
        <f>O509-V509-U509</f>
        <v/>
      </c>
      <c r="AC509" s="22">
        <f>P509</f>
        <v/>
      </c>
      <c r="AD509" s="23">
        <f>Z509+AA509+AB509+AC509</f>
        <v/>
      </c>
      <c r="AE509" s="11" t="n">
        <v>1367863.42</v>
      </c>
      <c r="AF509" s="24">
        <f>AD509-AE509</f>
        <v/>
      </c>
      <c r="AG509" s="13">
        <f>IF(OR(B509="",B509=0,M509=""),"",M509/B509*10000)</f>
        <v/>
      </c>
      <c r="AH509" s="13">
        <f>IF(OR(C509="",C509=0),"",N509/C509*10000)</f>
        <v/>
      </c>
      <c r="AI509" s="13">
        <f>IF(OR(D509="",D509=0),"",O509/D509*10000)</f>
        <v/>
      </c>
      <c r="AJ509" s="11" t="n">
        <v>8494.466492733029</v>
      </c>
      <c r="AK509" s="11" t="n">
        <v>0</v>
      </c>
      <c r="AL509" s="22">
        <f>AE509+AJ509+AK509</f>
        <v/>
      </c>
      <c r="AM509" s="22">
        <f>AE509</f>
        <v/>
      </c>
      <c r="AN509" s="14" t="n">
        <v>32142.71</v>
      </c>
      <c r="AO509" s="15" t="n">
        <v>42.555946</v>
      </c>
      <c r="AP509" s="14" t="n">
        <v>43447726.66255512</v>
      </c>
      <c r="AQ509" s="14" t="n">
        <v>26456.7739</v>
      </c>
      <c r="AR509" s="14" t="n">
        <v>153.5438</v>
      </c>
      <c r="AS509" s="14" t="n"/>
      <c r="AT509" s="16" t="n">
        <v>435.196796390688</v>
      </c>
      <c r="AU509" s="17" t="n">
        <v>0.0213778094</v>
      </c>
      <c r="AV509" s="14" t="n">
        <v>415535581.0896</v>
      </c>
      <c r="AW509" s="18" t="n">
        <v>60100000</v>
      </c>
      <c r="AX509" s="19" t="n">
        <v>43447726.66255512</v>
      </c>
      <c r="AY509" s="18" t="n">
        <v>3100000</v>
      </c>
      <c r="AZ509" s="18">
        <f>1000000000-999254210.6627</f>
        <v/>
      </c>
      <c r="BA509" s="20">
        <f>1000000000-AV509-AW509-AX509-AY509-AZ509</f>
        <v/>
      </c>
      <c r="BB509" s="21" t="n">
        <v>241.384938</v>
      </c>
      <c r="BC509" s="21">
        <f>BA509/1000000-BB509</f>
        <v/>
      </c>
      <c r="BD509" s="22">
        <f>BA509*43.71</f>
        <v/>
      </c>
    </row>
    <row r="510">
      <c r="A510" s="10" t="n">
        <v>46132</v>
      </c>
      <c r="B510" s="11" t="n">
        <v>4062722909.859104</v>
      </c>
      <c r="C510" s="11" t="n">
        <v>2138804366.127929</v>
      </c>
      <c r="D510" s="11" t="n">
        <v>103370678</v>
      </c>
      <c r="E510" s="11" t="n"/>
      <c r="F510" s="24" t="n">
        <v>1335460412.605338</v>
      </c>
      <c r="G510" s="24" t="n">
        <v>26256834.25058166</v>
      </c>
      <c r="H510" s="24" t="n">
        <v>6180750.708321531</v>
      </c>
      <c r="I510" s="24" t="n">
        <v>525020752.7126997</v>
      </c>
      <c r="J510" s="24" t="n">
        <v>670916.2137738912</v>
      </c>
      <c r="K510" s="24" t="n">
        <v>245214699.6372139</v>
      </c>
      <c r="L510" s="22">
        <f>SUM(F510:K510)</f>
        <v/>
      </c>
      <c r="M510" s="22">
        <f>Z510/(1-R510)</f>
        <v/>
      </c>
      <c r="N510" s="11" t="n">
        <v>105281.3570190023</v>
      </c>
      <c r="O510" s="11" t="n">
        <v>49071</v>
      </c>
      <c r="P510" s="11" t="n"/>
      <c r="Q510" s="22">
        <f>M510+N510+O510+P510</f>
        <v/>
      </c>
      <c r="R510" s="12" t="n">
        <v>0.01</v>
      </c>
      <c r="S510" s="22">
        <f>M510*R510</f>
        <v/>
      </c>
      <c r="T510" s="22">
        <f>N510*R510</f>
        <v/>
      </c>
      <c r="U510" s="22">
        <f>(O510-V510)*R510</f>
        <v/>
      </c>
      <c r="V510" s="11" t="n">
        <v>12914</v>
      </c>
      <c r="W510" s="11" t="n">
        <v>38269.30440699982</v>
      </c>
      <c r="X510" s="22">
        <f>S510+T510+U510+V510+W510</f>
        <v/>
      </c>
      <c r="Y510" s="11" t="n">
        <v>99218.9246</v>
      </c>
      <c r="Z510" s="22">
        <f>AE510-AB510-AA510-AC510</f>
        <v/>
      </c>
      <c r="AA510" s="22">
        <f>N510-T510-W510</f>
        <v/>
      </c>
      <c r="AB510" s="22">
        <f>O510-V510-U510</f>
        <v/>
      </c>
      <c r="AC510" s="22">
        <f>P510</f>
        <v/>
      </c>
      <c r="AD510" s="23">
        <f>Z510+AA510+AB510+AC510</f>
        <v/>
      </c>
      <c r="AE510" s="11" t="n">
        <v>1298285.79</v>
      </c>
      <c r="AF510" s="24">
        <f>AD510-AE510</f>
        <v/>
      </c>
      <c r="AG510" s="13">
        <f>IF(OR(B510="",B510=0,M510=""),"",M510/B510*10000)</f>
        <v/>
      </c>
      <c r="AH510" s="13">
        <f>IF(OR(C510="",C510=0),"",N510/C510*10000)</f>
        <v/>
      </c>
      <c r="AI510" s="13">
        <f>IF(OR(D510="",D510=0),"",O510/D510*10000)</f>
        <v/>
      </c>
      <c r="AJ510" s="11" t="n">
        <v>8332.265406746117</v>
      </c>
      <c r="AK510" s="11" t="n">
        <v>20321.64</v>
      </c>
      <c r="AL510" s="22">
        <f>AE510+AJ510+AK510</f>
        <v/>
      </c>
      <c r="AM510" s="22">
        <f>AE510</f>
        <v/>
      </c>
      <c r="AN510" s="14" t="n">
        <v>31533.61</v>
      </c>
      <c r="AO510" s="15" t="n">
        <v>41.171493</v>
      </c>
      <c r="AP510" s="14" t="n">
        <v>43479794.67255512</v>
      </c>
      <c r="AQ510" s="14" t="n">
        <v>26450.7888</v>
      </c>
      <c r="AR510" s="14" t="n">
        <v>773.1407</v>
      </c>
      <c r="AS510" s="14" t="n"/>
      <c r="AT510" s="16" t="n">
        <v>434.7878449545013</v>
      </c>
      <c r="AU510" s="17" t="n">
        <v>0.0213877451</v>
      </c>
      <c r="AV510" s="14" t="n">
        <v>415509130.3008</v>
      </c>
      <c r="AW510" s="18" t="n">
        <v>60100000</v>
      </c>
      <c r="AX510" s="19" t="n">
        <v>43479794.67255512</v>
      </c>
      <c r="AY510" s="18" t="n">
        <v>3100000</v>
      </c>
      <c r="AZ510" s="18">
        <f>1000000000-999253437.5219</f>
        <v/>
      </c>
      <c r="BA510" s="20">
        <f>1000000000-AV510-AW510-AX510-AY510-AZ510</f>
        <v/>
      </c>
      <c r="BB510" s="21" t="n">
        <v>241.384938</v>
      </c>
      <c r="BC510" s="21">
        <f>BA510/1000000-BB510</f>
        <v/>
      </c>
      <c r="BD510" s="22">
        <f>BA510*41.09</f>
        <v/>
      </c>
    </row>
    <row r="511">
      <c r="A511" s="10" t="n">
        <v>46133</v>
      </c>
      <c r="B511" s="11" t="n">
        <v>4953480933.348507</v>
      </c>
      <c r="C511" s="11" t="n">
        <v>2529732384.24481</v>
      </c>
      <c r="D511" s="11" t="n">
        <v>138769783</v>
      </c>
      <c r="E511" s="11" t="n"/>
      <c r="F511" s="24" t="n">
        <v>1717999237.388023</v>
      </c>
      <c r="G511" s="24" t="n">
        <v>15459409.69717745</v>
      </c>
      <c r="H511" s="24" t="n">
        <v>16483352.67769161</v>
      </c>
      <c r="I511" s="24" t="n">
        <v>555225698.9188272</v>
      </c>
      <c r="J511" s="24" t="n">
        <v>905022.0283108779</v>
      </c>
      <c r="K511" s="24" t="n">
        <v>223659663.5347804</v>
      </c>
      <c r="L511" s="22">
        <f>SUM(F511:K511)</f>
        <v/>
      </c>
      <c r="M511" s="22">
        <f>Z511/(1-R511)</f>
        <v/>
      </c>
      <c r="N511" s="11" t="n">
        <v>133363.4608250012</v>
      </c>
      <c r="O511" s="11" t="n">
        <v>74746</v>
      </c>
      <c r="P511" s="11" t="n"/>
      <c r="Q511" s="22">
        <f>M511+N511+O511+P511</f>
        <v/>
      </c>
      <c r="R511" s="12" t="n">
        <v>0.01</v>
      </c>
      <c r="S511" s="22">
        <f>M511*R511</f>
        <v/>
      </c>
      <c r="T511" s="22">
        <f>N511*R511</f>
        <v/>
      </c>
      <c r="U511" s="22">
        <f>(O511-V511)*R511</f>
        <v/>
      </c>
      <c r="V511" s="11" t="n">
        <v>17978</v>
      </c>
      <c r="W511" s="11" t="n">
        <v>47498.62973599919</v>
      </c>
      <c r="X511" s="22">
        <f>S511+T511+U511+V511+W511</f>
        <v/>
      </c>
      <c r="Y511" s="11" t="n">
        <v>141274.8382</v>
      </c>
      <c r="Z511" s="22">
        <f>AE511-AB511-AA511-AC511</f>
        <v/>
      </c>
      <c r="AA511" s="22">
        <f>N511-T511-W511</f>
        <v/>
      </c>
      <c r="AB511" s="22">
        <f>O511-V511-U511</f>
        <v/>
      </c>
      <c r="AC511" s="22">
        <f>P511</f>
        <v/>
      </c>
      <c r="AD511" s="23">
        <f>Z511+AA511+AB511+AC511</f>
        <v/>
      </c>
      <c r="AE511" s="11" t="n">
        <v>1613418.45</v>
      </c>
      <c r="AF511" s="24">
        <f>AD511-AE511</f>
        <v/>
      </c>
      <c r="AG511" s="13">
        <f>IF(OR(B511="",B511=0,M511=""),"",M511/B511*10000)</f>
        <v/>
      </c>
      <c r="AH511" s="13">
        <f>IF(OR(C511="",C511=0),"",N511/C511*10000)</f>
        <v/>
      </c>
      <c r="AI511" s="13">
        <f>IF(OR(D511="",D511=0),"",O511/D511*10000)</f>
        <v/>
      </c>
      <c r="AJ511" s="11" t="n">
        <v>10976.8931625734</v>
      </c>
      <c r="AK511" s="11" t="n">
        <v>20338.26</v>
      </c>
      <c r="AL511" s="22">
        <f>AE511+AJ511+AK511</f>
        <v/>
      </c>
      <c r="AM511" s="22">
        <f>AE511</f>
        <v/>
      </c>
      <c r="AN511" s="14" t="n">
        <v>40177.93</v>
      </c>
      <c r="AO511" s="15" t="n">
        <v>40.156834</v>
      </c>
      <c r="AP511" s="14" t="n">
        <v>43520699.47255512</v>
      </c>
      <c r="AQ511" s="14" t="n">
        <v>26412.1852</v>
      </c>
      <c r="AR511" s="14" t="n">
        <v>847.5674</v>
      </c>
      <c r="AS511" s="14" t="n"/>
      <c r="AT511" s="16" t="n">
        <v>434.5499583140095</v>
      </c>
      <c r="AU511" s="17" t="n">
        <v>0.021361837</v>
      </c>
      <c r="AV511" s="14" t="n">
        <v>415482718.1156</v>
      </c>
      <c r="AW511" s="18" t="n">
        <v>60100000</v>
      </c>
      <c r="AX511" s="19" t="n">
        <v>43520699.47255512</v>
      </c>
      <c r="AY511" s="18" t="n">
        <v>3100000</v>
      </c>
      <c r="AZ511" s="18">
        <f>1000000000-999252589.9545</f>
        <v/>
      </c>
      <c r="BA511" s="20">
        <f>1000000000-AV511-AW511-AX511-AY511-AZ511</f>
        <v/>
      </c>
      <c r="BB511" s="21" t="n">
        <v>241.384938</v>
      </c>
      <c r="BC511" s="21">
        <f>BA511/1000000-BB511</f>
        <v/>
      </c>
      <c r="BD511" s="22">
        <f>BA511*40.55</f>
        <v/>
      </c>
    </row>
    <row r="512">
      <c r="A512" s="10" t="n">
        <v>46134</v>
      </c>
      <c r="B512" s="11" t="n">
        <v>4867607453.083754</v>
      </c>
      <c r="C512" s="11" t="n">
        <v>1824491493.833076</v>
      </c>
      <c r="D512" s="11" t="n">
        <v>123714513</v>
      </c>
      <c r="E512" s="11" t="n"/>
      <c r="F512" s="24" t="n">
        <v>1159772540.588904</v>
      </c>
      <c r="G512" s="24" t="n">
        <v>23725921.94274664</v>
      </c>
      <c r="H512" s="24" t="n">
        <v>8400454.255839441</v>
      </c>
      <c r="I512" s="24" t="n">
        <v>436505017.3378105</v>
      </c>
      <c r="J512" s="24" t="n">
        <v>1839554.549001472</v>
      </c>
      <c r="K512" s="24" t="n">
        <v>194248005.158774</v>
      </c>
      <c r="L512" s="22">
        <f>SUM(F512:K512)</f>
        <v/>
      </c>
      <c r="M512" s="22">
        <f>Z512/(1-R512)</f>
        <v/>
      </c>
      <c r="N512" s="11" t="n">
        <v>104584.1446650017</v>
      </c>
      <c r="O512" s="11" t="n">
        <v>67009</v>
      </c>
      <c r="P512" s="11" t="n"/>
      <c r="Q512" s="22">
        <f>M512+N512+O512+P512</f>
        <v/>
      </c>
      <c r="R512" s="12" t="n">
        <v>0.01</v>
      </c>
      <c r="S512" s="22">
        <f>M512*R512</f>
        <v/>
      </c>
      <c r="T512" s="22">
        <f>N512*R512</f>
        <v/>
      </c>
      <c r="U512" s="22">
        <f>(O512-V512)*R512</f>
        <v/>
      </c>
      <c r="V512" s="11" t="n">
        <v>18872</v>
      </c>
      <c r="W512" s="11" t="n">
        <v>38229.39548300113</v>
      </c>
      <c r="X512" s="22">
        <f>S512+T512+U512+V512+W512</f>
        <v/>
      </c>
      <c r="Y512" s="11" t="n">
        <v>115457.7165</v>
      </c>
      <c r="Z512" s="22">
        <f>AE512-AB512-AA512-AC512</f>
        <v/>
      </c>
      <c r="AA512" s="22">
        <f>N512-T512-W512</f>
        <v/>
      </c>
      <c r="AB512" s="22">
        <f>O512-V512-U512</f>
        <v/>
      </c>
      <c r="AC512" s="22">
        <f>P512</f>
        <v/>
      </c>
      <c r="AD512" s="23">
        <f>Z512+AA512+AB512+AC512</f>
        <v/>
      </c>
      <c r="AE512" s="11" t="n">
        <v>1599024.3</v>
      </c>
      <c r="AF512" s="24">
        <f>AD512-AE512</f>
        <v/>
      </c>
      <c r="AG512" s="13">
        <f>IF(OR(B512="",B512=0,M512=""),"",M512/B512*10000)</f>
        <v/>
      </c>
      <c r="AH512" s="13">
        <f>IF(OR(C512="",C512=0),"",N512/C512*10000)</f>
        <v/>
      </c>
      <c r="AI512" s="13">
        <f>IF(OR(D512="",D512=0),"",O512/D512*10000)</f>
        <v/>
      </c>
      <c r="AJ512" s="11" t="n">
        <v>8501.708875351695</v>
      </c>
      <c r="AK512" s="11" t="n">
        <v>0</v>
      </c>
      <c r="AL512" s="22">
        <f>AE512+AJ512+AK512</f>
        <v/>
      </c>
      <c r="AM512" s="22">
        <f>AE512</f>
        <v/>
      </c>
      <c r="AN512" s="14" t="n">
        <v>39255.84</v>
      </c>
      <c r="AO512" s="15" t="n">
        <v>40.733412</v>
      </c>
      <c r="AP512" s="14" t="n">
        <v>43560852.33255512</v>
      </c>
      <c r="AQ512" s="14" t="n">
        <v>26430.8213</v>
      </c>
      <c r="AR512" s="14" t="n">
        <v>985.4899</v>
      </c>
      <c r="AS512" s="14" t="n"/>
      <c r="AT512" s="16" t="n">
        <v>434.5844076134807</v>
      </c>
      <c r="AU512" s="17" t="n">
        <v>0.021361</v>
      </c>
      <c r="AV512" s="14" t="n">
        <v>415456287.2943</v>
      </c>
      <c r="AW512" s="18" t="n">
        <v>60100000</v>
      </c>
      <c r="AX512" s="19" t="n">
        <v>43560852.33255512</v>
      </c>
      <c r="AY512" s="18" t="n">
        <v>3100000</v>
      </c>
      <c r="AZ512" s="18">
        <f>1000000000-999251604.4646</f>
        <v/>
      </c>
      <c r="BA512" s="20">
        <f>1000000000-AV512-AW512-AX512-AY512-AZ512</f>
        <v/>
      </c>
      <c r="BB512" s="21" t="n">
        <v>241.384938</v>
      </c>
      <c r="BC512" s="21">
        <f>BA512/1000000-BB512</f>
        <v/>
      </c>
      <c r="BD512" s="22">
        <f>BA512*39.81</f>
        <v/>
      </c>
    </row>
    <row r="513">
      <c r="A513" s="10" t="n">
        <v>46135</v>
      </c>
      <c r="B513" s="11" t="n">
        <v>4932673973.767379</v>
      </c>
      <c r="C513" s="11" t="n">
        <v>2696815733.249426</v>
      </c>
      <c r="D513" s="11" t="n">
        <v>101104527</v>
      </c>
      <c r="E513" s="11" t="n"/>
      <c r="F513" s="24" t="n">
        <v>1659186580.634947</v>
      </c>
      <c r="G513" s="24" t="n">
        <v>36187831.43617486</v>
      </c>
      <c r="H513" s="24" t="n">
        <v>8656388.743393397</v>
      </c>
      <c r="I513" s="24" t="n">
        <v>685068297.384974</v>
      </c>
      <c r="J513" s="24" t="n">
        <v>846744.9351988948</v>
      </c>
      <c r="K513" s="24" t="n">
        <v>306869890.1147384</v>
      </c>
      <c r="L513" s="22">
        <f>SUM(F513:K513)</f>
        <v/>
      </c>
      <c r="M513" s="22">
        <f>Z513/(1-R513)</f>
        <v/>
      </c>
      <c r="N513" s="11" t="n">
        <v>123877.5606019964</v>
      </c>
      <c r="O513" s="11" t="n">
        <v>53928</v>
      </c>
      <c r="P513" s="11" t="n"/>
      <c r="Q513" s="22">
        <f>M513+N513+O513+P513</f>
        <v/>
      </c>
      <c r="R513" s="12" t="n">
        <v>0.01</v>
      </c>
      <c r="S513" s="22">
        <f>M513*R513</f>
        <v/>
      </c>
      <c r="T513" s="22">
        <f>N513*R513</f>
        <v/>
      </c>
      <c r="U513" s="22">
        <f>(O513-V513)*R513</f>
        <v/>
      </c>
      <c r="V513" s="11" t="n">
        <v>14666</v>
      </c>
      <c r="W513" s="11" t="n">
        <v>42728.54735100097</v>
      </c>
      <c r="X513" s="22">
        <f>S513+T513+U513+V513+W513</f>
        <v/>
      </c>
      <c r="Y513" s="11" t="n">
        <v>116795.2189</v>
      </c>
      <c r="Z513" s="22">
        <f>AE513-AB513-AA513-AC513</f>
        <v/>
      </c>
      <c r="AA513" s="22">
        <f>N513-T513-W513</f>
        <v/>
      </c>
      <c r="AB513" s="22">
        <f>O513-V513-U513</f>
        <v/>
      </c>
      <c r="AC513" s="22">
        <f>P513</f>
        <v/>
      </c>
      <c r="AD513" s="23">
        <f>Z513+AA513+AB513+AC513</f>
        <v/>
      </c>
      <c r="AE513" s="11" t="n">
        <v>1550566.83</v>
      </c>
      <c r="AF513" s="24">
        <f>AD513-AE513</f>
        <v/>
      </c>
      <c r="AG513" s="13">
        <f>IF(OR(B513="",B513=0,M513=""),"",M513/B513*10000)</f>
        <v/>
      </c>
      <c r="AH513" s="13">
        <f>IF(OR(C513="",C513=0),"",N513/C513*10000)</f>
        <v/>
      </c>
      <c r="AI513" s="13">
        <f>IF(OR(D513="",D513=0),"",O513/D513*10000)</f>
        <v/>
      </c>
      <c r="AJ513" s="11" t="n">
        <v>9838.29461309434</v>
      </c>
      <c r="AK513" s="11" t="n">
        <v>0</v>
      </c>
      <c r="AL513" s="22">
        <f>AE513+AJ513+AK513</f>
        <v/>
      </c>
      <c r="AM513" s="22">
        <f>AE513</f>
        <v/>
      </c>
      <c r="AN513" s="14" t="n">
        <v>37675.3</v>
      </c>
      <c r="AO513" s="15" t="n">
        <v>41.156058</v>
      </c>
      <c r="AP513" s="14" t="n">
        <v>43596546.74255512</v>
      </c>
      <c r="AQ513" s="14" t="n">
        <v>26430.9951</v>
      </c>
      <c r="AR513" s="14" t="n">
        <v>990.9312</v>
      </c>
      <c r="AS513" s="14" t="n"/>
      <c r="AT513" s="16" t="n">
        <v>434.6115298765266</v>
      </c>
      <c r="AU513" s="17" t="n">
        <v>0.0213603412</v>
      </c>
      <c r="AV513" s="14" t="n">
        <v>415429856.2992</v>
      </c>
      <c r="AW513" s="18" t="n">
        <v>60100000</v>
      </c>
      <c r="AX513" s="19" t="n">
        <v>43596546.74255512</v>
      </c>
      <c r="AY513" s="18" t="n">
        <v>3100000</v>
      </c>
      <c r="AZ513" s="18">
        <f>1000000000-999250613.5334</f>
        <v/>
      </c>
      <c r="BA513" s="20">
        <f>1000000000-AV513-AW513-AX513-AY513-AZ513</f>
        <v/>
      </c>
      <c r="BB513" s="21" t="n">
        <v>241.384938</v>
      </c>
      <c r="BC513" s="21">
        <f>BA513/1000000-BB513</f>
        <v/>
      </c>
      <c r="BD513" s="22">
        <f>BA513*41.26</f>
        <v/>
      </c>
    </row>
    <row r="514">
      <c r="A514" s="10" t="n">
        <v>46136</v>
      </c>
      <c r="B514" s="11" t="n">
        <v>3297707018.070521</v>
      </c>
      <c r="C514" s="11" t="n">
        <v>2240203300.029663</v>
      </c>
      <c r="D514" s="11" t="n">
        <v>84954703</v>
      </c>
      <c r="E514" s="11" t="n"/>
      <c r="F514" s="24" t="n">
        <v>1333961454.570122</v>
      </c>
      <c r="G514" s="24" t="n">
        <v>7890721.026787408</v>
      </c>
      <c r="H514" s="24" t="n">
        <v>7121369.270041321</v>
      </c>
      <c r="I514" s="24" t="n">
        <v>533348836.5417731</v>
      </c>
      <c r="J514" s="24" t="n">
        <v>352243.1485127796</v>
      </c>
      <c r="K514" s="24" t="n">
        <v>357528675.4724261</v>
      </c>
      <c r="L514" s="22">
        <f>SUM(F514:K514)</f>
        <v/>
      </c>
      <c r="M514" s="22">
        <f>Z514/(1-R514)</f>
        <v/>
      </c>
      <c r="N514" s="11" t="n">
        <v>104354.3899369978</v>
      </c>
      <c r="O514" s="11" t="n">
        <v>44984</v>
      </c>
      <c r="P514" s="11" t="n"/>
      <c r="Q514" s="22">
        <f>M514+N514+O514+P514</f>
        <v/>
      </c>
      <c r="R514" s="12" t="n">
        <v>0.01</v>
      </c>
      <c r="S514" s="22">
        <f>M514*R514</f>
        <v/>
      </c>
      <c r="T514" s="22">
        <f>N514*R514</f>
        <v/>
      </c>
      <c r="U514" s="22">
        <f>(O514-V514)*R514</f>
        <v/>
      </c>
      <c r="V514" s="11" t="n">
        <v>13189</v>
      </c>
      <c r="W514" s="11" t="n">
        <v>35163.48687800019</v>
      </c>
      <c r="X514" s="22">
        <f>S514+T514+U514+V514+W514</f>
        <v/>
      </c>
      <c r="Y514" s="11" t="n">
        <v>109058.7349</v>
      </c>
      <c r="Z514" s="22">
        <f>AE514-AB514-AA514-AC514</f>
        <v/>
      </c>
      <c r="AA514" s="22">
        <f>N514-T514-W514</f>
        <v/>
      </c>
      <c r="AB514" s="22">
        <f>O514-V514-U514</f>
        <v/>
      </c>
      <c r="AC514" s="22">
        <f>P514</f>
        <v/>
      </c>
      <c r="AD514" s="23">
        <f>Z514+AA514+AB514+AC514</f>
        <v/>
      </c>
      <c r="AE514" s="11" t="n">
        <v>1038979.35</v>
      </c>
      <c r="AF514" s="24">
        <f>AD514-AE514</f>
        <v/>
      </c>
      <c r="AG514" s="13">
        <f>IF(OR(B514="",B514=0,M514=""),"",M514/B514*10000)</f>
        <v/>
      </c>
      <c r="AH514" s="13">
        <f>IF(OR(C514="",C514=0),"",N514/C514*10000)</f>
        <v/>
      </c>
      <c r="AI514" s="13">
        <f>IF(OR(D514="",D514=0),"",O514/D514*10000)</f>
        <v/>
      </c>
      <c r="AJ514" s="11" t="n">
        <v>3602.895434012749</v>
      </c>
      <c r="AK514" s="11" t="n">
        <v>0</v>
      </c>
      <c r="AL514" s="22">
        <f>AE514+AJ514+AK514</f>
        <v/>
      </c>
      <c r="AM514" s="22">
        <f>AE514</f>
        <v/>
      </c>
      <c r="AN514" s="14" t="n">
        <v>25292.92</v>
      </c>
      <c r="AO514" s="15" t="n">
        <v>41.077873</v>
      </c>
      <c r="AP514" s="14" t="n">
        <v>43621280.75255512</v>
      </c>
      <c r="AQ514" s="14" t="n">
        <v>26417.9951</v>
      </c>
      <c r="AR514" s="14" t="n">
        <v>356.0936</v>
      </c>
      <c r="AS514" s="14" t="n"/>
      <c r="AT514" s="16" t="n">
        <v>433.791361161443</v>
      </c>
      <c r="AU514" s="17" t="n">
        <v>0.0213802921</v>
      </c>
      <c r="AV514" s="14" t="n">
        <v>415403438.3041</v>
      </c>
      <c r="AW514" s="18" t="n">
        <v>60100000</v>
      </c>
      <c r="AX514" s="19" t="n">
        <v>43621280.75255512</v>
      </c>
      <c r="AY514" s="18" t="n">
        <v>3100000</v>
      </c>
      <c r="AZ514" s="18">
        <f>1000000000-999250257.4399</f>
        <v/>
      </c>
      <c r="BA514" s="20">
        <f>1000000000-AV514-AW514-AX514-AY514-AZ514</f>
        <v/>
      </c>
      <c r="BB514" s="21" t="n">
        <v>241.384938</v>
      </c>
      <c r="BC514" s="21">
        <f>BA514/1000000-BB514</f>
        <v/>
      </c>
      <c r="BD514" s="22">
        <f>BA514*41.3</f>
        <v/>
      </c>
    </row>
    <row r="515">
      <c r="A515" s="10" t="n">
        <v>46137</v>
      </c>
      <c r="B515" s="11" t="n">
        <v>1383367128.566422</v>
      </c>
      <c r="C515" s="11" t="n">
        <v>317463934.8396413</v>
      </c>
      <c r="D515" s="11" t="n">
        <v>42520081</v>
      </c>
      <c r="E515" s="11" t="n"/>
      <c r="F515" s="24" t="n">
        <v>189545925.7864713</v>
      </c>
      <c r="G515" s="24" t="n">
        <v>5464608.069463073</v>
      </c>
      <c r="H515" s="24" t="n">
        <v>688502.495617816</v>
      </c>
      <c r="I515" s="24" t="n">
        <v>77947483.86576058</v>
      </c>
      <c r="J515" s="24" t="n">
        <v>109109.3401499085</v>
      </c>
      <c r="K515" s="24" t="n">
        <v>43708305.2821786</v>
      </c>
      <c r="L515" s="22">
        <f>SUM(F515:K515)</f>
        <v/>
      </c>
      <c r="M515" s="22">
        <f>Z515/(1-R515)</f>
        <v/>
      </c>
      <c r="N515" s="11" t="n">
        <v>26377.37898300033</v>
      </c>
      <c r="O515" s="11" t="n">
        <v>28026</v>
      </c>
      <c r="P515" s="11" t="n"/>
      <c r="Q515" s="22">
        <f>M515+N515+O515+P515</f>
        <v/>
      </c>
      <c r="R515" s="12" t="n">
        <v>0.01</v>
      </c>
      <c r="S515" s="22">
        <f>M515*R515</f>
        <v/>
      </c>
      <c r="T515" s="22">
        <f>N515*R515</f>
        <v/>
      </c>
      <c r="U515" s="22">
        <f>(O515-V515)*R515</f>
        <v/>
      </c>
      <c r="V515" s="11" t="n">
        <v>6499</v>
      </c>
      <c r="W515" s="11" t="n">
        <v>7370.043233999733</v>
      </c>
      <c r="X515" s="22">
        <f>S515+T515+U515+V515+W515</f>
        <v/>
      </c>
      <c r="Y515" s="11" t="n">
        <v>50080.9067</v>
      </c>
      <c r="Z515" s="22">
        <f>AE515-AB515-AA515-AC515</f>
        <v/>
      </c>
      <c r="AA515" s="22">
        <f>N515-T515-W515</f>
        <v/>
      </c>
      <c r="AB515" s="22">
        <f>O515-V515-U515</f>
        <v/>
      </c>
      <c r="AC515" s="22">
        <f>P515</f>
        <v/>
      </c>
      <c r="AD515" s="23">
        <f>Z515+AA515+AB515+AC515</f>
        <v/>
      </c>
      <c r="AE515" s="11" t="n">
        <v>420523.08</v>
      </c>
      <c r="AF515" s="24">
        <f>AD515-AE515</f>
        <v/>
      </c>
      <c r="AG515" s="13">
        <f>IF(OR(B515="",B515=0,M515=""),"",M515/B515*10000)</f>
        <v/>
      </c>
      <c r="AH515" s="13">
        <f>IF(OR(C515="",C515=0),"",N515/C515*10000)</f>
        <v/>
      </c>
      <c r="AI515" s="13">
        <f>IF(OR(D515="",D515=0),"",O515/D515*10000)</f>
        <v/>
      </c>
      <c r="AJ515" s="11" t="n">
        <v>2575.353904557463</v>
      </c>
      <c r="AK515" s="11" t="n">
        <v>0</v>
      </c>
      <c r="AL515" s="22">
        <f>AE515+AJ515+AK515</f>
        <v/>
      </c>
      <c r="AM515" s="22">
        <f>AE515</f>
        <v/>
      </c>
      <c r="AN515" s="14" t="n">
        <v>10174.42</v>
      </c>
      <c r="AO515" s="15" t="n">
        <v>41.331406</v>
      </c>
      <c r="AP515" s="14" t="n">
        <v>43631915.15255512</v>
      </c>
      <c r="AQ515" s="14" t="n">
        <v>26409.5577</v>
      </c>
      <c r="AR515" s="14" t="n">
        <v>924.3055000000001</v>
      </c>
      <c r="AS515" s="14" t="n"/>
      <c r="AT515" s="16" t="n">
        <v>433.713026769995</v>
      </c>
      <c r="AU515" s="17" t="n">
        <v>0.0213822006</v>
      </c>
      <c r="AV515" s="14" t="n">
        <v>415377028.7465</v>
      </c>
      <c r="AW515" s="18" t="n">
        <v>60100000</v>
      </c>
      <c r="AX515" s="19" t="n">
        <v>43631915.15255512</v>
      </c>
      <c r="AY515" s="18" t="n">
        <v>3100000</v>
      </c>
      <c r="AZ515" s="18">
        <f>1000000000-999249333.1344</f>
        <v/>
      </c>
      <c r="BA515" s="20">
        <f>1000000000-AV515-AW515-AX515-AY515-AZ515</f>
        <v/>
      </c>
      <c r="BB515" s="21" t="n">
        <v>241.384938</v>
      </c>
      <c r="BC515" s="21">
        <f>BA515/1000000-BB515</f>
        <v/>
      </c>
      <c r="BD515" s="22">
        <f>BA515*41.03</f>
        <v/>
      </c>
    </row>
    <row r="516">
      <c r="A516" s="10" t="n">
        <v>46138</v>
      </c>
      <c r="B516" s="11" t="n">
        <v>2108861517.653264</v>
      </c>
      <c r="C516" s="11" t="n">
        <v>600112586.2097566</v>
      </c>
      <c r="D516" s="11" t="n">
        <v>64354684</v>
      </c>
      <c r="E516" s="11" t="n"/>
      <c r="F516" s="24" t="n">
        <v>288347521.8239374</v>
      </c>
      <c r="G516" s="24" t="n">
        <v>51833503.6173602</v>
      </c>
      <c r="H516" s="24" t="n">
        <v>2706257.493809895</v>
      </c>
      <c r="I516" s="24" t="n">
        <v>158535391.7612536</v>
      </c>
      <c r="J516" s="24" t="n">
        <v>519718.8162118544</v>
      </c>
      <c r="K516" s="24" t="n">
        <v>98170192.6971837</v>
      </c>
      <c r="L516" s="22">
        <f>SUM(F516:K516)</f>
        <v/>
      </c>
      <c r="M516" s="22">
        <f>Z516/(1-R516)</f>
        <v/>
      </c>
      <c r="N516" s="11" t="n">
        <v>61882.45544599902</v>
      </c>
      <c r="O516" s="11" t="n">
        <v>38494</v>
      </c>
      <c r="P516" s="11" t="n"/>
      <c r="Q516" s="22">
        <f>M516+N516+O516+P516</f>
        <v/>
      </c>
      <c r="R516" s="12" t="n">
        <v>0.01</v>
      </c>
      <c r="S516" s="22">
        <f>M516*R516</f>
        <v/>
      </c>
      <c r="T516" s="22">
        <f>N516*R516</f>
        <v/>
      </c>
      <c r="U516" s="22">
        <f>(O516-V516)*R516</f>
        <v/>
      </c>
      <c r="V516" s="11" t="n">
        <v>10916</v>
      </c>
      <c r="W516" s="11" t="n">
        <v>23199.20759600025</v>
      </c>
      <c r="X516" s="22">
        <f>S516+T516+U516+V516+W516</f>
        <v/>
      </c>
      <c r="Y516" s="11" t="n">
        <v>58405.81710000001</v>
      </c>
      <c r="Z516" s="22">
        <f>AE516-AB516-AA516-AC516</f>
        <v/>
      </c>
      <c r="AA516" s="22">
        <f>N516-T516-W516</f>
        <v/>
      </c>
      <c r="AB516" s="22">
        <f>O516-V516-U516</f>
        <v/>
      </c>
      <c r="AC516" s="22">
        <f>P516</f>
        <v/>
      </c>
      <c r="AD516" s="23">
        <f>Z516+AA516+AB516+AC516</f>
        <v/>
      </c>
      <c r="AE516" s="11" t="n">
        <v>674414.1</v>
      </c>
      <c r="AF516" s="24">
        <f>AD516-AE516</f>
        <v/>
      </c>
      <c r="AG516" s="13">
        <f>IF(OR(B516="",B516=0,M516=""),"",M516/B516*10000)</f>
        <v/>
      </c>
      <c r="AH516" s="13">
        <f>IF(OR(C516="",C516=0),"",N516/C516*10000)</f>
        <v/>
      </c>
      <c r="AI516" s="13">
        <f>IF(OR(D516="",D516=0),"",O516/D516*10000)</f>
        <v/>
      </c>
      <c r="AJ516" s="11" t="n">
        <v>3342.005660513506</v>
      </c>
      <c r="AK516" s="11" t="n">
        <v>0</v>
      </c>
      <c r="AL516" s="22">
        <f>AE516+AJ516+AK516</f>
        <v/>
      </c>
      <c r="AM516" s="22">
        <f>AE516</f>
        <v/>
      </c>
      <c r="AN516" s="14" t="n">
        <v>16236.7</v>
      </c>
      <c r="AO516" s="15" t="n">
        <v>41.536402</v>
      </c>
      <c r="AP516" s="14" t="n">
        <v>43648827.96255512</v>
      </c>
      <c r="AQ516" s="14" t="n">
        <v>26388.9231</v>
      </c>
      <c r="AR516" s="14" t="n">
        <v>207.8372</v>
      </c>
      <c r="AS516" s="14" t="n"/>
      <c r="AT516" s="16" t="n">
        <v>433.6908577323102</v>
      </c>
      <c r="AU516" s="17" t="n">
        <v>0.02138274</v>
      </c>
      <c r="AV516" s="14" t="n">
        <v>415350639.8234</v>
      </c>
      <c r="AW516" s="18" t="n">
        <v>60100000</v>
      </c>
      <c r="AX516" s="19" t="n">
        <v>43648827.96255512</v>
      </c>
      <c r="AY516" s="18" t="n">
        <v>3100000</v>
      </c>
      <c r="AZ516" s="18">
        <f>1000000000-999249125.2972</f>
        <v/>
      </c>
      <c r="BA516" s="20">
        <f>1000000000-AV516-AW516-AX516-AY516-AZ516</f>
        <v/>
      </c>
      <c r="BB516" s="21" t="n">
        <v>241.384938</v>
      </c>
      <c r="BC516" s="21">
        <f>BA516/1000000-BB516</f>
        <v/>
      </c>
      <c r="BD516" s="22">
        <f>BA516*41.36</f>
        <v/>
      </c>
    </row>
    <row r="517">
      <c r="A517" s="10" t="n">
        <v>46139</v>
      </c>
      <c r="B517" s="11" t="n">
        <v>4013248157.214499</v>
      </c>
      <c r="C517" s="11" t="n">
        <v>1708465194.273899</v>
      </c>
      <c r="D517" s="11" t="n">
        <v>100460569</v>
      </c>
      <c r="E517" s="11" t="n"/>
      <c r="F517" s="24" t="n">
        <v>816095991.3061746</v>
      </c>
      <c r="G517" s="24" t="n">
        <v>13601837.43521027</v>
      </c>
      <c r="H517" s="24" t="n">
        <v>6712675.450257611</v>
      </c>
      <c r="I517" s="24" t="n">
        <v>450918497.5056829</v>
      </c>
      <c r="J517" s="24" t="n">
        <v>335429.271988705</v>
      </c>
      <c r="K517" s="24" t="n">
        <v>420800763.3045846</v>
      </c>
      <c r="L517" s="22">
        <f>SUM(F517:K517)</f>
        <v/>
      </c>
      <c r="M517" s="22">
        <f>Z517/(1-R517)</f>
        <v/>
      </c>
      <c r="N517" s="11" t="n">
        <v>87244.84517000448</v>
      </c>
      <c r="O517" s="11" t="n">
        <v>58044</v>
      </c>
      <c r="P517" s="11" t="n"/>
      <c r="Q517" s="22">
        <f>M517+N517+O517+P517</f>
        <v/>
      </c>
      <c r="R517" s="12" t="n">
        <v>0.01</v>
      </c>
      <c r="S517" s="22">
        <f>M517*R517</f>
        <v/>
      </c>
      <c r="T517" s="22">
        <f>N517*R517</f>
        <v/>
      </c>
      <c r="U517" s="22">
        <f>(O517-V517)*R517</f>
        <v/>
      </c>
      <c r="V517" s="11" t="n">
        <v>17183</v>
      </c>
      <c r="W517" s="11" t="n">
        <v>31473.85221000097</v>
      </c>
      <c r="X517" s="22">
        <f>S517+T517+U517+V517+W517</f>
        <v/>
      </c>
      <c r="Y517" s="11" t="n">
        <v>110127.6387</v>
      </c>
      <c r="Z517" s="22">
        <f>AE517-AB517-AA517-AC517</f>
        <v/>
      </c>
      <c r="AA517" s="22">
        <f>N517-T517-W517</f>
        <v/>
      </c>
      <c r="AB517" s="22">
        <f>O517-V517-U517</f>
        <v/>
      </c>
      <c r="AC517" s="22">
        <f>P517</f>
        <v/>
      </c>
      <c r="AD517" s="23">
        <f>Z517+AA517+AB517+AC517</f>
        <v/>
      </c>
      <c r="AE517" s="11" t="n">
        <v>1313096.15</v>
      </c>
      <c r="AF517" s="24">
        <f>AD517-AE517</f>
        <v/>
      </c>
      <c r="AG517" s="13">
        <f>IF(OR(B517="",B517=0,M517=""),"",M517/B517*10000)</f>
        <v/>
      </c>
      <c r="AH517" s="13">
        <f>IF(OR(C517="",C517=0),"",N517/C517*10000)</f>
        <v/>
      </c>
      <c r="AI517" s="13">
        <f>IF(OR(D517="",D517=0),"",O517/D517*10000)</f>
        <v/>
      </c>
      <c r="AJ517" s="11" t="n">
        <v>7543.868745531192</v>
      </c>
      <c r="AK517" s="11" t="n">
        <v>0</v>
      </c>
      <c r="AL517" s="22">
        <f>AE517+AJ517+AK517</f>
        <v/>
      </c>
      <c r="AM517" s="22">
        <f>AE517</f>
        <v/>
      </c>
      <c r="AN517" s="14" t="n">
        <v>31064.46</v>
      </c>
      <c r="AO517" s="15" t="n">
        <v>42.270046</v>
      </c>
      <c r="AP517" s="14" t="n">
        <v>43678511.34255512</v>
      </c>
      <c r="AQ517" s="14" t="n">
        <v>26407.345</v>
      </c>
      <c r="AR517" s="14" t="n">
        <v>283.5182</v>
      </c>
      <c r="AS517" s="14" t="n"/>
      <c r="AT517" s="16" t="n">
        <v>433.7197790249199</v>
      </c>
      <c r="AU517" s="17" t="n">
        <v>0.0213820353</v>
      </c>
      <c r="AV517" s="14" t="n">
        <v>415324232.4784</v>
      </c>
      <c r="AW517" s="18" t="n">
        <v>60100000</v>
      </c>
      <c r="AX517" s="19" t="n">
        <v>43678511.34255512</v>
      </c>
      <c r="AY517" s="18" t="n">
        <v>3100000</v>
      </c>
      <c r="AZ517" s="18">
        <f>1000000000-999248841.779</f>
        <v/>
      </c>
      <c r="BA517" s="20">
        <f>1000000000-AV517-AW517-AX517-AY517-AZ517</f>
        <v/>
      </c>
      <c r="BB517" s="21" t="n">
        <v>241.384938</v>
      </c>
      <c r="BC517" s="21">
        <f>BA517/1000000-BB517</f>
        <v/>
      </c>
      <c r="BD517" s="22">
        <f>BA517*42.49</f>
        <v/>
      </c>
    </row>
    <row r="518">
      <c r="A518" s="10" t="n">
        <v>46140</v>
      </c>
      <c r="B518" s="11" t="n">
        <v>3398083350.214172</v>
      </c>
      <c r="C518" s="11" t="n">
        <v>2420248727.130391</v>
      </c>
      <c r="D518" s="11" t="n">
        <v>90874010</v>
      </c>
      <c r="E518" s="11" t="n"/>
      <c r="F518" s="24" t="n">
        <v>1557804277.371811</v>
      </c>
      <c r="G518" s="24" t="n">
        <v>5944812.034219516</v>
      </c>
      <c r="H518" s="24" t="n">
        <v>11063736.85805481</v>
      </c>
      <c r="I518" s="24" t="n">
        <v>457449940.1399556</v>
      </c>
      <c r="J518" s="24" t="n">
        <v>617188.4972727543</v>
      </c>
      <c r="K518" s="24" t="n">
        <v>387368772.2290778</v>
      </c>
      <c r="L518" s="22">
        <f>SUM(F518:K518)</f>
        <v/>
      </c>
      <c r="M518" s="22">
        <f>Z518/(1-R518)</f>
        <v/>
      </c>
      <c r="N518" s="11" t="n">
        <v>117405.5221689786</v>
      </c>
      <c r="O518" s="11" t="n">
        <v>51372</v>
      </c>
      <c r="P518" s="11" t="n"/>
      <c r="Q518" s="22">
        <f>M518+N518+O518+P518</f>
        <v/>
      </c>
      <c r="R518" s="12" t="n">
        <v>0.01</v>
      </c>
      <c r="S518" s="22">
        <f>M518*R518</f>
        <v/>
      </c>
      <c r="T518" s="22">
        <f>N518*R518</f>
        <v/>
      </c>
      <c r="U518" s="22">
        <f>(O518-V518)*R518</f>
        <v/>
      </c>
      <c r="V518" s="11" t="n">
        <v>9603</v>
      </c>
      <c r="W518" s="11" t="n">
        <v>42496.91230300113</v>
      </c>
      <c r="X518" s="22">
        <f>S518+T518+U518+V518+W518</f>
        <v/>
      </c>
      <c r="Y518" s="11" t="n">
        <v>97976.88190000001</v>
      </c>
      <c r="Z518" s="22">
        <f>AE518-AB518-AA518-AC518</f>
        <v/>
      </c>
      <c r="AA518" s="22">
        <f>N518-T518-W518</f>
        <v/>
      </c>
      <c r="AB518" s="22">
        <f>O518-V518-U518</f>
        <v/>
      </c>
      <c r="AC518" s="22">
        <f>P518</f>
        <v/>
      </c>
      <c r="AD518" s="23">
        <f>Z518+AA518+AB518+AC518</f>
        <v/>
      </c>
      <c r="AE518" s="11" t="n">
        <v>1154158.92</v>
      </c>
      <c r="AF518" s="24">
        <f>AD518-AE518</f>
        <v/>
      </c>
      <c r="AG518" s="13">
        <f>IF(OR(B518="",B518=0,M518=""),"",M518/B518*10000)</f>
        <v/>
      </c>
      <c r="AH518" s="13">
        <f>IF(OR(C518="",C518=0),"",N518/C518*10000)</f>
        <v/>
      </c>
      <c r="AI518" s="13">
        <f>IF(OR(D518="",D518=0),"",O518/D518*10000)</f>
        <v/>
      </c>
      <c r="AJ518" s="11" t="n">
        <v>6028.578662241444</v>
      </c>
      <c r="AK518" s="11" t="n">
        <v>0</v>
      </c>
      <c r="AL518" s="22">
        <f>AE518+AJ518+AK518</f>
        <v/>
      </c>
      <c r="AM518" s="22">
        <f>AE518</f>
        <v/>
      </c>
      <c r="AN518" s="14" t="n">
        <v>28585.59</v>
      </c>
      <c r="AO518" s="15" t="n">
        <v>40.37555</v>
      </c>
      <c r="AP518" s="14" t="n">
        <v>43707525.31255512</v>
      </c>
      <c r="AQ518" s="14" t="n">
        <v>26404.9879</v>
      </c>
      <c r="AR518" s="14" t="n">
        <v>938.8835</v>
      </c>
      <c r="AS518" s="14" t="n"/>
      <c r="AT518" s="16" t="n">
        <v>433.4080590774745</v>
      </c>
      <c r="AU518" s="17" t="n">
        <v>0.0213896346</v>
      </c>
      <c r="AV518" s="14" t="n">
        <v>415297827.4905</v>
      </c>
      <c r="AW518" s="18" t="n">
        <v>60100000</v>
      </c>
      <c r="AX518" s="19" t="n">
        <v>43707525.31255512</v>
      </c>
      <c r="AY518" s="18" t="n">
        <v>3100000</v>
      </c>
      <c r="AZ518" s="18">
        <f>1000000000-999247902.8955</f>
        <v/>
      </c>
      <c r="BA518" s="20">
        <f>1000000000-AV518-AW518-AX518-AY518-AZ518</f>
        <v/>
      </c>
      <c r="BB518" s="21" t="n">
        <v>241.384938</v>
      </c>
      <c r="BC518" s="21">
        <f>BA518/1000000-BB518</f>
        <v/>
      </c>
      <c r="BD518" s="22">
        <f>BA518*41.68</f>
        <v/>
      </c>
    </row>
    <row r="519">
      <c r="A519" s="10" t="n">
        <v>46141</v>
      </c>
      <c r="B519" s="11" t="n">
        <v>4866266029.252748</v>
      </c>
      <c r="C519" s="11" t="n">
        <v>2935442746.547542</v>
      </c>
      <c r="D519" s="11" t="n">
        <v>105796892</v>
      </c>
      <c r="E519" s="11" t="n"/>
      <c r="F519" s="24" t="n">
        <v>1592909173.094216</v>
      </c>
      <c r="G519" s="24" t="n">
        <v>8514382.118386036</v>
      </c>
      <c r="H519" s="24" t="n">
        <v>10876467.15457626</v>
      </c>
      <c r="I519" s="24" t="n">
        <v>739462431.2534491</v>
      </c>
      <c r="J519" s="24" t="n">
        <v>1299982.165650941</v>
      </c>
      <c r="K519" s="24" t="n">
        <v>582380310.7612638</v>
      </c>
      <c r="L519" s="22">
        <f>SUM(F519:K519)</f>
        <v/>
      </c>
      <c r="M519" s="22">
        <f>Z519/(1-R519)</f>
        <v/>
      </c>
      <c r="N519" s="11" t="n">
        <v>149590.1891530053</v>
      </c>
      <c r="O519" s="11" t="n">
        <v>54836</v>
      </c>
      <c r="P519" s="11" t="n"/>
      <c r="Q519" s="22">
        <f>M519+N519+O519+P519</f>
        <v/>
      </c>
      <c r="R519" s="12" t="n">
        <v>0.01</v>
      </c>
      <c r="S519" s="22">
        <f>M519*R519</f>
        <v/>
      </c>
      <c r="T519" s="22">
        <f>N519*R519</f>
        <v/>
      </c>
      <c r="U519" s="22">
        <f>(O519-V519)*R519</f>
        <v/>
      </c>
      <c r="V519" s="11" t="n">
        <v>16254</v>
      </c>
      <c r="W519" s="11" t="n">
        <v>54832.21378900004</v>
      </c>
      <c r="X519" s="22">
        <f>S519+T519+U519+V519+W519</f>
        <v/>
      </c>
      <c r="Y519" s="11" t="n">
        <v>138114.8243</v>
      </c>
      <c r="Z519" s="22">
        <f>AE519-AB519-AA519-AC519</f>
        <v/>
      </c>
      <c r="AA519" s="22">
        <f>N519-T519-W519</f>
        <v/>
      </c>
      <c r="AB519" s="22">
        <f>O519-V519-U519</f>
        <v/>
      </c>
      <c r="AC519" s="22">
        <f>P519</f>
        <v/>
      </c>
      <c r="AD519" s="23">
        <f>Z519+AA519+AB519+AC519</f>
        <v/>
      </c>
      <c r="AE519" s="11" t="n">
        <v>1585554.2</v>
      </c>
      <c r="AF519" s="24">
        <f>AD519-AE519</f>
        <v/>
      </c>
      <c r="AG519" s="13">
        <f>IF(OR(B519="",B519=0,M519=""),"",M519/B519*10000)</f>
        <v/>
      </c>
      <c r="AH519" s="13">
        <f>IF(OR(C519="",C519=0),"",N519/C519*10000)</f>
        <v/>
      </c>
      <c r="AI519" s="13">
        <f>IF(OR(D519="",D519=0),"",O519/D519*10000)</f>
        <v/>
      </c>
      <c r="AJ519" s="11" t="n">
        <v>6346.323261222924</v>
      </c>
      <c r="AK519" s="11" t="n">
        <v>0</v>
      </c>
      <c r="AL519" s="22">
        <f>AE519+AJ519+AK519</f>
        <v/>
      </c>
      <c r="AM519" s="22">
        <f>AE519</f>
        <v/>
      </c>
      <c r="AN519" s="14" t="n">
        <v>39692.08</v>
      </c>
      <c r="AO519" s="15" t="n">
        <v>39.946362</v>
      </c>
      <c r="AP519" s="14" t="n">
        <v>43747331.68255512</v>
      </c>
      <c r="AQ519" s="14" t="n">
        <v>26395.1682</v>
      </c>
      <c r="AR519" s="14" t="n">
        <v>538.9661</v>
      </c>
      <c r="AS519" s="14" t="n"/>
      <c r="AT519" s="16" t="n">
        <v>433.1961949137635</v>
      </c>
      <c r="AU519" s="17" t="n">
        <v>0.0213948043</v>
      </c>
      <c r="AV519" s="14" t="n">
        <v>415271432.3222</v>
      </c>
      <c r="AW519" s="18" t="n">
        <v>60100000</v>
      </c>
      <c r="AX519" s="19" t="n">
        <v>43747331.68255512</v>
      </c>
      <c r="AY519" s="18" t="n">
        <v>3100000</v>
      </c>
      <c r="AZ519" s="18">
        <f>1000000000-999247363.9294</f>
        <v/>
      </c>
      <c r="BA519" s="20">
        <f>1000000000-AV519-AW519-AX519-AY519-AZ519</f>
        <v/>
      </c>
      <c r="BB519" s="21" t="n">
        <v>241.384938</v>
      </c>
      <c r="BC519" s="21">
        <f>BA519/1000000-BB519</f>
        <v/>
      </c>
      <c r="BD519" s="22">
        <f>BA519*39.98</f>
        <v/>
      </c>
    </row>
    <row r="520">
      <c r="A520" s="10" t="n">
        <v>46142</v>
      </c>
      <c r="B520" s="11" t="n">
        <v>3628548412.400031</v>
      </c>
      <c r="C520" s="11" t="n">
        <v>2846404488.589581</v>
      </c>
      <c r="D520" s="11" t="n">
        <v>89686875</v>
      </c>
      <c r="E520" s="11" t="n"/>
      <c r="F520" s="24" t="n">
        <v>1487804956.190415</v>
      </c>
      <c r="G520" s="24" t="n">
        <v>4917845.397712948</v>
      </c>
      <c r="H520" s="24" t="n">
        <v>31049902.03496936</v>
      </c>
      <c r="I520" s="24" t="n">
        <v>732382281.4683632</v>
      </c>
      <c r="J520" s="24" t="n">
        <v>978773.6100241711</v>
      </c>
      <c r="K520" s="24" t="n">
        <v>589270729.8880963</v>
      </c>
      <c r="L520" s="22">
        <f>SUM(F520:K520)</f>
        <v/>
      </c>
      <c r="M520" s="22">
        <f>Z520/(1-R520)</f>
        <v/>
      </c>
      <c r="N520" s="11" t="n">
        <v>140440.6517870045</v>
      </c>
      <c r="O520" s="11" t="n">
        <v>44667</v>
      </c>
      <c r="P520" s="11" t="n"/>
      <c r="Q520" s="22">
        <f>M520+N520+O520+P520</f>
        <v/>
      </c>
      <c r="R520" s="12" t="n">
        <v>0.01</v>
      </c>
      <c r="S520" s="22">
        <f>M520*R520</f>
        <v/>
      </c>
      <c r="T520" s="22">
        <f>N520*R520</f>
        <v/>
      </c>
      <c r="U520" s="22">
        <f>(O520-V520)*R520</f>
        <v/>
      </c>
      <c r="V520" s="11" t="n">
        <v>10947</v>
      </c>
      <c r="W520" s="11" t="n">
        <v>49833.76263499966</v>
      </c>
      <c r="X520" s="22">
        <f>S520+T520+U520+V520+W520</f>
        <v/>
      </c>
      <c r="Y520" s="11" t="n">
        <v>105685.0861</v>
      </c>
      <c r="Z520" s="22">
        <f>AE520-AB520-AA520-AC520</f>
        <v/>
      </c>
      <c r="AA520" s="22">
        <f>N520-T520-W520</f>
        <v/>
      </c>
      <c r="AB520" s="22">
        <f>O520-V520-U520</f>
        <v/>
      </c>
      <c r="AC520" s="22">
        <f>P520</f>
        <v/>
      </c>
      <c r="AD520" s="23">
        <f>Z520+AA520+AB520+AC520</f>
        <v/>
      </c>
      <c r="AE520" s="11" t="n">
        <v>1087242.53</v>
      </c>
      <c r="AF520" s="24">
        <f>AD520-AE520</f>
        <v/>
      </c>
      <c r="AG520" s="13">
        <f>IF(OR(B520="",B520=0,M520=""),"",M520/B520*10000)</f>
        <v/>
      </c>
      <c r="AH520" s="13">
        <f>IF(OR(C520="",C520=0),"",N520/C520*10000)</f>
        <v/>
      </c>
      <c r="AI520" s="13">
        <f>IF(OR(D520="",D520=0),"",O520/D520*10000)</f>
        <v/>
      </c>
      <c r="AJ520" s="11" t="n">
        <v>3714.748926953404</v>
      </c>
      <c r="AK520" s="11" t="n">
        <v>0</v>
      </c>
      <c r="AL520" s="22">
        <f>AE520+AJ520+AK520</f>
        <v/>
      </c>
      <c r="AM520" s="22">
        <f>AE520</f>
        <v/>
      </c>
      <c r="AN520" s="14" t="n">
        <v>27607.63</v>
      </c>
      <c r="AO520" s="15" t="n">
        <v>39.381958</v>
      </c>
      <c r="AP520" s="14" t="n">
        <v>43774396.64255512</v>
      </c>
      <c r="AQ520" s="14" t="n">
        <v>26383.3908</v>
      </c>
      <c r="AR520" s="14" t="n">
        <v>1196.8639</v>
      </c>
      <c r="AS520" s="14" t="n"/>
      <c r="AT520" s="16" t="n">
        <v>432.786785254245</v>
      </c>
      <c r="AU520" s="17" t="n">
        <v>0.0214048048</v>
      </c>
      <c r="AV520" s="14" t="n">
        <v>415245048.9315</v>
      </c>
      <c r="AW520" s="18" t="n">
        <v>60100000</v>
      </c>
      <c r="AX520" s="19" t="n">
        <v>43774396.64255512</v>
      </c>
      <c r="AY520" s="18" t="n">
        <v>3100000</v>
      </c>
      <c r="AZ520" s="18">
        <f>1000000000-999246167.0655</f>
        <v/>
      </c>
      <c r="BA520" s="20">
        <f>1000000000-AV520-AW520-AX520-AY520-AZ520</f>
        <v/>
      </c>
      <c r="BB520" s="21" t="n">
        <v>241.384938</v>
      </c>
      <c r="BC520" s="21">
        <f>BA520/1000000-BB520</f>
        <v/>
      </c>
      <c r="BD520" s="22">
        <f>BA520*39.87</f>
        <v/>
      </c>
    </row>
    <row r="521">
      <c r="A521" s="10" t="n">
        <v>46143</v>
      </c>
      <c r="B521" s="11" t="n">
        <v>3892026879.131002</v>
      </c>
      <c r="C521" s="11" t="n">
        <v>2323703913.874053</v>
      </c>
      <c r="D521" s="11" t="n">
        <v>108148310</v>
      </c>
      <c r="E521" s="11" t="n"/>
      <c r="F521" s="24" t="n">
        <v>1409263737.557864</v>
      </c>
      <c r="G521" s="24" t="n">
        <v>7919655.242004469</v>
      </c>
      <c r="H521" s="24" t="n">
        <v>16393705.08207889</v>
      </c>
      <c r="I521" s="24" t="n">
        <v>421260252.2264386</v>
      </c>
      <c r="J521" s="24" t="n">
        <v>415718.3075329789</v>
      </c>
      <c r="K521" s="24" t="n">
        <v>468450845.4581348</v>
      </c>
      <c r="L521" s="22">
        <f>SUM(F521:K521)</f>
        <v/>
      </c>
      <c r="M521" s="22">
        <f>Z521/(1-R521)</f>
        <v/>
      </c>
      <c r="N521" s="11" t="n">
        <v>115284.1252500018</v>
      </c>
      <c r="O521" s="11" t="n">
        <v>56089</v>
      </c>
      <c r="P521" s="11" t="n"/>
      <c r="Q521" s="22">
        <f>M521+N521+O521+P521</f>
        <v/>
      </c>
      <c r="R521" s="12" t="n">
        <v>0.01</v>
      </c>
      <c r="S521" s="22">
        <f>M521*R521</f>
        <v/>
      </c>
      <c r="T521" s="22">
        <f>N521*R521</f>
        <v/>
      </c>
      <c r="U521" s="22">
        <f>(O521-V521)*R521</f>
        <v/>
      </c>
      <c r="V521" s="11" t="n">
        <v>14970</v>
      </c>
      <c r="W521" s="11" t="n">
        <v>41007.60969700018</v>
      </c>
      <c r="X521" s="22">
        <f>S521+T521+U521+V521+W521</f>
        <v/>
      </c>
      <c r="Y521" s="11" t="n">
        <v>109126.3828</v>
      </c>
      <c r="Z521" s="22">
        <f>AE521-AB521-AA521-AC521</f>
        <v/>
      </c>
      <c r="AA521" s="22">
        <f>N521-T521-W521</f>
        <v/>
      </c>
      <c r="AB521" s="22">
        <f>O521-V521-U521</f>
        <v/>
      </c>
      <c r="AC521" s="22">
        <f>P521</f>
        <v/>
      </c>
      <c r="AD521" s="23">
        <f>Z521+AA521+AB521+AC521</f>
        <v/>
      </c>
      <c r="AE521" s="11" t="n">
        <v>1346278.64</v>
      </c>
      <c r="AF521" s="24">
        <f>AD521-AE521</f>
        <v/>
      </c>
      <c r="AG521" s="13">
        <f>IF(OR(B521="",B521=0,M521=""),"",M521/B521*10000)</f>
        <v/>
      </c>
      <c r="AH521" s="13">
        <f>IF(OR(C521="",C521=0),"",N521/C521*10000)</f>
        <v/>
      </c>
      <c r="AI521" s="13">
        <f>IF(OR(D521="",D521=0),"",O521/D521*10000)</f>
        <v/>
      </c>
      <c r="AJ521" s="11" t="n">
        <v>4206.753062837228</v>
      </c>
      <c r="AK521" s="11" t="n">
        <v>0</v>
      </c>
      <c r="AL521" s="22">
        <f>AE521+AJ521+AK521</f>
        <v/>
      </c>
      <c r="AM521" s="22">
        <f>AE521</f>
        <v/>
      </c>
      <c r="AN521" s="14" t="n">
        <v>33095.68</v>
      </c>
      <c r="AO521" s="15" t="n">
        <v>40.67838</v>
      </c>
      <c r="AP521" s="14" t="n">
        <v>43808451.45255512</v>
      </c>
      <c r="AQ521" s="14" t="n">
        <v>26378.221</v>
      </c>
      <c r="AR521" s="14" t="n">
        <v>1011.633</v>
      </c>
      <c r="AS521" s="14" t="n"/>
      <c r="AT521" s="16" t="n">
        <v>432.8374728497097</v>
      </c>
      <c r="AU521" s="17" t="n">
        <v>0.0214035659</v>
      </c>
      <c r="AV521" s="14" t="n">
        <v>415218670.7104</v>
      </c>
      <c r="AW521" s="18" t="n">
        <v>60100000</v>
      </c>
      <c r="AX521" s="19" t="n">
        <v>43808451.45255512</v>
      </c>
      <c r="AY521" s="18" t="n">
        <v>3100000</v>
      </c>
      <c r="AZ521" s="18">
        <f>1000000000-999245155.4325</f>
        <v/>
      </c>
      <c r="BA521" s="20">
        <f>1000000000-AV521-AW521-AX521-AY521-AZ521</f>
        <v/>
      </c>
      <c r="BB521" s="21" t="n">
        <v>241.384938</v>
      </c>
      <c r="BC521" s="21">
        <f>BA521/1000000-BB521</f>
        <v/>
      </c>
      <c r="BD521" s="22">
        <f>BA521*39.88</f>
        <v/>
      </c>
    </row>
    <row r="522">
      <c r="A522" s="10" t="n">
        <v>46144</v>
      </c>
      <c r="B522" s="11" t="n">
        <v>1732759168.126002</v>
      </c>
      <c r="C522" s="11" t="n">
        <v>230045975.3551933</v>
      </c>
      <c r="D522" s="11" t="n">
        <v>56423380</v>
      </c>
      <c r="E522" s="11" t="n"/>
      <c r="F522" s="24" t="n">
        <v>90674541.99177416</v>
      </c>
      <c r="G522" s="24" t="n">
        <v>4874239.36255034</v>
      </c>
      <c r="H522" s="24" t="n">
        <v>8689850.971376065</v>
      </c>
      <c r="I522" s="24" t="n">
        <v>76586783.25912625</v>
      </c>
      <c r="J522" s="24" t="n">
        <v>204559.6909524772</v>
      </c>
      <c r="K522" s="24" t="n">
        <v>49016000.07941398</v>
      </c>
      <c r="L522" s="22">
        <f>SUM(F522:K522)</f>
        <v/>
      </c>
      <c r="M522" s="22">
        <f>Z522/(1-R522)</f>
        <v/>
      </c>
      <c r="N522" s="11" t="n">
        <v>26161.55672800024</v>
      </c>
      <c r="O522" s="11" t="n">
        <v>29270</v>
      </c>
      <c r="P522" s="11" t="n"/>
      <c r="Q522" s="22">
        <f>M522+N522+O522+P522</f>
        <v/>
      </c>
      <c r="R522" s="12" t="n">
        <v>0.01</v>
      </c>
      <c r="S522" s="22">
        <f>M522*R522</f>
        <v/>
      </c>
      <c r="T522" s="22">
        <f>N522*R522</f>
        <v/>
      </c>
      <c r="U522" s="22">
        <f>(O522-V522)*R522</f>
        <v/>
      </c>
      <c r="V522" s="11" t="n">
        <v>4736</v>
      </c>
      <c r="W522" s="11" t="n">
        <v>5558.25221400018</v>
      </c>
      <c r="X522" s="22">
        <f>S522+T522+U522+V522+W522</f>
        <v/>
      </c>
      <c r="Y522" s="11" t="n">
        <v>49334.9158</v>
      </c>
      <c r="Z522" s="22">
        <f>AE522-AB522-AA522-AC522</f>
        <v/>
      </c>
      <c r="AA522" s="22">
        <f>N522-T522-W522</f>
        <v/>
      </c>
      <c r="AB522" s="22">
        <f>O522-V522-U522</f>
        <v/>
      </c>
      <c r="AC522" s="22">
        <f>P522</f>
        <v/>
      </c>
      <c r="AD522" s="23">
        <f>Z522+AA522+AB522+AC522</f>
        <v/>
      </c>
      <c r="AE522" s="11" t="n">
        <v>554995.4300000001</v>
      </c>
      <c r="AF522" s="24">
        <f>AD522-AE522</f>
        <v/>
      </c>
      <c r="AG522" s="13">
        <f>IF(OR(B522="",B522=0,M522=""),"",M522/B522*10000)</f>
        <v/>
      </c>
      <c r="AH522" s="13">
        <f>IF(OR(C522="",C522=0),"",N522/C522*10000)</f>
        <v/>
      </c>
      <c r="AI522" s="13">
        <f>IF(OR(D522="",D522=0),"",O522/D522*10000)</f>
        <v/>
      </c>
      <c r="AJ522" s="11" t="n">
        <v>2585.464050852146</v>
      </c>
      <c r="AK522" s="11" t="n">
        <v>0</v>
      </c>
      <c r="AL522" s="22">
        <f>AE522+AJ522+AK522</f>
        <v/>
      </c>
      <c r="AM522" s="22">
        <f>AE522</f>
        <v/>
      </c>
      <c r="AN522" s="14" t="n">
        <v>13368.7</v>
      </c>
      <c r="AO522" s="15" t="n">
        <v>41.51454</v>
      </c>
      <c r="AP522" s="14" t="n">
        <v>43821103.22255512</v>
      </c>
      <c r="AQ522" s="14" t="n">
        <v>26480.6541</v>
      </c>
      <c r="AR522" s="14" t="n">
        <v>493.8365</v>
      </c>
      <c r="AS522" s="14" t="n"/>
      <c r="AT522" s="16" t="n">
        <v>432.9059000950819</v>
      </c>
      <c r="AU522" s="17" t="n">
        <v>0.0214018937</v>
      </c>
      <c r="AV522" s="14" t="n">
        <v>415192190.0563</v>
      </c>
      <c r="AW522" s="18" t="n">
        <v>60100000</v>
      </c>
      <c r="AX522" s="19" t="n">
        <v>43821103.22255512</v>
      </c>
      <c r="AY522" s="18" t="n">
        <v>3100000</v>
      </c>
      <c r="AZ522" s="18">
        <f>1000000000-999244661.596</f>
        <v/>
      </c>
      <c r="BA522" s="20">
        <f>1000000000-AV522-AW522-AX522-AY522-AZ522</f>
        <v/>
      </c>
      <c r="BB522" s="21" t="n">
        <v>241.384938</v>
      </c>
      <c r="BC522" s="21">
        <f>BA522/1000000-BB522</f>
        <v/>
      </c>
      <c r="BD522" s="22">
        <f>BA522*41.09</f>
        <v/>
      </c>
    </row>
    <row r="523">
      <c r="A523" s="10" t="n">
        <v>46145</v>
      </c>
      <c r="B523" s="11" t="n">
        <v>2271878366.12746</v>
      </c>
      <c r="C523" s="11" t="n">
        <v>689094132.8032197</v>
      </c>
      <c r="D523" s="11" t="n">
        <v>67677761</v>
      </c>
      <c r="E523" s="11" t="n"/>
      <c r="F523" s="24" t="n">
        <v>498843219.1295153</v>
      </c>
      <c r="G523" s="24" t="n">
        <v>5647595.919759201</v>
      </c>
      <c r="H523" s="24" t="n">
        <v>11253149.32733934</v>
      </c>
      <c r="I523" s="24" t="n">
        <v>110665748.220967</v>
      </c>
      <c r="J523" s="24" t="n">
        <v>103632.957225981</v>
      </c>
      <c r="K523" s="24" t="n">
        <v>62580787.24841285</v>
      </c>
      <c r="L523" s="22">
        <f>SUM(F523:K523)</f>
        <v/>
      </c>
      <c r="M523" s="22">
        <f>Z523/(1-R523)</f>
        <v/>
      </c>
      <c r="N523" s="11" t="n">
        <v>58284.5256940018</v>
      </c>
      <c r="O523" s="11" t="n">
        <v>32707</v>
      </c>
      <c r="P523" s="11" t="n"/>
      <c r="Q523" s="22">
        <f>M523+N523+O523+P523</f>
        <v/>
      </c>
      <c r="R523" s="12" t="n">
        <v>0.01</v>
      </c>
      <c r="S523" s="22">
        <f>M523*R523</f>
        <v/>
      </c>
      <c r="T523" s="22">
        <f>N523*R523</f>
        <v/>
      </c>
      <c r="U523" s="22">
        <f>(O523-V523)*R523</f>
        <v/>
      </c>
      <c r="V523" s="11" t="n">
        <v>7742</v>
      </c>
      <c r="W523" s="11" t="n">
        <v>14368.17281500039</v>
      </c>
      <c r="X523" s="22">
        <f>S523+T523+U523+V523+W523</f>
        <v/>
      </c>
      <c r="Y523" s="11" t="n">
        <v>82258.5377</v>
      </c>
      <c r="Z523" s="22">
        <f>AE523-AB523-AA523-AC523</f>
        <v/>
      </c>
      <c r="AA523" s="22">
        <f>N523-T523-W523</f>
        <v/>
      </c>
      <c r="AB523" s="22">
        <f>O523-V523-U523</f>
        <v/>
      </c>
      <c r="AC523" s="22">
        <f>P523</f>
        <v/>
      </c>
      <c r="AD523" s="23">
        <f>Z523+AA523+AB523+AC523</f>
        <v/>
      </c>
      <c r="AE523" s="11" t="n">
        <v>727226.9399999999</v>
      </c>
      <c r="AF523" s="24">
        <f>AD523-AE523</f>
        <v/>
      </c>
      <c r="AG523" s="13">
        <f>IF(OR(B523="",B523=0,M523=""),"",M523/B523*10000)</f>
        <v/>
      </c>
      <c r="AH523" s="13">
        <f>IF(OR(C523="",C523=0),"",N523/C523*10000)</f>
        <v/>
      </c>
      <c r="AI523" s="13">
        <f>IF(OR(D523="",D523=0),"",O523/D523*10000)</f>
        <v/>
      </c>
      <c r="AJ523" s="11" t="n">
        <v>2255.680675944178</v>
      </c>
      <c r="AK523" s="11" t="n">
        <v>0</v>
      </c>
      <c r="AL523" s="22">
        <f>AE523+AJ523+AK523</f>
        <v/>
      </c>
      <c r="AM523" s="22">
        <f>AE523</f>
        <v/>
      </c>
      <c r="AN523" s="14" t="n">
        <v>17662.43</v>
      </c>
      <c r="AO523" s="15" t="n">
        <v>41.173663</v>
      </c>
      <c r="AP523" s="14" t="n">
        <v>43839831.02255512</v>
      </c>
      <c r="AQ523" s="14" t="n">
        <v>26491.9497</v>
      </c>
      <c r="AR523" s="14" t="n">
        <v>336.579</v>
      </c>
      <c r="AS523" s="14" t="n"/>
      <c r="AT523" s="16" t="n">
        <v>432.8033390345056</v>
      </c>
      <c r="AU523" s="17" t="n">
        <v>0.0214044002</v>
      </c>
      <c r="AV523" s="14" t="n">
        <v>415165698.1066</v>
      </c>
      <c r="AW523" s="18" t="n">
        <v>60100000</v>
      </c>
      <c r="AX523" s="19" t="n">
        <v>43839831.02255512</v>
      </c>
      <c r="AY523" s="18" t="n">
        <v>3100000</v>
      </c>
      <c r="AZ523" s="18">
        <f>1000000000-999244325.0169</f>
        <v/>
      </c>
      <c r="BA523" s="20">
        <f>1000000000-AV523-AW523-AX523-AY523-AZ523</f>
        <v/>
      </c>
      <c r="BB523" s="21" t="n">
        <v>241.384938</v>
      </c>
      <c r="BC523" s="21">
        <f>BA523/1000000-BB523</f>
        <v/>
      </c>
      <c r="BD523" s="22">
        <f>BA523*41.32</f>
        <v/>
      </c>
    </row>
    <row r="524">
      <c r="A524" s="10" t="n">
        <v>46146</v>
      </c>
      <c r="B524" s="11" t="n">
        <v>6000409380.480942</v>
      </c>
      <c r="C524" s="11" t="n">
        <v>3319107020.47979</v>
      </c>
      <c r="D524" s="11" t="n">
        <v>138183840</v>
      </c>
      <c r="E524" s="11" t="n"/>
      <c r="F524" s="24" t="n">
        <v>2039948348.430394</v>
      </c>
      <c r="G524" s="24" t="n">
        <v>22993824.20574328</v>
      </c>
      <c r="H524" s="24" t="n">
        <v>26715305.80561695</v>
      </c>
      <c r="I524" s="24" t="n">
        <v>703714105.9833307</v>
      </c>
      <c r="J524" s="24" t="n">
        <v>210761.7242923336</v>
      </c>
      <c r="K524" s="24" t="n">
        <v>525524674.3304125</v>
      </c>
      <c r="L524" s="22">
        <f>SUM(F524:K524)</f>
        <v/>
      </c>
      <c r="M524" s="22">
        <f>Z524/(1-R524)</f>
        <v/>
      </c>
      <c r="N524" s="11" t="n">
        <v>160884.6515590085</v>
      </c>
      <c r="O524" s="11" t="n">
        <v>68796</v>
      </c>
      <c r="P524" s="11" t="n"/>
      <c r="Q524" s="22">
        <f>M524+N524+O524+P524</f>
        <v/>
      </c>
      <c r="R524" s="12" t="n">
        <v>0.01</v>
      </c>
      <c r="S524" s="22">
        <f>M524*R524</f>
        <v/>
      </c>
      <c r="T524" s="22">
        <f>N524*R524</f>
        <v/>
      </c>
      <c r="U524" s="22">
        <f>(O524-V524)*R524</f>
        <v/>
      </c>
      <c r="V524" s="11" t="n">
        <v>18481</v>
      </c>
      <c r="W524" s="11" t="n">
        <v>57608.37004699923</v>
      </c>
      <c r="X524" s="22">
        <f>S524+T524+U524+V524+W524</f>
        <v/>
      </c>
      <c r="Y524" s="11" t="n">
        <v>149101.9663</v>
      </c>
      <c r="Z524" s="22">
        <f>AE524-AB524-AA524-AC524</f>
        <v/>
      </c>
      <c r="AA524" s="22">
        <f>N524-T524-W524</f>
        <v/>
      </c>
      <c r="AB524" s="22">
        <f>O524-V524-U524</f>
        <v/>
      </c>
      <c r="AC524" s="22">
        <f>P524</f>
        <v/>
      </c>
      <c r="AD524" s="23">
        <f>Z524+AA524+AB524+AC524</f>
        <v/>
      </c>
      <c r="AE524" s="11" t="n">
        <v>1908903.31</v>
      </c>
      <c r="AF524" s="24">
        <f>AD524-AE524</f>
        <v/>
      </c>
      <c r="AG524" s="13">
        <f>IF(OR(B524="",B524=0,M524=""),"",M524/B524*10000)</f>
        <v/>
      </c>
      <c r="AH524" s="13">
        <f>IF(OR(C524="",C524=0),"",N524/C524*10000)</f>
        <v/>
      </c>
      <c r="AI524" s="13">
        <f>IF(OR(D524="",D524=0),"",O524/D524*10000)</f>
        <v/>
      </c>
      <c r="AJ524" s="11" t="n">
        <v>6941.697392663881</v>
      </c>
      <c r="AK524" s="11" t="n">
        <v>0</v>
      </c>
      <c r="AL524" s="22">
        <f>AE524+AJ524+AK524</f>
        <v/>
      </c>
      <c r="AM524" s="22">
        <f>AE524</f>
        <v/>
      </c>
      <c r="AN524" s="14" t="n">
        <v>45885.24</v>
      </c>
      <c r="AO524" s="15" t="n">
        <v>41.601685</v>
      </c>
      <c r="AP524" s="14" t="n">
        <v>43885214.42255512</v>
      </c>
      <c r="AQ524" s="14" t="n">
        <v>26492.991</v>
      </c>
      <c r="AR524" s="14" t="n">
        <v>830.7372</v>
      </c>
      <c r="AS524" s="14" t="n"/>
      <c r="AT524" s="16" t="n">
        <v>433.0146023083299</v>
      </c>
      <c r="AU524" s="17" t="n">
        <v>0.0213992382</v>
      </c>
      <c r="AV524" s="14" t="n">
        <v>415139205.1157</v>
      </c>
      <c r="AW524" s="18" t="n">
        <v>60100000</v>
      </c>
      <c r="AX524" s="19" t="n">
        <v>43885214.42255512</v>
      </c>
      <c r="AY524" s="18" t="n">
        <v>3100000</v>
      </c>
      <c r="AZ524" s="18">
        <f>1000000000-999243494.2798</f>
        <v/>
      </c>
      <c r="BA524" s="20">
        <f>1000000000-AV524-AW524-AX524-AY524-AZ524</f>
        <v/>
      </c>
      <c r="BB524" s="21" t="n">
        <v>241.384938</v>
      </c>
      <c r="BC524" s="21">
        <f>BA524/1000000-BB524</f>
        <v/>
      </c>
      <c r="BD524" s="22">
        <f>BA524*41.25</f>
        <v/>
      </c>
    </row>
    <row r="525">
      <c r="A525" s="10" t="n">
        <v>46147</v>
      </c>
      <c r="B525" s="11" t="n">
        <v>4942126439.513169</v>
      </c>
      <c r="C525" s="11" t="n">
        <v>2364574288.898133</v>
      </c>
      <c r="D525" s="11" t="n">
        <v>138979501</v>
      </c>
      <c r="E525" s="11" t="n"/>
      <c r="F525" s="24" t="n">
        <v>1284163847.172976</v>
      </c>
      <c r="G525" s="24" t="n">
        <v>13783384.50026957</v>
      </c>
      <c r="H525" s="24" t="n">
        <v>10324910.05933441</v>
      </c>
      <c r="I525" s="24" t="n">
        <v>468789827.180822</v>
      </c>
      <c r="J525" s="24" t="n">
        <v>233201.4237729188</v>
      </c>
      <c r="K525" s="24" t="n">
        <v>587279118.5609576</v>
      </c>
      <c r="L525" s="22">
        <f>SUM(F525:K525)</f>
        <v/>
      </c>
      <c r="M525" s="22">
        <f>Z525/(1-R525)</f>
        <v/>
      </c>
      <c r="N525" s="11" t="n">
        <v>118613.9082319995</v>
      </c>
      <c r="O525" s="11" t="n">
        <v>70963</v>
      </c>
      <c r="P525" s="11" t="n"/>
      <c r="Q525" s="22">
        <f>M525+N525+O525+P525</f>
        <v/>
      </c>
      <c r="R525" s="12" t="n">
        <v>0.01</v>
      </c>
      <c r="S525" s="22">
        <f>M525*R525</f>
        <v/>
      </c>
      <c r="T525" s="22">
        <f>N525*R525</f>
        <v/>
      </c>
      <c r="U525" s="22">
        <f>(O525-V525)*R525</f>
        <v/>
      </c>
      <c r="V525" s="11" t="n">
        <v>14799</v>
      </c>
      <c r="W525" s="11" t="n">
        <v>41776.4357459988</v>
      </c>
      <c r="X525" s="22">
        <f>S525+T525+U525+V525+W525</f>
        <v/>
      </c>
      <c r="Y525" s="11" t="n">
        <v>122211.6821</v>
      </c>
      <c r="Z525" s="22">
        <f>AE525-AB525-AA525-AC525</f>
        <v/>
      </c>
      <c r="AA525" s="22">
        <f>N525-T525-W525</f>
        <v/>
      </c>
      <c r="AB525" s="22">
        <f>O525-V525-U525</f>
        <v/>
      </c>
      <c r="AC525" s="22">
        <f>P525</f>
        <v/>
      </c>
      <c r="AD525" s="23">
        <f>Z525+AA525+AB525+AC525</f>
        <v/>
      </c>
      <c r="AE525" s="11" t="n">
        <v>1636317.05</v>
      </c>
      <c r="AF525" s="24">
        <f>AD525-AE525</f>
        <v/>
      </c>
      <c r="AG525" s="13">
        <f>IF(OR(B525="",B525=0,M525=""),"",M525/B525*10000)</f>
        <v/>
      </c>
      <c r="AH525" s="13">
        <f>IF(OR(C525="",C525=0),"",N525/C525*10000)</f>
        <v/>
      </c>
      <c r="AI525" s="13">
        <f>IF(OR(D525="",D525=0),"",O525/D525*10000)</f>
        <v/>
      </c>
      <c r="AJ525" s="11" t="n">
        <v>6431.871938815542</v>
      </c>
      <c r="AK525" s="11" t="n">
        <v>0</v>
      </c>
      <c r="AL525" s="22">
        <f>AE525+AJ525+AK525</f>
        <v/>
      </c>
      <c r="AM525" s="22">
        <f>AE525</f>
        <v/>
      </c>
      <c r="AN525" s="14" t="n">
        <v>37568.98</v>
      </c>
      <c r="AO525" s="15" t="n">
        <v>43.555003</v>
      </c>
      <c r="AP525" s="14" t="n">
        <v>43923183.10255512</v>
      </c>
      <c r="AQ525" s="14" t="n">
        <v>26499.8887</v>
      </c>
      <c r="AR525" s="14" t="n">
        <v>839.074</v>
      </c>
      <c r="AS525" s="14" t="n"/>
      <c r="AT525" s="16" t="n">
        <v>433.1108691538475</v>
      </c>
      <c r="AU525" s="17" t="n">
        <v>0.0213968873</v>
      </c>
      <c r="AV525" s="14" t="n">
        <v>415112705.227</v>
      </c>
      <c r="AW525" s="18" t="n">
        <v>60100000</v>
      </c>
      <c r="AX525" s="19" t="n">
        <v>43923183.10255512</v>
      </c>
      <c r="AY525" s="18" t="n">
        <v>3100000</v>
      </c>
      <c r="AZ525" s="18">
        <f>1000000000-999242655.2057</f>
        <v/>
      </c>
      <c r="BA525" s="20">
        <f>1000000000-AV525-AW525-AX525-AY525-AZ525</f>
        <v/>
      </c>
      <c r="BB525" s="21" t="n">
        <v>241.384938</v>
      </c>
      <c r="BC525" s="21">
        <f>BA525/1000000-BB525</f>
        <v/>
      </c>
      <c r="BD525" s="22">
        <f>BA525*41.79</f>
        <v/>
      </c>
    </row>
    <row r="526">
      <c r="A526" s="10" t="n">
        <v>46148</v>
      </c>
      <c r="B526" s="11" t="n">
        <v>6004443941.428326</v>
      </c>
      <c r="C526" s="11" t="n">
        <v>3561033304.056062</v>
      </c>
      <c r="D526" s="11" t="n">
        <v>131146721</v>
      </c>
      <c r="E526" s="11" t="n"/>
      <c r="F526" s="24" t="n">
        <v>2309608285.62816</v>
      </c>
      <c r="G526" s="24" t="n">
        <v>13696372.43859187</v>
      </c>
      <c r="H526" s="24" t="n">
        <v>12301703.08944866</v>
      </c>
      <c r="I526" s="24" t="n">
        <v>598291189.9425319</v>
      </c>
      <c r="J526" s="24" t="n">
        <v>666364.5590029904</v>
      </c>
      <c r="K526" s="24" t="n">
        <v>626469388.3983266</v>
      </c>
      <c r="L526" s="22">
        <f>SUM(F526:K526)</f>
        <v/>
      </c>
      <c r="M526" s="22">
        <f>Z526/(1-R526)</f>
        <v/>
      </c>
      <c r="N526" s="11" t="n">
        <v>172315.751226999</v>
      </c>
      <c r="O526" s="11" t="n">
        <v>62363</v>
      </c>
      <c r="P526" s="11" t="n"/>
      <c r="Q526" s="22">
        <f>M526+N526+O526+P526</f>
        <v/>
      </c>
      <c r="R526" s="12" t="n">
        <v>0.01</v>
      </c>
      <c r="S526" s="22">
        <f>M526*R526</f>
        <v/>
      </c>
      <c r="T526" s="22">
        <f>N526*R526</f>
        <v/>
      </c>
      <c r="U526" s="22">
        <f>(O526-V526)*R526</f>
        <v/>
      </c>
      <c r="V526" s="11" t="n">
        <v>13563</v>
      </c>
      <c r="W526" s="11" t="n">
        <v>63141.57881900221</v>
      </c>
      <c r="X526" s="22">
        <f>S526+T526+U526+V526+W526</f>
        <v/>
      </c>
      <c r="Y526" s="11" t="n">
        <v>138074.0994</v>
      </c>
      <c r="Z526" s="22">
        <f>AE526-AB526-AA526-AC526</f>
        <v/>
      </c>
      <c r="AA526" s="22">
        <f>N526-T526-W526</f>
        <v/>
      </c>
      <c r="AB526" s="22">
        <f>O526-V526-U526</f>
        <v/>
      </c>
      <c r="AC526" s="22">
        <f>P526</f>
        <v/>
      </c>
      <c r="AD526" s="23">
        <f>Z526+AA526+AB526+AC526</f>
        <v/>
      </c>
      <c r="AE526" s="11" t="n">
        <v>1962791.95</v>
      </c>
      <c r="AF526" s="24">
        <f>AD526-AE526</f>
        <v/>
      </c>
      <c r="AG526" s="13">
        <f>IF(OR(B526="",B526=0,M526=""),"",M526/B526*10000)</f>
        <v/>
      </c>
      <c r="AH526" s="13">
        <f>IF(OR(C526="",C526=0),"",N526/C526*10000)</f>
        <v/>
      </c>
      <c r="AI526" s="13">
        <f>IF(OR(D526="",D526=0),"",O526/D526*10000)</f>
        <v/>
      </c>
      <c r="AJ526" s="11" t="n">
        <v>6759.073798727839</v>
      </c>
      <c r="AK526" s="11" t="n">
        <v>0</v>
      </c>
      <c r="AL526" s="22">
        <f>AE526+AJ526+AK526</f>
        <v/>
      </c>
      <c r="AM526" s="22">
        <f>AE526</f>
        <v/>
      </c>
      <c r="AN526" s="14" t="n">
        <v>44694.09</v>
      </c>
      <c r="AO526" s="15" t="n">
        <v>43.916141</v>
      </c>
      <c r="AP526" s="14" t="n">
        <v>43967293.59255512</v>
      </c>
      <c r="AQ526" s="14" t="n">
        <v>26556.0013</v>
      </c>
      <c r="AR526" s="14" t="n">
        <v>1357.3483</v>
      </c>
      <c r="AS526" s="14" t="n"/>
      <c r="AT526" s="16" t="n">
        <v>434.9653688421144</v>
      </c>
      <c r="AU526" s="17" t="n">
        <v>0.0213517504</v>
      </c>
      <c r="AV526" s="14" t="n">
        <v>415086149.2257</v>
      </c>
      <c r="AW526" s="18" t="n">
        <v>60100000</v>
      </c>
      <c r="AX526" s="19" t="n">
        <v>43967293.59255512</v>
      </c>
      <c r="AY526" s="18" t="n">
        <v>3100000</v>
      </c>
      <c r="AZ526" s="18">
        <f>1000000000-999241297.8574</f>
        <v/>
      </c>
      <c r="BA526" s="20">
        <f>1000000000-AV526-AW526-AX526-AY526-AZ526</f>
        <v/>
      </c>
      <c r="BB526" s="21" t="n">
        <v>241.384938</v>
      </c>
      <c r="BC526" s="21">
        <f>BA526/1000000-BB526</f>
        <v/>
      </c>
      <c r="BD526" s="22">
        <f>BA526*43.84</f>
        <v/>
      </c>
    </row>
    <row r="527">
      <c r="A527" s="10" t="n">
        <v>46149</v>
      </c>
      <c r="B527" s="11" t="n">
        <v>4979769968.556605</v>
      </c>
      <c r="C527" s="11" t="n">
        <v>3650186229.747594</v>
      </c>
      <c r="D527" s="11" t="n">
        <v>110893957</v>
      </c>
      <c r="E527" s="11" t="n"/>
      <c r="F527" s="24" t="n">
        <v>2303350655.695926</v>
      </c>
      <c r="G527" s="24" t="n">
        <v>10576915.79060563</v>
      </c>
      <c r="H527" s="24" t="n">
        <v>5973334.316258935</v>
      </c>
      <c r="I527" s="24" t="n">
        <v>664224051.3902805</v>
      </c>
      <c r="J527" s="24" t="n">
        <v>2696809.255974984</v>
      </c>
      <c r="K527" s="24" t="n">
        <v>663364463.2985488</v>
      </c>
      <c r="L527" s="22">
        <f>SUM(F527:K527)</f>
        <v/>
      </c>
      <c r="M527" s="22">
        <f>Z527/(1-R527)</f>
        <v/>
      </c>
      <c r="N527" s="11" t="n">
        <v>163228.3073880055</v>
      </c>
      <c r="O527" s="11" t="n">
        <v>51769</v>
      </c>
      <c r="P527" s="11" t="n"/>
      <c r="Q527" s="22">
        <f>M527+N527+O527+P527</f>
        <v/>
      </c>
      <c r="R527" s="12" t="n">
        <v>0.01</v>
      </c>
      <c r="S527" s="22">
        <f>M527*R527</f>
        <v/>
      </c>
      <c r="T527" s="22">
        <f>N527*R527</f>
        <v/>
      </c>
      <c r="U527" s="22">
        <f>(O527-V527)*R527</f>
        <v/>
      </c>
      <c r="V527" s="11" t="n">
        <v>12926</v>
      </c>
      <c r="W527" s="11" t="n">
        <v>61883.85713900125</v>
      </c>
      <c r="X527" s="22">
        <f>S527+T527+U527+V527+W527</f>
        <v/>
      </c>
      <c r="Y527" s="11" t="n">
        <v>120053.4649</v>
      </c>
      <c r="Z527" s="22">
        <f>AE527-AB527-AA527-AC527</f>
        <v/>
      </c>
      <c r="AA527" s="22">
        <f>N527-T527-W527</f>
        <v/>
      </c>
      <c r="AB527" s="22">
        <f>O527-V527-U527</f>
        <v/>
      </c>
      <c r="AC527" s="22">
        <f>P527</f>
        <v/>
      </c>
      <c r="AD527" s="23">
        <f>Z527+AA527+AB527+AC527</f>
        <v/>
      </c>
      <c r="AE527" s="11" t="n">
        <v>1614943.04</v>
      </c>
      <c r="AF527" s="24">
        <f>AD527-AE527</f>
        <v/>
      </c>
      <c r="AG527" s="13">
        <f>IF(OR(B527="",B527=0,M527=""),"",M527/B527*10000)</f>
        <v/>
      </c>
      <c r="AH527" s="13">
        <f>IF(OR(C527="",C527=0),"",N527/C527*10000)</f>
        <v/>
      </c>
      <c r="AI527" s="13">
        <f>IF(OR(D527="",D527=0),"",O527/D527*10000)</f>
        <v/>
      </c>
      <c r="AJ527" s="11" t="n">
        <v>5298.360199875364</v>
      </c>
      <c r="AK527" s="11" t="n">
        <v>0</v>
      </c>
      <c r="AL527" s="22">
        <f>AE527+AJ527+AK527</f>
        <v/>
      </c>
      <c r="AM527" s="22">
        <f>AE527</f>
        <v/>
      </c>
      <c r="AN527" s="14" t="n">
        <v>37930.16</v>
      </c>
      <c r="AO527" s="15" t="n">
        <v>42.576753</v>
      </c>
      <c r="AP527" s="14" t="n">
        <v>44004836.83255512</v>
      </c>
      <c r="AQ527" s="14" t="n">
        <v>26566.7638</v>
      </c>
      <c r="AR527" s="14" t="n">
        <v>1003.4753</v>
      </c>
      <c r="AS527" s="14" t="n"/>
      <c r="AT527" s="16" t="n">
        <v>435.5922658060406</v>
      </c>
      <c r="AU527" s="17" t="n">
        <v>0.021336557</v>
      </c>
      <c r="AV527" s="14" t="n">
        <v>415059582.4619</v>
      </c>
      <c r="AW527" s="18" t="n">
        <v>60100000</v>
      </c>
      <c r="AX527" s="19" t="n">
        <v>44004836.83255512</v>
      </c>
      <c r="AY527" s="18" t="n">
        <v>3100000</v>
      </c>
      <c r="AZ527" s="18">
        <f>1000000000-999240294.3821</f>
        <v/>
      </c>
      <c r="BA527" s="20">
        <f>1000000000-AV527-AW527-AX527-AY527-AZ527</f>
        <v/>
      </c>
      <c r="BB527" s="21" t="n">
        <v>241.384938</v>
      </c>
      <c r="BC527" s="21">
        <f>BA527/1000000-BB527</f>
        <v/>
      </c>
      <c r="BD527" s="22">
        <f>BA527*42.92</f>
        <v/>
      </c>
    </row>
    <row r="528">
      <c r="A528" s="10" t="n">
        <v>46150</v>
      </c>
      <c r="B528" s="11" t="n">
        <v>4276075832.047947</v>
      </c>
      <c r="C528" s="11" t="n">
        <v>2412480014.301615</v>
      </c>
      <c r="D528" s="11" t="n">
        <v>84826141</v>
      </c>
      <c r="E528" s="11" t="n"/>
      <c r="F528" s="24" t="n">
        <v>1213401005.471423</v>
      </c>
      <c r="G528" s="24" t="n">
        <v>8016995.750277497</v>
      </c>
      <c r="H528" s="24" t="n">
        <v>6279014.245171959</v>
      </c>
      <c r="I528" s="24" t="n">
        <v>526681003.1153096</v>
      </c>
      <c r="J528" s="24" t="n">
        <v>675280.8810039457</v>
      </c>
      <c r="K528" s="24" t="n">
        <v>657426714.8384285</v>
      </c>
      <c r="L528" s="22">
        <f>SUM(F528:K528)</f>
        <v/>
      </c>
      <c r="M528" s="22">
        <f>Z528/(1-R528)</f>
        <v/>
      </c>
      <c r="N528" s="11" t="n">
        <v>121090.5433249981</v>
      </c>
      <c r="O528" s="11" t="n">
        <v>41401</v>
      </c>
      <c r="P528" s="11" t="n"/>
      <c r="Q528" s="22">
        <f>M528+N528+O528+P528</f>
        <v/>
      </c>
      <c r="R528" s="12" t="n">
        <v>0.01</v>
      </c>
      <c r="S528" s="22">
        <f>M528*R528</f>
        <v/>
      </c>
      <c r="T528" s="22">
        <f>N528*R528</f>
        <v/>
      </c>
      <c r="U528" s="22">
        <f>(O528-V528)*R528</f>
        <v/>
      </c>
      <c r="V528" s="11" t="n">
        <v>11953</v>
      </c>
      <c r="W528" s="11" t="n">
        <v>42083.69517600044</v>
      </c>
      <c r="X528" s="22">
        <f>S528+T528+U528+V528+W528</f>
        <v/>
      </c>
      <c r="Y528" s="11" t="n">
        <v>100929.6168</v>
      </c>
      <c r="Z528" s="22">
        <f>AE528-AB528-AA528-AC528</f>
        <v/>
      </c>
      <c r="AA528" s="22">
        <f>N528-T528-W528</f>
        <v/>
      </c>
      <c r="AB528" s="22">
        <f>O528-V528-U528</f>
        <v/>
      </c>
      <c r="AC528" s="22">
        <f>P528</f>
        <v/>
      </c>
      <c r="AD528" s="23">
        <f>Z528+AA528+AB528+AC528</f>
        <v/>
      </c>
      <c r="AE528" s="11" t="n">
        <v>1353339.61</v>
      </c>
      <c r="AF528" s="24">
        <f>AD528-AE528</f>
        <v/>
      </c>
      <c r="AG528" s="13">
        <f>IF(OR(B528="",B528=0,M528=""),"",M528/B528*10000)</f>
        <v/>
      </c>
      <c r="AH528" s="13">
        <f>IF(OR(C528="",C528=0),"",N528/C528*10000)</f>
        <v/>
      </c>
      <c r="AI528" s="13">
        <f>IF(OR(D528="",D528=0),"",O528/D528*10000)</f>
        <v/>
      </c>
      <c r="AJ528" s="11" t="n">
        <v>4425.62835103642</v>
      </c>
      <c r="AK528" s="11" t="n">
        <v>0</v>
      </c>
      <c r="AL528" s="22">
        <f>AE528+AJ528+AK528</f>
        <v/>
      </c>
      <c r="AM528" s="22">
        <f>AE528</f>
        <v/>
      </c>
      <c r="AN528" s="14" t="n">
        <v>31682.1</v>
      </c>
      <c r="AO528" s="15" t="n">
        <v>42.716222</v>
      </c>
      <c r="AP528" s="14" t="n">
        <v>44036284.02255512</v>
      </c>
      <c r="AQ528" s="14" t="n">
        <v>26584.0171</v>
      </c>
      <c r="AR528" s="14" t="n">
        <v>2068.2801</v>
      </c>
      <c r="AS528" s="14" t="n"/>
      <c r="AT528" s="16" t="n">
        <v>435.9992065346044</v>
      </c>
      <c r="AU528" s="17" t="n">
        <v>0.0213267119</v>
      </c>
      <c r="AV528" s="14" t="n">
        <v>415032998.4448</v>
      </c>
      <c r="AW528" s="18" t="n">
        <v>60100000</v>
      </c>
      <c r="AX528" s="19" t="n">
        <v>44036284.02255512</v>
      </c>
      <c r="AY528" s="18" t="n">
        <v>3100000</v>
      </c>
      <c r="AZ528" s="18">
        <f>1000000000-999238226.102</f>
        <v/>
      </c>
      <c r="BA528" s="20">
        <f>1000000000-AV528-AW528-AX528-AY528-AZ528</f>
        <v/>
      </c>
      <c r="BB528" s="21" t="n">
        <v>241.384938</v>
      </c>
      <c r="BC528" s="21">
        <f>BA528/1000000-BB528</f>
        <v/>
      </c>
      <c r="BD528" s="22">
        <f>BA528*42.68</f>
        <v/>
      </c>
    </row>
    <row r="529">
      <c r="A529" s="10" t="n">
        <v>46151</v>
      </c>
      <c r="B529" s="11" t="n">
        <v>2584020484.224062</v>
      </c>
      <c r="C529" s="11" t="n">
        <v>311628203.1710385</v>
      </c>
      <c r="D529" s="11" t="n">
        <v>71886076</v>
      </c>
      <c r="E529" s="11" t="n"/>
      <c r="F529" s="24" t="n">
        <v>143304048.7152015</v>
      </c>
      <c r="G529" s="24" t="n">
        <v>4516296.451873147</v>
      </c>
      <c r="H529" s="24" t="n">
        <v>491222.161201243</v>
      </c>
      <c r="I529" s="24" t="n">
        <v>78485520.37318486</v>
      </c>
      <c r="J529" s="24" t="n">
        <v>7395840.275084808</v>
      </c>
      <c r="K529" s="24" t="n">
        <v>77435275.19449292</v>
      </c>
      <c r="L529" s="22">
        <f>SUM(F529:K529)</f>
        <v/>
      </c>
      <c r="M529" s="22">
        <f>Z529/(1-R529)</f>
        <v/>
      </c>
      <c r="N529" s="11" t="n">
        <v>31738.70459600124</v>
      </c>
      <c r="O529" s="11" t="n">
        <v>36744</v>
      </c>
      <c r="P529" s="11" t="n"/>
      <c r="Q529" s="22">
        <f>M529+N529+O529+P529</f>
        <v/>
      </c>
      <c r="R529" s="12" t="n">
        <v>0.01</v>
      </c>
      <c r="S529" s="22">
        <f>M529*R529</f>
        <v/>
      </c>
      <c r="T529" s="22">
        <f>N529*R529</f>
        <v/>
      </c>
      <c r="U529" s="22">
        <f>(O529-V529)*R529</f>
        <v/>
      </c>
      <c r="V529" s="11" t="n">
        <v>6880</v>
      </c>
      <c r="W529" s="11" t="n">
        <v>8833.720736000098</v>
      </c>
      <c r="X529" s="22">
        <f>S529+T529+U529+V529+W529</f>
        <v/>
      </c>
      <c r="Y529" s="11" t="n">
        <v>62514.85529999999</v>
      </c>
      <c r="Z529" s="22">
        <f>AE529-AB529-AA529-AC529</f>
        <v/>
      </c>
      <c r="AA529" s="22">
        <f>N529-T529-W529</f>
        <v/>
      </c>
      <c r="AB529" s="22">
        <f>O529-V529-U529</f>
        <v/>
      </c>
      <c r="AC529" s="22">
        <f>P529</f>
        <v/>
      </c>
      <c r="AD529" s="23">
        <f>Z529+AA529+AB529+AC529</f>
        <v/>
      </c>
      <c r="AE529" s="11" t="n">
        <v>839949.0699999999</v>
      </c>
      <c r="AF529" s="24">
        <f>AD529-AE529</f>
        <v/>
      </c>
      <c r="AG529" s="13">
        <f>IF(OR(B529="",B529=0,M529=""),"",M529/B529*10000)</f>
        <v/>
      </c>
      <c r="AH529" s="13">
        <f>IF(OR(C529="",C529=0),"",N529/C529*10000)</f>
        <v/>
      </c>
      <c r="AI529" s="13">
        <f>IF(OR(D529="",D529=0),"",O529/D529*10000)</f>
        <v/>
      </c>
      <c r="AJ529" s="11" t="n">
        <v>5394.016303383018</v>
      </c>
      <c r="AK529" s="11" t="n">
        <v>0</v>
      </c>
      <c r="AL529" s="22">
        <f>AE529+AJ529+AK529</f>
        <v/>
      </c>
      <c r="AM529" s="22">
        <f>AE529</f>
        <v/>
      </c>
      <c r="AN529" s="14" t="n">
        <v>19300.73</v>
      </c>
      <c r="AO529" s="15" t="n">
        <v>43.519031</v>
      </c>
      <c r="AP529" s="14" t="n">
        <v>44056402.03255512</v>
      </c>
      <c r="AQ529" s="14" t="n">
        <v>26600.8439</v>
      </c>
      <c r="AR529" s="14" t="n">
        <v>814.8742999999999</v>
      </c>
      <c r="AS529" s="14" t="n"/>
      <c r="AT529" s="16" t="n">
        <v>436.2843861666652</v>
      </c>
      <c r="AU529" s="17" t="n">
        <v>0.0213198206</v>
      </c>
      <c r="AV529" s="14" t="n">
        <v>415006397.6009</v>
      </c>
      <c r="AW529" s="18" t="n">
        <v>60100000</v>
      </c>
      <c r="AX529" s="19" t="n">
        <v>44056402.03255512</v>
      </c>
      <c r="AY529" s="18" t="n">
        <v>3100000</v>
      </c>
      <c r="AZ529" s="18">
        <f>1000000000-999237411.2277</f>
        <v/>
      </c>
      <c r="BA529" s="20">
        <f>1000000000-AV529-AW529-AX529-AY529-AZ529</f>
        <v/>
      </c>
      <c r="BB529" s="21" t="n">
        <v>241.384938</v>
      </c>
      <c r="BC529" s="21">
        <f>BA529/1000000-BB529</f>
        <v/>
      </c>
      <c r="BD529" s="22">
        <f>BA529*43.37</f>
        <v/>
      </c>
    </row>
    <row r="530">
      <c r="A530" s="10" t="n">
        <v>46152</v>
      </c>
      <c r="B530" s="11" t="n">
        <v>3742062166.617763</v>
      </c>
      <c r="C530" s="11" t="n">
        <v>835126724.1225463</v>
      </c>
      <c r="D530" s="11" t="n">
        <v>76297993</v>
      </c>
      <c r="E530" s="11" t="n"/>
      <c r="F530" s="24" t="n">
        <v>468754668.6120316</v>
      </c>
      <c r="G530" s="24" t="n">
        <v>9984250.263838885</v>
      </c>
      <c r="H530" s="24" t="n">
        <v>4053703.449216654</v>
      </c>
      <c r="I530" s="24" t="n">
        <v>209354251.7597374</v>
      </c>
      <c r="J530" s="24" t="n">
        <v>3882216.013016139</v>
      </c>
      <c r="K530" s="24" t="n">
        <v>139097634.0247054</v>
      </c>
      <c r="L530" s="22">
        <f>SUM(F530:K530)</f>
        <v/>
      </c>
      <c r="M530" s="22">
        <f>Z530/(1-R530)</f>
        <v/>
      </c>
      <c r="N530" s="11" t="n">
        <v>57956.28812800006</v>
      </c>
      <c r="O530" s="11" t="n">
        <v>37280</v>
      </c>
      <c r="P530" s="11" t="n"/>
      <c r="Q530" s="22">
        <f>M530+N530+O530+P530</f>
        <v/>
      </c>
      <c r="R530" s="12" t="n">
        <v>0.01</v>
      </c>
      <c r="S530" s="22">
        <f>M530*R530</f>
        <v/>
      </c>
      <c r="T530" s="22">
        <f>N530*R530</f>
        <v/>
      </c>
      <c r="U530" s="22">
        <f>(O530-V530)*R530</f>
        <v/>
      </c>
      <c r="V530" s="11" t="n">
        <v>7253</v>
      </c>
      <c r="W530" s="11" t="n">
        <v>19544.0693220003</v>
      </c>
      <c r="X530" s="22">
        <f>S530+T530+U530+V530+W530</f>
        <v/>
      </c>
      <c r="Y530" s="11" t="n">
        <v>82680.5254</v>
      </c>
      <c r="Z530" s="22">
        <f>AE530-AB530-AA530-AC530</f>
        <v/>
      </c>
      <c r="AA530" s="22">
        <f>N530-T530-W530</f>
        <v/>
      </c>
      <c r="AB530" s="22">
        <f>O530-V530-U530</f>
        <v/>
      </c>
      <c r="AC530" s="22">
        <f>P530</f>
        <v/>
      </c>
      <c r="AD530" s="23">
        <f>Z530+AA530+AB530+AC530</f>
        <v/>
      </c>
      <c r="AE530" s="11" t="n">
        <v>1107992.98</v>
      </c>
      <c r="AF530" s="24">
        <f>AD530-AE530</f>
        <v/>
      </c>
      <c r="AG530" s="13">
        <f>IF(OR(B530="",B530=0,M530=""),"",M530/B530*10000)</f>
        <v/>
      </c>
      <c r="AH530" s="13">
        <f>IF(OR(C530="",C530=0),"",N530/C530*10000)</f>
        <v/>
      </c>
      <c r="AI530" s="13">
        <f>IF(OR(D530="",D530=0),"",O530/D530*10000)</f>
        <v/>
      </c>
      <c r="AJ530" s="11" t="n">
        <v>4284.61452895567</v>
      </c>
      <c r="AK530" s="11" t="n">
        <v>0</v>
      </c>
      <c r="AL530" s="22">
        <f>AE530+AJ530+AK530</f>
        <v/>
      </c>
      <c r="AM530" s="22">
        <f>AE530</f>
        <v/>
      </c>
      <c r="AN530" s="14" t="n">
        <v>25784.42</v>
      </c>
      <c r="AO530" s="15" t="n">
        <v>42.971414</v>
      </c>
      <c r="AP530" s="14" t="n">
        <v>44084955.45255512</v>
      </c>
      <c r="AQ530" s="14" t="n">
        <v>26614.6055</v>
      </c>
      <c r="AR530" s="14" t="n">
        <v>1133.6262</v>
      </c>
      <c r="AS530" s="14" t="n"/>
      <c r="AT530" s="16" t="n">
        <v>436.0953450692937</v>
      </c>
      <c r="AU530" s="17" t="n">
        <v>0.021324388</v>
      </c>
      <c r="AV530" s="14" t="n">
        <v>414979782.9954</v>
      </c>
      <c r="AW530" s="18" t="n">
        <v>60100000</v>
      </c>
      <c r="AX530" s="19" t="n">
        <v>44084955.45255512</v>
      </c>
      <c r="AY530" s="18" t="n">
        <v>3100000</v>
      </c>
      <c r="AZ530" s="18">
        <f>1000000000-999236277.6014</f>
        <v/>
      </c>
      <c r="BA530" s="20">
        <f>1000000000-AV530-AW530-AX530-AY530-AZ530</f>
        <v/>
      </c>
      <c r="BB530" s="21" t="n">
        <v>241.384938</v>
      </c>
      <c r="BC530" s="21">
        <f>BA530/1000000-BB530</f>
        <v/>
      </c>
      <c r="BD530" s="22">
        <f>BA530*42.78</f>
        <v/>
      </c>
    </row>
    <row r="531">
      <c r="A531" s="10" t="n">
        <v>46153</v>
      </c>
      <c r="B531" s="11" t="n">
        <v>4402154440.20998</v>
      </c>
      <c r="C531" s="11" t="n">
        <v>2545256246.433302</v>
      </c>
      <c r="D531" s="11" t="n">
        <v>94198406</v>
      </c>
      <c r="E531" s="11" t="n"/>
      <c r="F531" s="24" t="n">
        <v>1216752169.429816</v>
      </c>
      <c r="G531" s="24" t="n">
        <v>9991346.419756198</v>
      </c>
      <c r="H531" s="24" t="n">
        <v>4795117.813659452</v>
      </c>
      <c r="I531" s="24" t="n">
        <v>414666762.4499297</v>
      </c>
      <c r="J531" s="24" t="n">
        <v>1255712.797249374</v>
      </c>
      <c r="K531" s="24" t="n">
        <v>897795137.5228918</v>
      </c>
      <c r="L531" s="22">
        <f>SUM(F531:K531)</f>
        <v/>
      </c>
      <c r="M531" s="22">
        <f>Z531/(1-R531)</f>
        <v/>
      </c>
      <c r="N531" s="11" t="n">
        <v>132361.0932830014</v>
      </c>
      <c r="O531" s="11" t="n">
        <v>44212</v>
      </c>
      <c r="P531" s="11" t="n"/>
      <c r="Q531" s="22">
        <f>M531+N531+O531+P531</f>
        <v/>
      </c>
      <c r="R531" s="12" t="n">
        <v>0.01</v>
      </c>
      <c r="S531" s="22">
        <f>M531*R531</f>
        <v/>
      </c>
      <c r="T531" s="22">
        <f>N531*R531</f>
        <v/>
      </c>
      <c r="U531" s="22">
        <f>(O531-V531)*R531</f>
        <v/>
      </c>
      <c r="V531" s="11" t="n">
        <v>10890</v>
      </c>
      <c r="W531" s="11" t="n">
        <v>48153.19122500189</v>
      </c>
      <c r="X531" s="22">
        <f>S531+T531+U531+V531+W531</f>
        <v/>
      </c>
      <c r="Y531" s="11" t="n">
        <v>110277.1002</v>
      </c>
      <c r="Z531" s="22">
        <f>AE531-AB531-AA531-AC531</f>
        <v/>
      </c>
      <c r="AA531" s="22">
        <f>N531-T531-W531</f>
        <v/>
      </c>
      <c r="AB531" s="22">
        <f>O531-V531-U531</f>
        <v/>
      </c>
      <c r="AC531" s="22">
        <f>P531</f>
        <v/>
      </c>
      <c r="AD531" s="23">
        <f>Z531+AA531+AB531+AC531</f>
        <v/>
      </c>
      <c r="AE531" s="11" t="n">
        <v>1503455.78</v>
      </c>
      <c r="AF531" s="24">
        <f>AD531-AE531</f>
        <v/>
      </c>
      <c r="AG531" s="13">
        <f>IF(OR(B531="",B531=0,M531=""),"",M531/B531*10000)</f>
        <v/>
      </c>
      <c r="AH531" s="13">
        <f>IF(OR(C531="",C531=0),"",N531/C531*10000)</f>
        <v/>
      </c>
      <c r="AI531" s="13">
        <f>IF(OR(D531="",D531=0),"",O531/D531*10000)</f>
        <v/>
      </c>
      <c r="AJ531" s="11" t="n">
        <v>4776.564113412917</v>
      </c>
      <c r="AK531" s="11" t="n">
        <v>0</v>
      </c>
      <c r="AL531" s="22">
        <f>AE531+AJ531+AK531</f>
        <v/>
      </c>
      <c r="AM531" s="22">
        <f>AE531</f>
        <v/>
      </c>
      <c r="AN531" s="14" t="n">
        <v>35854.16</v>
      </c>
      <c r="AO531" s="15" t="n">
        <v>41.932534</v>
      </c>
      <c r="AP531" s="14" t="n">
        <v>44118026.48255512</v>
      </c>
      <c r="AQ531" s="14" t="n">
        <v>26610.2038</v>
      </c>
      <c r="AR531" s="14" t="n">
        <v>579.2063000000001</v>
      </c>
      <c r="AS531" s="14" t="n"/>
      <c r="AT531" s="16" t="n">
        <v>436.1793625661655</v>
      </c>
      <c r="AU531" s="17" t="n">
        <v>0.0213223577</v>
      </c>
      <c r="AV531" s="14" t="n">
        <v>414953172.7916</v>
      </c>
      <c r="AW531" s="18" t="n">
        <v>60100000</v>
      </c>
      <c r="AX531" s="19" t="n">
        <v>44118026.48255512</v>
      </c>
      <c r="AY531" s="18" t="n">
        <v>3100000</v>
      </c>
      <c r="AZ531" s="18">
        <f>1000000000-999235698.3951</f>
        <v/>
      </c>
      <c r="BA531" s="20">
        <f>1000000000-AV531-AW531-AX531-AY531-AZ531</f>
        <v/>
      </c>
      <c r="BB531" s="21" t="n">
        <v>241.384938</v>
      </c>
      <c r="BC531" s="21">
        <f>BA531/1000000-BB531</f>
        <v/>
      </c>
      <c r="BD531" s="22">
        <f>BA531*42.99</f>
        <v/>
      </c>
    </row>
    <row r="532">
      <c r="A532" s="10" t="n">
        <v>46154</v>
      </c>
      <c r="B532" s="11" t="n">
        <v>3821529137.285151</v>
      </c>
      <c r="C532" s="11" t="n">
        <v>2473916222.643937</v>
      </c>
      <c r="D532" s="11" t="n">
        <v>98551144</v>
      </c>
      <c r="E532" s="11" t="n"/>
      <c r="F532" s="24" t="n">
        <v>1037254374.827125</v>
      </c>
      <c r="G532" s="24" t="n">
        <v>7906118.699767181</v>
      </c>
      <c r="H532" s="24" t="n">
        <v>4102741.555172913</v>
      </c>
      <c r="I532" s="24" t="n">
        <v>572156603.0856694</v>
      </c>
      <c r="J532" s="24" t="n">
        <v>1084182.679373671</v>
      </c>
      <c r="K532" s="24" t="n">
        <v>851412201.7968292</v>
      </c>
      <c r="L532" s="22">
        <f>SUM(F532:K532)</f>
        <v/>
      </c>
      <c r="M532" s="22">
        <f>Z532/(1-R532)</f>
        <v/>
      </c>
      <c r="N532" s="11" t="n">
        <v>120857.1810690005</v>
      </c>
      <c r="O532" s="11" t="n">
        <v>47865</v>
      </c>
      <c r="P532" s="11" t="n"/>
      <c r="Q532" s="22">
        <f>M532+N532+O532+P532</f>
        <v/>
      </c>
      <c r="R532" s="12" t="n">
        <v>0.01</v>
      </c>
      <c r="S532" s="22">
        <f>M532*R532</f>
        <v/>
      </c>
      <c r="T532" s="22">
        <f>N532*R532</f>
        <v/>
      </c>
      <c r="U532" s="22">
        <f>(O532-V532)*R532</f>
        <v/>
      </c>
      <c r="V532" s="11" t="n">
        <v>9911</v>
      </c>
      <c r="W532" s="11" t="n">
        <v>43024.54167400009</v>
      </c>
      <c r="X532" s="22">
        <f>S532+T532+U532+V532+W532</f>
        <v/>
      </c>
      <c r="Y532" s="11" t="n">
        <v>106620.1319</v>
      </c>
      <c r="Z532" s="22">
        <f>AE532-AB532-AA532-AC532</f>
        <v/>
      </c>
      <c r="AA532" s="22">
        <f>N532-T532-W532</f>
        <v/>
      </c>
      <c r="AB532" s="22">
        <f>O532-V532-U532</f>
        <v/>
      </c>
      <c r="AC532" s="22">
        <f>P532</f>
        <v/>
      </c>
      <c r="AD532" s="23">
        <f>Z532+AA532+AB532+AC532</f>
        <v/>
      </c>
      <c r="AE532" s="11" t="n">
        <v>1301986.49</v>
      </c>
      <c r="AF532" s="24">
        <f>AD532-AE532</f>
        <v/>
      </c>
      <c r="AG532" s="13">
        <f>IF(OR(B532="",B532=0,M532=""),"",M532/B532*10000)</f>
        <v/>
      </c>
      <c r="AH532" s="13">
        <f>IF(OR(C532="",C532=0),"",N532/C532*10000)</f>
        <v/>
      </c>
      <c r="AI532" s="13">
        <f>IF(OR(D532="",D532=0),"",O532/D532*10000)</f>
        <v/>
      </c>
      <c r="AJ532" s="11" t="n">
        <v>4902.0212589886</v>
      </c>
      <c r="AK532" s="11" t="n">
        <v>0</v>
      </c>
      <c r="AL532" s="22">
        <f>AE532+AJ532+AK532</f>
        <v/>
      </c>
      <c r="AM532" s="22">
        <f>AE532</f>
        <v/>
      </c>
      <c r="AN532" s="14" t="n">
        <v>31952.45</v>
      </c>
      <c r="AO532" s="15" t="n">
        <v>40.747626</v>
      </c>
      <c r="AP532" s="14" t="n">
        <v>44149672.24255512</v>
      </c>
      <c r="AQ532" s="14" t="n">
        <v>26614.0178</v>
      </c>
      <c r="AR532" s="14" t="n">
        <v>1471.4833</v>
      </c>
      <c r="AS532" s="14" t="n"/>
      <c r="AT532" s="16" t="n">
        <v>436.3083015368452</v>
      </c>
      <c r="AU532" s="17" t="n">
        <v>0.021319243</v>
      </c>
      <c r="AV532" s="14" t="n">
        <v>414926558.7738</v>
      </c>
      <c r="AW532" s="18" t="n">
        <v>60100000</v>
      </c>
      <c r="AX532" s="19" t="n">
        <v>44149672.24255512</v>
      </c>
      <c r="AY532" s="18" t="n">
        <v>3100000</v>
      </c>
      <c r="AZ532" s="18">
        <f>1000000000-999234226.9118</f>
        <v/>
      </c>
      <c r="BA532" s="20">
        <f>1000000000-AV532-AW532-AX532-AY532-AZ532</f>
        <v/>
      </c>
      <c r="BB532" s="21" t="n">
        <v>241.384938</v>
      </c>
      <c r="BC532" s="21">
        <f>BA532/1000000-BB532</f>
        <v/>
      </c>
      <c r="BD532" s="22">
        <f>BA532*41.81</f>
        <v/>
      </c>
    </row>
    <row r="533">
      <c r="A533" s="10" t="n">
        <v>46155</v>
      </c>
      <c r="B533" s="11" t="n">
        <v>4157028732.281473</v>
      </c>
      <c r="C533" s="11" t="n">
        <v>2379224165.781157</v>
      </c>
      <c r="D533" s="11" t="n">
        <v>111453205</v>
      </c>
      <c r="E533" s="11" t="n"/>
      <c r="F533" s="24" t="n">
        <v>1013546036.685627</v>
      </c>
      <c r="G533" s="24" t="n">
        <v>8565738.143056698</v>
      </c>
      <c r="H533" s="24" t="n">
        <v>11805048.02048599</v>
      </c>
      <c r="I533" s="24" t="n">
        <v>589905413.5017136</v>
      </c>
      <c r="J533" s="24" t="n">
        <v>528198.8613095869</v>
      </c>
      <c r="K533" s="24" t="n">
        <v>754873730.5689635</v>
      </c>
      <c r="L533" s="22">
        <f>SUM(F533:K533)</f>
        <v/>
      </c>
      <c r="M533" s="22">
        <f>Z533/(1-R533)</f>
        <v/>
      </c>
      <c r="N533" s="11" t="n">
        <v>124511.1991729927</v>
      </c>
      <c r="O533" s="11" t="n">
        <v>52693</v>
      </c>
      <c r="P533" s="11" t="n"/>
      <c r="Q533" s="22">
        <f>M533+N533+O533+P533</f>
        <v/>
      </c>
      <c r="R533" s="12" t="n">
        <v>0.01</v>
      </c>
      <c r="S533" s="22">
        <f>M533*R533</f>
        <v/>
      </c>
      <c r="T533" s="22">
        <f>N533*R533</f>
        <v/>
      </c>
      <c r="U533" s="22">
        <f>(O533-V533)*R533</f>
        <v/>
      </c>
      <c r="V533" s="11" t="n">
        <v>10671</v>
      </c>
      <c r="W533" s="11" t="n">
        <v>43920.29752400024</v>
      </c>
      <c r="X533" s="22">
        <f>S533+T533+U533+V533+W533</f>
        <v/>
      </c>
      <c r="Y533" s="11" t="n">
        <v>107660.5623</v>
      </c>
      <c r="Z533" s="22">
        <f>AE533-AB533-AA533-AC533</f>
        <v/>
      </c>
      <c r="AA533" s="22">
        <f>N533-T533-W533</f>
        <v/>
      </c>
      <c r="AB533" s="22">
        <f>O533-V533-U533</f>
        <v/>
      </c>
      <c r="AC533" s="22">
        <f>P533</f>
        <v/>
      </c>
      <c r="AD533" s="23">
        <f>Z533+AA533+AB533+AC533</f>
        <v/>
      </c>
      <c r="AE533" s="11" t="n">
        <v>1387474.39</v>
      </c>
      <c r="AF533" s="24">
        <f>AD533-AE533</f>
        <v/>
      </c>
      <c r="AG533" s="13">
        <f>IF(OR(B533="",B533=0,M533=""),"",M533/B533*10000)</f>
        <v/>
      </c>
      <c r="AH533" s="13">
        <f>IF(OR(C533="",C533=0),"",N533/C533*10000)</f>
        <v/>
      </c>
      <c r="AI533" s="13">
        <f>IF(OR(D533="",D533=0),"",O533/D533*10000)</f>
        <v/>
      </c>
      <c r="AJ533" s="11" t="n">
        <v>5587.262890373938</v>
      </c>
      <c r="AK533" s="11" t="n">
        <v>0</v>
      </c>
      <c r="AL533" s="22">
        <f>AE533+AJ533+AK533</f>
        <v/>
      </c>
      <c r="AM533" s="22">
        <f>AE533</f>
        <v/>
      </c>
      <c r="AN533" s="14" t="n">
        <v>35195.46</v>
      </c>
      <c r="AO533" s="15" t="n">
        <v>39.42197</v>
      </c>
      <c r="AP533" s="14" t="n">
        <v>44185039.26255512</v>
      </c>
      <c r="AQ533" s="14" t="n">
        <v>26616.4908</v>
      </c>
      <c r="AR533" s="14" t="n">
        <v>902.4404</v>
      </c>
      <c r="AS533" s="14" t="n"/>
      <c r="AT533" s="16" t="n">
        <v>436.2137014694062</v>
      </c>
      <c r="AU533" s="17" t="n">
        <v>0.0213215281</v>
      </c>
      <c r="AV533" s="14" t="n">
        <v>414899942.283</v>
      </c>
      <c r="AW533" s="18" t="n">
        <v>60100000</v>
      </c>
      <c r="AX533" s="19" t="n">
        <v>44185039.26255512</v>
      </c>
      <c r="AY533" s="18" t="n">
        <v>3100000</v>
      </c>
      <c r="AZ533" s="18">
        <f>1000000000-999233324.4715</f>
        <v/>
      </c>
      <c r="BA533" s="20">
        <f>1000000000-AV533-AW533-AX533-AY533-AZ533</f>
        <v/>
      </c>
      <c r="BB533" s="21" t="n">
        <v>241.384938</v>
      </c>
      <c r="BC533" s="21">
        <f>BA533/1000000-BB533</f>
        <v/>
      </c>
      <c r="BD533" s="22">
        <f>BA533*40.09</f>
        <v/>
      </c>
    </row>
    <row r="534">
      <c r="A534" s="10" t="n">
        <v>46156</v>
      </c>
      <c r="B534" s="11" t="n">
        <v>5309792320.086021</v>
      </c>
      <c r="C534" s="11" t="n">
        <v>2779947749.73472</v>
      </c>
      <c r="D534" s="11" t="n">
        <v>208016733</v>
      </c>
      <c r="E534" s="11" t="n"/>
      <c r="F534" s="24" t="n">
        <v>947865372.3287258</v>
      </c>
      <c r="G534" s="24" t="n">
        <v>8970798.022706388</v>
      </c>
      <c r="H534" s="24" t="n">
        <v>10536558.38610905</v>
      </c>
      <c r="I534" s="24" t="n">
        <v>717312006.7896979</v>
      </c>
      <c r="J534" s="24" t="n">
        <v>371044.0259162034</v>
      </c>
      <c r="K534" s="24" t="n">
        <v>1094891970.181564</v>
      </c>
      <c r="L534" s="22">
        <f>SUM(F534:K534)</f>
        <v/>
      </c>
      <c r="M534" s="22">
        <f>Z534/(1-R534)</f>
        <v/>
      </c>
      <c r="N534" s="11" t="n">
        <v>138079.3134129948</v>
      </c>
      <c r="O534" s="11" t="n">
        <v>103348</v>
      </c>
      <c r="P534" s="11" t="n"/>
      <c r="Q534" s="22">
        <f>M534+N534+O534+P534</f>
        <v/>
      </c>
      <c r="R534" s="12" t="n">
        <v>0.01</v>
      </c>
      <c r="S534" s="22">
        <f>M534*R534</f>
        <v/>
      </c>
      <c r="T534" s="22">
        <f>N534*R534</f>
        <v/>
      </c>
      <c r="U534" s="22">
        <f>(O534-V534)*R534</f>
        <v/>
      </c>
      <c r="V534" s="11" t="n">
        <v>12122</v>
      </c>
      <c r="W534" s="11" t="n">
        <v>47946.79861300137</v>
      </c>
      <c r="X534" s="22">
        <f>S534+T534+U534+V534+W534</f>
        <v/>
      </c>
      <c r="Y534" s="11" t="n">
        <v>116809.2362</v>
      </c>
      <c r="Z534" s="22">
        <f>AE534-AB534-AA534-AC534</f>
        <v/>
      </c>
      <c r="AA534" s="22">
        <f>N534-T534-W534</f>
        <v/>
      </c>
      <c r="AB534" s="22">
        <f>O534-V534-U534</f>
        <v/>
      </c>
      <c r="AC534" s="22">
        <f>P534</f>
        <v/>
      </c>
      <c r="AD534" s="23">
        <f>Z534+AA534+AB534+AC534</f>
        <v/>
      </c>
      <c r="AE534" s="11" t="n">
        <v>1748781.04</v>
      </c>
      <c r="AF534" s="24">
        <f>AD534-AE534</f>
        <v/>
      </c>
      <c r="AG534" s="13">
        <f>IF(OR(B534="",B534=0,M534=""),"",M534/B534*10000)</f>
        <v/>
      </c>
      <c r="AH534" s="13">
        <f>IF(OR(C534="",C534=0),"",N534/C534*10000)</f>
        <v/>
      </c>
      <c r="AI534" s="13">
        <f>IF(OR(D534="",D534=0),"",O534/D534*10000)</f>
        <v/>
      </c>
      <c r="AJ534" s="11" t="n">
        <v>33086.836662079</v>
      </c>
      <c r="AK534" s="11" t="n">
        <v>0</v>
      </c>
      <c r="AL534" s="22">
        <f>AE534+AJ534+AK534</f>
        <v/>
      </c>
      <c r="AM534" s="22">
        <f>AE534</f>
        <v/>
      </c>
      <c r="AN534" s="14" t="n">
        <v>41200.4</v>
      </c>
      <c r="AO534" s="15" t="n">
        <v>42.44573</v>
      </c>
      <c r="AP534" s="14" t="n">
        <v>44226023.88255512</v>
      </c>
      <c r="AQ534" s="14" t="n">
        <v>26607.3908</v>
      </c>
      <c r="AR534" s="14" t="n">
        <v>1385.9429</v>
      </c>
      <c r="AS534" s="14" t="n"/>
      <c r="AT534" s="16" t="n">
        <v>423.8801692254345</v>
      </c>
      <c r="AU534" s="17" t="n">
        <v>0.021625909</v>
      </c>
      <c r="AV534" s="14" t="n">
        <v>414873334.8922</v>
      </c>
      <c r="AW534" s="18" t="n">
        <v>60100000</v>
      </c>
      <c r="AX534" s="19" t="n">
        <v>44226023.88255512</v>
      </c>
      <c r="AY534" s="18" t="n">
        <v>3100000</v>
      </c>
      <c r="AZ534" s="18">
        <f>1000000000-999231938.5286</f>
        <v/>
      </c>
      <c r="BA534" s="20">
        <f>1000000000-AV534-AW534-AX534-AY534-AZ534</f>
        <v/>
      </c>
      <c r="BB534" s="21" t="n">
        <v>241.384938</v>
      </c>
      <c r="BC534" s="21">
        <f>BA534/1000000-BB534</f>
        <v/>
      </c>
      <c r="BD534" s="22">
        <f>BA534*38.79</f>
        <v/>
      </c>
    </row>
    <row r="535">
      <c r="A535" s="10" t="n">
        <v>46157</v>
      </c>
      <c r="B535" s="11" t="n">
        <v>5169202235.780468</v>
      </c>
      <c r="C535" s="11" t="n">
        <v>2943036195.335629</v>
      </c>
      <c r="D535" s="11" t="n">
        <v>192791720</v>
      </c>
      <c r="E535" s="11" t="n"/>
      <c r="F535" s="24" t="n">
        <v>927620334.0941801</v>
      </c>
      <c r="G535" s="24" t="n">
        <v>15640814.02117698</v>
      </c>
      <c r="H535" s="24" t="n">
        <v>10518806.72147422</v>
      </c>
      <c r="I535" s="24" t="n">
        <v>1012926555.68094</v>
      </c>
      <c r="J535" s="24" t="n">
        <v>542139.0290155713</v>
      </c>
      <c r="K535" s="24" t="n">
        <v>975787545.7888429</v>
      </c>
      <c r="L535" s="22">
        <f>SUM(F535:K535)</f>
        <v/>
      </c>
      <c r="M535" s="22">
        <f>Z535/(1-R535)</f>
        <v/>
      </c>
      <c r="N535" s="11" t="n">
        <v>142714.4015509999</v>
      </c>
      <c r="O535" s="11" t="n">
        <v>94867</v>
      </c>
      <c r="P535" s="11" t="n"/>
      <c r="Q535" s="22">
        <f>M535+N535+O535+P535</f>
        <v/>
      </c>
      <c r="R535" s="12" t="n">
        <v>0.01</v>
      </c>
      <c r="S535" s="22">
        <f>M535*R535</f>
        <v/>
      </c>
      <c r="T535" s="22">
        <f>N535*R535</f>
        <v/>
      </c>
      <c r="U535" s="22">
        <f>(O535-V535)*R535</f>
        <v/>
      </c>
      <c r="V535" s="11" t="n">
        <v>9875</v>
      </c>
      <c r="W535" s="11" t="n">
        <v>51663.95756400001</v>
      </c>
      <c r="X535" s="22">
        <f>S535+T535+U535+V535+W535</f>
        <v/>
      </c>
      <c r="Y535" s="11" t="n">
        <v>118435.4373</v>
      </c>
      <c r="Z535" s="22">
        <f>AE535-AB535-AA535-AC535</f>
        <v/>
      </c>
      <c r="AA535" s="22">
        <f>N535-T535-W535</f>
        <v/>
      </c>
      <c r="AB535" s="22">
        <f>O535-V535-U535</f>
        <v/>
      </c>
      <c r="AC535" s="22">
        <f>P535</f>
        <v/>
      </c>
      <c r="AD535" s="23">
        <f>Z535+AA535+AB535+AC535</f>
        <v/>
      </c>
      <c r="AE535" s="11" t="n">
        <v>1737412.39</v>
      </c>
      <c r="AF535" s="24">
        <f>AD535-AE535</f>
        <v/>
      </c>
      <c r="AG535" s="13">
        <f>IF(OR(B535="",B535=0,M535=""),"",M535/B535*10000)</f>
        <v/>
      </c>
      <c r="AH535" s="13">
        <f>IF(OR(C535="",C535=0),"",N535/C535*10000)</f>
        <v/>
      </c>
      <c r="AI535" s="13">
        <f>IF(OR(D535="",D535=0),"",O535/D535*10000)</f>
        <v/>
      </c>
      <c r="AJ535" s="11" t="n">
        <v>56910.89217132915</v>
      </c>
      <c r="AK535" s="11" t="n">
        <v>0</v>
      </c>
      <c r="AL535" s="22">
        <f>AE535+AJ535+AK535</f>
        <v/>
      </c>
      <c r="AM535" s="22">
        <f>AE535</f>
        <v/>
      </c>
      <c r="AN535" s="14" t="n">
        <v>38942.45</v>
      </c>
      <c r="AO535" s="15" t="n">
        <v>44.614871</v>
      </c>
      <c r="AP535" s="14" t="n">
        <v>44264838.12255512</v>
      </c>
      <c r="AQ535" s="14" t="n">
        <v>25631.4399</v>
      </c>
      <c r="AR535" s="14" t="n">
        <v>1654.86</v>
      </c>
      <c r="AS535" s="14" t="n"/>
      <c r="AT535" s="16" t="n">
        <v>435.3641576276527</v>
      </c>
      <c r="AU535" s="17" t="n">
        <v>0.0213420817</v>
      </c>
      <c r="AV535" s="14" t="n">
        <v>414847703.4523</v>
      </c>
      <c r="AW535" s="18" t="n">
        <v>60100000</v>
      </c>
      <c r="AX535" s="19" t="n">
        <v>44264838.12255512</v>
      </c>
      <c r="AY535" s="18" t="n">
        <v>3100000</v>
      </c>
      <c r="AZ535" s="18">
        <f>1000000000-999230283.6686</f>
        <v/>
      </c>
      <c r="BA535" s="20">
        <f>1000000000-AV535-AW535-AX535-AY535-AZ535</f>
        <v/>
      </c>
      <c r="BB535" s="21" t="n">
        <v>241.384938</v>
      </c>
      <c r="BC535" s="21">
        <f>BA535/1000000-BB535</f>
        <v/>
      </c>
      <c r="BD535" s="22">
        <f>BA535*44.84</f>
        <v/>
      </c>
    </row>
    <row r="536">
      <c r="A536" s="10" t="n">
        <v>46158</v>
      </c>
      <c r="B536" s="11" t="n">
        <v>3145793905.76863</v>
      </c>
      <c r="C536" s="11" t="n">
        <v>303261829.2421851</v>
      </c>
      <c r="D536" s="11" t="n">
        <v>127315216</v>
      </c>
      <c r="E536" s="11" t="n"/>
      <c r="F536" s="24" t="n">
        <v>146623879.6777344</v>
      </c>
      <c r="G536" s="24" t="n">
        <v>7892329.801825848</v>
      </c>
      <c r="H536" s="24" t="n">
        <v>861968.2556400751</v>
      </c>
      <c r="I536" s="24" t="n">
        <v>72888326.36131778</v>
      </c>
      <c r="J536" s="24" t="n">
        <v>522798.9875562239</v>
      </c>
      <c r="K536" s="24" t="n">
        <v>74472526.15811083</v>
      </c>
      <c r="L536" s="22">
        <f>SUM(F536:K536)</f>
        <v/>
      </c>
      <c r="M536" s="22">
        <f>Z536/(1-R536)</f>
        <v/>
      </c>
      <c r="N536" s="11" t="n">
        <v>31982.94537300004</v>
      </c>
      <c r="O536" s="11" t="n">
        <v>60919</v>
      </c>
      <c r="P536" s="11" t="n"/>
      <c r="Q536" s="22">
        <f>M536+N536+O536+P536</f>
        <v/>
      </c>
      <c r="R536" s="12" t="n">
        <v>0.01</v>
      </c>
      <c r="S536" s="22">
        <f>M536*R536</f>
        <v/>
      </c>
      <c r="T536" s="22">
        <f>N536*R536</f>
        <v/>
      </c>
      <c r="U536" s="22">
        <f>(O536-V536)*R536</f>
        <v/>
      </c>
      <c r="V536" s="11" t="n">
        <v>5742</v>
      </c>
      <c r="W536" s="11" t="n">
        <v>9785.053551000021</v>
      </c>
      <c r="X536" s="22">
        <f>S536+T536+U536+V536+W536</f>
        <v/>
      </c>
      <c r="Y536" s="11" t="n">
        <v>65331.47489999999</v>
      </c>
      <c r="Z536" s="22">
        <f>AE536-AB536-AA536-AC536</f>
        <v/>
      </c>
      <c r="AA536" s="22">
        <f>N536-T536-W536</f>
        <v/>
      </c>
      <c r="AB536" s="22">
        <f>O536-V536-U536</f>
        <v/>
      </c>
      <c r="AC536" s="22">
        <f>P536</f>
        <v/>
      </c>
      <c r="AD536" s="23">
        <f>Z536+AA536+AB536+AC536</f>
        <v/>
      </c>
      <c r="AE536" s="11" t="n">
        <v>985592.61</v>
      </c>
      <c r="AF536" s="24">
        <f>AD536-AE536</f>
        <v/>
      </c>
      <c r="AG536" s="13">
        <f>IF(OR(B536="",B536=0,M536=""),"",M536/B536*10000)</f>
        <v/>
      </c>
      <c r="AH536" s="13">
        <f>IF(OR(C536="",C536=0),"",N536/C536*10000)</f>
        <v/>
      </c>
      <c r="AI536" s="13">
        <f>IF(OR(D536="",D536=0),"",O536/D536*10000)</f>
        <v/>
      </c>
      <c r="AJ536" s="11" t="n">
        <v>24980.30799394738</v>
      </c>
      <c r="AK536" s="11" t="n">
        <v>0</v>
      </c>
      <c r="AL536" s="22">
        <f>AE536+AJ536+AK536</f>
        <v/>
      </c>
      <c r="AM536" s="22">
        <f>AE536</f>
        <v/>
      </c>
      <c r="AN536" s="14" t="n">
        <v>23679.72</v>
      </c>
      <c r="AO536" s="15" t="n">
        <v>41.621802</v>
      </c>
      <c r="AP536" s="14" t="n">
        <v>44288634.98255512</v>
      </c>
      <c r="AQ536" s="14" t="n">
        <v>25664.8527</v>
      </c>
      <c r="AR536" s="14" t="n">
        <v>1916.8977</v>
      </c>
      <c r="AS536" s="14" t="n"/>
      <c r="AT536" s="16" t="n">
        <v>435.3349011579771</v>
      </c>
      <c r="AU536" s="17" t="n">
        <v>0.0213427906</v>
      </c>
      <c r="AV536" s="14" t="n">
        <v>414822038.5996</v>
      </c>
      <c r="AW536" s="18" t="n">
        <v>60100000</v>
      </c>
      <c r="AX536" s="19" t="n">
        <v>44288634.98255512</v>
      </c>
      <c r="AY536" s="18" t="n">
        <v>3100000</v>
      </c>
      <c r="AZ536" s="18">
        <f>1000000000-999228366.7708</f>
        <v/>
      </c>
      <c r="BA536" s="20">
        <f>1000000000-AV536-AW536-AX536-AY536-AZ536</f>
        <v/>
      </c>
      <c r="BB536" s="21" t="n">
        <v>241.384938</v>
      </c>
      <c r="BC536" s="21">
        <f>BA536/1000000-BB536</f>
        <v/>
      </c>
      <c r="BD536" s="22">
        <f>BA536*44.23</f>
        <v/>
      </c>
    </row>
    <row r="537">
      <c r="A537" s="10" t="n">
        <v>46159</v>
      </c>
      <c r="B537" s="11" t="n">
        <v>3502079692.219225</v>
      </c>
      <c r="C537" s="11" t="n">
        <v>481797306.5166375</v>
      </c>
      <c r="D537" s="11" t="n">
        <v>150653145</v>
      </c>
      <c r="E537" s="11" t="n"/>
      <c r="F537" s="24" t="n">
        <v>212214533.9845525</v>
      </c>
      <c r="G537" s="24" t="n">
        <v>13256593.94174097</v>
      </c>
      <c r="H537" s="24" t="n">
        <v>1115889.411409623</v>
      </c>
      <c r="I537" s="24" t="n">
        <v>149895447.1916544</v>
      </c>
      <c r="J537" s="24" t="n">
        <v>5332700.448217568</v>
      </c>
      <c r="K537" s="24" t="n">
        <v>99982141.53906237</v>
      </c>
      <c r="L537" s="22">
        <f>SUM(F537:K537)</f>
        <v/>
      </c>
      <c r="M537" s="22">
        <f>Z537/(1-R537)</f>
        <v/>
      </c>
      <c r="N537" s="11" t="n">
        <v>34158.98908300007</v>
      </c>
      <c r="O537" s="11" t="n">
        <v>74652</v>
      </c>
      <c r="P537" s="11" t="n"/>
      <c r="Q537" s="22">
        <f>M537+N537+O537+P537</f>
        <v/>
      </c>
      <c r="R537" s="12" t="n">
        <v>0.01</v>
      </c>
      <c r="S537" s="22">
        <f>M537*R537</f>
        <v/>
      </c>
      <c r="T537" s="22">
        <f>N537*R537</f>
        <v/>
      </c>
      <c r="U537" s="22">
        <f>(O537-V537)*R537</f>
        <v/>
      </c>
      <c r="V537" s="11" t="n">
        <v>7878</v>
      </c>
      <c r="W537" s="11" t="n">
        <v>10075.08024600004</v>
      </c>
      <c r="X537" s="22">
        <f>S537+T537+U537+V537+W537</f>
        <v/>
      </c>
      <c r="Y537" s="11" t="n">
        <v>69173.9161</v>
      </c>
      <c r="Z537" s="22">
        <f>AE537-AB537-AA537-AC537</f>
        <v/>
      </c>
      <c r="AA537" s="22">
        <f>N537-T537-W537</f>
        <v/>
      </c>
      <c r="AB537" s="22">
        <f>O537-V537-U537</f>
        <v/>
      </c>
      <c r="AC537" s="22">
        <f>P537</f>
        <v/>
      </c>
      <c r="AD537" s="23">
        <f>Z537+AA537+AB537+AC537</f>
        <v/>
      </c>
      <c r="AE537" s="11" t="n">
        <v>1092883.03</v>
      </c>
      <c r="AF537" s="24">
        <f>AD537-AE537</f>
        <v/>
      </c>
      <c r="AG537" s="13">
        <f>IF(OR(B537="",B537=0,M537=""),"",M537/B537*10000)</f>
        <v/>
      </c>
      <c r="AH537" s="13">
        <f>IF(OR(C537="",C537=0),"",N537/C537*10000)</f>
        <v/>
      </c>
      <c r="AI537" s="13">
        <f>IF(OR(D537="",D537=0),"",O537/D537*10000)</f>
        <v/>
      </c>
      <c r="AJ537" s="11" t="n">
        <v>48359.77412216016</v>
      </c>
      <c r="AK537" s="11" t="n">
        <v>0</v>
      </c>
      <c r="AL537" s="22">
        <f>AE537+AJ537+AK537</f>
        <v/>
      </c>
      <c r="AM537" s="22">
        <f>AE537</f>
        <v/>
      </c>
      <c r="AN537" s="14" t="n">
        <v>24689.87</v>
      </c>
      <c r="AO537" s="15" t="n">
        <v>44.26443</v>
      </c>
      <c r="AP537" s="14" t="n">
        <v>44313760.83255512</v>
      </c>
      <c r="AQ537" s="14" t="n">
        <v>26298.559</v>
      </c>
      <c r="AR537" s="14" t="n">
        <v>1340.9038</v>
      </c>
      <c r="AS537" s="14" t="n"/>
      <c r="AT537" s="16" t="n">
        <v>434.2063205694235</v>
      </c>
      <c r="AU537" s="17" t="n">
        <v>0.0213701903</v>
      </c>
      <c r="AV537" s="14" t="n">
        <v>414795740.0406</v>
      </c>
      <c r="AW537" s="18" t="n">
        <v>60100000</v>
      </c>
      <c r="AX537" s="19" t="n">
        <v>44313760.83255512</v>
      </c>
      <c r="AY537" s="18" t="n">
        <v>3100000</v>
      </c>
      <c r="AZ537" s="18">
        <f>1000000000-999227025.867</f>
        <v/>
      </c>
      <c r="BA537" s="20">
        <f>1000000000-AV537-AW537-AX537-AY537-AZ537</f>
        <v/>
      </c>
      <c r="BB537" s="21" t="n">
        <v>241.384938</v>
      </c>
      <c r="BC537" s="21">
        <f>BA537/1000000-BB537</f>
        <v/>
      </c>
      <c r="BD537" s="22">
        <f>BA537*41.96</f>
        <v/>
      </c>
    </row>
    <row r="538">
      <c r="A538" s="10" t="n">
        <v>46160</v>
      </c>
      <c r="B538" s="11" t="n">
        <v>5333487909.491409</v>
      </c>
      <c r="C538" s="11" t="n">
        <v>3474360784.332493</v>
      </c>
      <c r="D538" s="11" t="n">
        <v>175295578</v>
      </c>
      <c r="E538" s="11" t="n"/>
      <c r="F538" s="24" t="n">
        <v>1319911151.67809</v>
      </c>
      <c r="G538" s="24" t="n">
        <v>24330377.66372675</v>
      </c>
      <c r="H538" s="24" t="n">
        <v>3769258.453703712</v>
      </c>
      <c r="I538" s="24" t="n">
        <v>1125875872.74675</v>
      </c>
      <c r="J538" s="24" t="n">
        <v>57571021.18487997</v>
      </c>
      <c r="K538" s="24" t="n">
        <v>942903102.6053417</v>
      </c>
      <c r="L538" s="22">
        <f>SUM(F538:K538)</f>
        <v/>
      </c>
      <c r="M538" s="22">
        <f>Z538/(1-R538)</f>
        <v/>
      </c>
      <c r="N538" s="11" t="n">
        <v>150603.031539</v>
      </c>
      <c r="O538" s="11" t="n">
        <v>81857</v>
      </c>
      <c r="P538" s="11" t="n"/>
      <c r="Q538" s="22">
        <f>M538+N538+O538+P538</f>
        <v/>
      </c>
      <c r="R538" s="12" t="n">
        <v>0.01</v>
      </c>
      <c r="S538" s="22">
        <f>M538*R538</f>
        <v/>
      </c>
      <c r="T538" s="22">
        <f>N538*R538</f>
        <v/>
      </c>
      <c r="U538" s="22">
        <f>(O538-V538)*R538</f>
        <v/>
      </c>
      <c r="V538" s="11" t="n">
        <v>10494</v>
      </c>
      <c r="W538" s="11" t="n">
        <v>54984.05235000003</v>
      </c>
      <c r="X538" s="22">
        <f>S538+T538+U538+V538+W538</f>
        <v/>
      </c>
      <c r="Y538" s="11" t="n">
        <v>127281.2522</v>
      </c>
      <c r="Z538" s="22">
        <f>AE538-AB538-AA538-AC538</f>
        <v/>
      </c>
      <c r="AA538" s="22">
        <f>N538-T538-W538</f>
        <v/>
      </c>
      <c r="AB538" s="22">
        <f>O538-V538-U538</f>
        <v/>
      </c>
      <c r="AC538" s="22">
        <f>P538</f>
        <v/>
      </c>
      <c r="AD538" s="23">
        <f>Z538+AA538+AB538+AC538</f>
        <v/>
      </c>
      <c r="AE538" s="11" t="n">
        <v>1728259.86</v>
      </c>
      <c r="AF538" s="24">
        <f>AD538-AE538</f>
        <v/>
      </c>
      <c r="AG538" s="13">
        <f>IF(OR(B538="",B538=0,M538=""),"",M538/B538*10000)</f>
        <v/>
      </c>
      <c r="AH538" s="13">
        <f>IF(OR(C538="",C538=0),"",N538/C538*10000)</f>
        <v/>
      </c>
      <c r="AI538" s="13">
        <f>IF(OR(D538="",D538=0),"",O538/D538*10000)</f>
        <v/>
      </c>
      <c r="AJ538" s="11" t="n">
        <v>44307.31325108196</v>
      </c>
      <c r="AK538" s="11" t="n">
        <v>22656.8</v>
      </c>
      <c r="AL538" s="22">
        <f>AE538+AJ538+AK538</f>
        <v/>
      </c>
      <c r="AM538" s="22">
        <f>AE538</f>
        <v/>
      </c>
      <c r="AN538" s="14" t="n">
        <v>37853.12</v>
      </c>
      <c r="AO538" s="15" t="n">
        <v>45.656999</v>
      </c>
      <c r="AP538" s="14" t="n">
        <v>44350736.80255512</v>
      </c>
      <c r="AQ538" s="14" t="n">
        <v>26279.7806</v>
      </c>
      <c r="AR538" s="14" t="n">
        <v>1626.2893</v>
      </c>
      <c r="AS538" s="14" t="n"/>
      <c r="AT538" s="16" t="n">
        <v>434.1673706849389</v>
      </c>
      <c r="AU538" s="17" t="n">
        <v>0.0213711378</v>
      </c>
      <c r="AV538" s="14" t="n">
        <v>414769460.26</v>
      </c>
      <c r="AW538" s="18" t="n">
        <v>60100000</v>
      </c>
      <c r="AX538" s="19" t="n">
        <v>44350736.80255512</v>
      </c>
      <c r="AY538" s="18" t="n">
        <v>3100000</v>
      </c>
      <c r="AZ538" s="18">
        <f>1000000000-999225399.5777</f>
        <v/>
      </c>
      <c r="BA538" s="20">
        <f>1000000000-AV538-AW538-AX538-AY538-AZ538</f>
        <v/>
      </c>
      <c r="BB538" s="21" t="n">
        <v>241.384938</v>
      </c>
      <c r="BC538" s="21">
        <f>BA538/1000000-BB538</f>
        <v/>
      </c>
      <c r="BD538" s="22">
        <f>BA538*46.06</f>
        <v/>
      </c>
    </row>
    <row r="539">
      <c r="A539" s="10" t="n">
        <v>46161</v>
      </c>
      <c r="B539" s="11" t="n">
        <v>3286670689.060482</v>
      </c>
      <c r="C539" s="11" t="n">
        <v>2810077103.655706</v>
      </c>
      <c r="D539" s="11" t="n">
        <v>146149107</v>
      </c>
      <c r="E539" s="11" t="n"/>
      <c r="F539" s="24" t="n">
        <v>1011478965.89209</v>
      </c>
      <c r="G539" s="24" t="n">
        <v>12637417.73079631</v>
      </c>
      <c r="H539" s="24" t="n">
        <v>5581594.320230666</v>
      </c>
      <c r="I539" s="24" t="n">
        <v>804669346.4759552</v>
      </c>
      <c r="J539" s="24" t="n">
        <v>7596919.795807711</v>
      </c>
      <c r="K539" s="24" t="n">
        <v>968112859.4408264</v>
      </c>
      <c r="L539" s="22">
        <f>SUM(F539:K539)</f>
        <v/>
      </c>
      <c r="M539" s="22">
        <f>Z539/(1-R539)</f>
        <v/>
      </c>
      <c r="N539" s="11" t="n">
        <v>181906.9960629998</v>
      </c>
      <c r="O539" s="11" t="n">
        <v>71739</v>
      </c>
      <c r="P539" s="11" t="n"/>
      <c r="Q539" s="22">
        <f>M539+N539+O539+P539</f>
        <v/>
      </c>
      <c r="R539" s="12" t="n">
        <v>0.01</v>
      </c>
      <c r="S539" s="22">
        <f>M539*R539</f>
        <v/>
      </c>
      <c r="T539" s="22">
        <f>N539*R539</f>
        <v/>
      </c>
      <c r="U539" s="22">
        <f>(O539-V539)*R539</f>
        <v/>
      </c>
      <c r="V539" s="11" t="n">
        <v>6623</v>
      </c>
      <c r="W539" s="11" t="n">
        <v>76156.73532399999</v>
      </c>
      <c r="X539" s="22">
        <f>S539+T539+U539+V539+W539</f>
        <v/>
      </c>
      <c r="Y539" s="11" t="n">
        <v>69239.99979999999</v>
      </c>
      <c r="Z539" s="22">
        <f>AE539-AB539-AA539-AC539</f>
        <v/>
      </c>
      <c r="AA539" s="22">
        <f>N539-T539-W539</f>
        <v/>
      </c>
      <c r="AB539" s="22">
        <f>O539-V539-U539</f>
        <v/>
      </c>
      <c r="AC539" s="22">
        <f>P539</f>
        <v/>
      </c>
      <c r="AD539" s="23">
        <f>Z539+AA539+AB539+AC539</f>
        <v/>
      </c>
      <c r="AE539" s="11" t="n">
        <v>1177698.13</v>
      </c>
      <c r="AF539" s="24">
        <f>AD539-AE539</f>
        <v/>
      </c>
      <c r="AG539" s="13">
        <f>IF(OR(B539="",B539=0,M539=""),"",M539/B539*10000)</f>
        <v/>
      </c>
      <c r="AH539" s="13">
        <f>IF(OR(C539="",C539=0),"",N539/C539*10000)</f>
        <v/>
      </c>
      <c r="AI539" s="13">
        <f>IF(OR(D539="",D539=0),"",O539/D539*10000)</f>
        <v/>
      </c>
      <c r="AJ539" s="11" t="n">
        <v>26167.70206471928</v>
      </c>
      <c r="AK539" s="11" t="n">
        <v>27897.72</v>
      </c>
      <c r="AL539" s="22">
        <f>AE539+AJ539+AK539</f>
        <v/>
      </c>
      <c r="AM539" s="22">
        <f>AE539</f>
        <v/>
      </c>
      <c r="AN539" s="14" t="n">
        <v>24597.4</v>
      </c>
      <c r="AO539" s="15" t="n">
        <v>47.878968</v>
      </c>
      <c r="AP539" s="14" t="n">
        <v>44376098.84255512</v>
      </c>
      <c r="AQ539" s="14" t="n">
        <v>26262.5039</v>
      </c>
      <c r="AR539" s="14" t="n">
        <v>2206.8993</v>
      </c>
      <c r="AS539" s="14" t="n"/>
      <c r="AT539" s="16" t="n">
        <v>434.7651551631073</v>
      </c>
      <c r="AU539" s="17" t="n">
        <v>0.0213566097</v>
      </c>
      <c r="AV539" s="14" t="n">
        <v>414743197.7561</v>
      </c>
      <c r="AW539" s="18" t="n">
        <v>60100000</v>
      </c>
      <c r="AX539" s="19" t="n">
        <v>44376098.84255512</v>
      </c>
      <c r="AY539" s="18" t="n">
        <v>3100000</v>
      </c>
      <c r="AZ539" s="18">
        <f>1000000000-999223192.6783</f>
        <v/>
      </c>
      <c r="BA539" s="20">
        <f>1000000000-AV539-AW539-AX539-AY539-AZ539</f>
        <v/>
      </c>
      <c r="BB539" s="21" t="n">
        <v>241.384938</v>
      </c>
      <c r="BC539" s="21">
        <f>BA539/1000000-BB539</f>
        <v/>
      </c>
      <c r="BD539" s="22">
        <f>BA539*48.31</f>
        <v/>
      </c>
    </row>
    <row r="540">
      <c r="A540" s="10" t="n">
        <v>46162</v>
      </c>
      <c r="B540" s="11" t="n">
        <v>4268032634.479941</v>
      </c>
      <c r="C540" s="11" t="n">
        <v>3067651373.308667</v>
      </c>
      <c r="D540" s="11" t="n">
        <v>200435900</v>
      </c>
      <c r="E540" s="11" t="n"/>
      <c r="F540" s="24" t="n">
        <v>1256189525.00016</v>
      </c>
      <c r="G540" s="24" t="n">
        <v>10723611.41383715</v>
      </c>
      <c r="H540" s="24" t="n">
        <v>4206704.985792008</v>
      </c>
      <c r="I540" s="24" t="n">
        <v>828471496.4081384</v>
      </c>
      <c r="J540" s="24" t="n">
        <v>11860356.16928295</v>
      </c>
      <c r="K540" s="24" t="n">
        <v>956199679.3314563</v>
      </c>
      <c r="L540" s="22">
        <f>SUM(F540:K540)</f>
        <v/>
      </c>
      <c r="M540" s="22">
        <f>Z540/(1-R540)</f>
        <v/>
      </c>
      <c r="N540" s="11" t="n">
        <v>134975.534148</v>
      </c>
      <c r="O540" s="11" t="n">
        <v>101035</v>
      </c>
      <c r="P540" s="11" t="n"/>
      <c r="Q540" s="22">
        <f>M540+N540+O540+P540</f>
        <v/>
      </c>
      <c r="R540" s="12" t="n">
        <v>0.01</v>
      </c>
      <c r="S540" s="22">
        <f>M540*R540</f>
        <v/>
      </c>
      <c r="T540" s="22">
        <f>N540*R540</f>
        <v/>
      </c>
      <c r="U540" s="22">
        <f>(O540-V540)*R540</f>
        <v/>
      </c>
      <c r="V540" s="11" t="n">
        <v>10192</v>
      </c>
      <c r="W540" s="11" t="n">
        <v>49962.13637100004</v>
      </c>
      <c r="X540" s="22">
        <f>S540+T540+U540+V540+W540</f>
        <v/>
      </c>
      <c r="Y540" s="11" t="n">
        <v>76500.33830000002</v>
      </c>
      <c r="Z540" s="22">
        <f>AE540-AB540-AA540-AC540</f>
        <v/>
      </c>
      <c r="AA540" s="22">
        <f>N540-T540-W540</f>
        <v/>
      </c>
      <c r="AB540" s="22">
        <f>O540-V540-U540</f>
        <v/>
      </c>
      <c r="AC540" s="22">
        <f>P540</f>
        <v/>
      </c>
      <c r="AD540" s="23">
        <f>Z540+AA540+AB540+AC540</f>
        <v/>
      </c>
      <c r="AE540" s="11" t="n">
        <v>1430631.52</v>
      </c>
      <c r="AF540" s="24">
        <f>AD540-AE540</f>
        <v/>
      </c>
      <c r="AG540" s="13">
        <f>IF(OR(B540="",B540=0,M540=""),"",M540/B540*10000)</f>
        <v/>
      </c>
      <c r="AH540" s="13">
        <f>IF(OR(C540="",C540=0),"",N540/C540*10000)</f>
        <v/>
      </c>
      <c r="AI540" s="13">
        <f>IF(OR(D540="",D540=0),"",O540/D540*10000)</f>
        <v/>
      </c>
      <c r="AJ540" s="11" t="n">
        <v>25850.59732692331</v>
      </c>
      <c r="AK540" s="11" t="n">
        <v>0</v>
      </c>
      <c r="AL540" s="22">
        <f>AE540+AJ540+AK540</f>
        <v/>
      </c>
      <c r="AM540" s="22">
        <f>AE540</f>
        <v/>
      </c>
      <c r="AN540" s="14" t="n">
        <v>28292.52</v>
      </c>
      <c r="AO540" s="15" t="n">
        <v>50.565716</v>
      </c>
      <c r="AP540" s="14" t="n">
        <v>44403626.72255512</v>
      </c>
      <c r="AQ540" s="14" t="n">
        <v>26231.8736</v>
      </c>
      <c r="AR540" s="14" t="n">
        <v>2166.9293</v>
      </c>
      <c r="AS540" s="14" t="n"/>
      <c r="AT540" s="16" t="n">
        <v>435.5444240530071</v>
      </c>
      <c r="AU540" s="17" t="n">
        <v>0.0213377154</v>
      </c>
      <c r="AV540" s="14" t="n">
        <v>414716965.8825</v>
      </c>
      <c r="AW540" s="18" t="n">
        <v>60100000</v>
      </c>
      <c r="AX540" s="19" t="n">
        <v>44403626.72255512</v>
      </c>
      <c r="AY540" s="18" t="n">
        <v>3100000</v>
      </c>
      <c r="AZ540" s="18">
        <f>1000000000-999221025.749</f>
        <v/>
      </c>
      <c r="BA540" s="20">
        <f>1000000000-AV540-AW540-AX540-AY540-AZ540</f>
        <v/>
      </c>
      <c r="BB540" s="21" t="n">
        <v>241.384938</v>
      </c>
      <c r="BC540" s="21">
        <f>BA540/1000000-BB540</f>
        <v/>
      </c>
      <c r="BD540" s="22">
        <f>BA540*47.56</f>
        <v/>
      </c>
    </row>
    <row r="541">
      <c r="A541" s="10" t="n">
        <v>46163</v>
      </c>
      <c r="B541" s="11" t="n">
        <v>6133583115.725926</v>
      </c>
      <c r="C541" s="11" t="n">
        <v>3179044705.470038</v>
      </c>
      <c r="D541" s="11" t="n">
        <v>336861088</v>
      </c>
      <c r="E541" s="11" t="n"/>
      <c r="F541" s="24" t="n">
        <v>1626754752.192431</v>
      </c>
      <c r="G541" s="24" t="n">
        <v>15280593.05236806</v>
      </c>
      <c r="H541" s="24" t="n">
        <v>4219126.702279188</v>
      </c>
      <c r="I541" s="24" t="n">
        <v>651434630.3713329</v>
      </c>
      <c r="J541" s="24" t="n">
        <v>37534749.66260797</v>
      </c>
      <c r="K541" s="24" t="n">
        <v>843820853.4890193</v>
      </c>
      <c r="L541" s="22">
        <f>SUM(F541:K541)</f>
        <v/>
      </c>
      <c r="M541" s="22">
        <f>Z541/(1-R541)</f>
        <v/>
      </c>
      <c r="N541" s="11" t="n">
        <v>146713.4919600002</v>
      </c>
      <c r="O541" s="11" t="n">
        <v>172378</v>
      </c>
      <c r="P541" s="11" t="n"/>
      <c r="Q541" s="22">
        <f>M541+N541+O541+P541</f>
        <v/>
      </c>
      <c r="R541" s="12" t="n">
        <v>0.01</v>
      </c>
      <c r="S541" s="22">
        <f>M541*R541</f>
        <v/>
      </c>
      <c r="T541" s="22">
        <f>N541*R541</f>
        <v/>
      </c>
      <c r="U541" s="22">
        <f>(O541-V541)*R541</f>
        <v/>
      </c>
      <c r="V541" s="11" t="n">
        <v>11072</v>
      </c>
      <c r="W541" s="11" t="n">
        <v>51660.12168000005</v>
      </c>
      <c r="X541" s="22">
        <f>S541+T541+U541+V541+W541</f>
        <v/>
      </c>
      <c r="Y541" s="11" t="n">
        <v>104776.4145</v>
      </c>
      <c r="Z541" s="22">
        <f>AE541-AB541-AA541-AC541</f>
        <v/>
      </c>
      <c r="AA541" s="22">
        <f>N541-T541-W541</f>
        <v/>
      </c>
      <c r="AB541" s="22">
        <f>O541-V541-U541</f>
        <v/>
      </c>
      <c r="AC541" s="22">
        <f>P541</f>
        <v/>
      </c>
      <c r="AD541" s="23">
        <f>Z541+AA541+AB541+AC541</f>
        <v/>
      </c>
      <c r="AE541" s="11" t="n">
        <v>2138784.46</v>
      </c>
      <c r="AF541" s="24">
        <f>AD541-AE541</f>
        <v/>
      </c>
      <c r="AG541" s="13">
        <f>IF(OR(B541="",B541=0,M541=""),"",M541/B541*10000)</f>
        <v/>
      </c>
      <c r="AH541" s="13">
        <f>IF(OR(C541="",C541=0),"",N541/C541*10000)</f>
        <v/>
      </c>
      <c r="AI541" s="13">
        <f>IF(OR(D541="",D541=0),"",O541/D541*10000)</f>
        <v/>
      </c>
      <c r="AJ541" s="11" t="n">
        <v>58557.58830686201</v>
      </c>
      <c r="AK541" s="11" t="n">
        <v>27377.68</v>
      </c>
      <c r="AL541" s="22">
        <f>AE541+AJ541+AK541</f>
        <v/>
      </c>
      <c r="AM541" s="22">
        <f>AE541</f>
        <v/>
      </c>
      <c r="AN541" s="14" t="n">
        <v>36645.8</v>
      </c>
      <c r="AO541" s="15" t="n">
        <v>58.3637</v>
      </c>
      <c r="AP541" s="14" t="n">
        <v>44440896.13255512</v>
      </c>
      <c r="AQ541" s="14" t="n">
        <v>26314.3349</v>
      </c>
      <c r="AR541" s="14" t="n">
        <v>1494.9204</v>
      </c>
      <c r="AS541" s="14" t="n"/>
      <c r="AT541" s="16" t="n">
        <v>434.7588096193214</v>
      </c>
      <c r="AU541" s="17" t="n">
        <v>0.021388451</v>
      </c>
      <c r="AV541" s="14" t="n">
        <v>414690651.5475</v>
      </c>
      <c r="AW541" s="18" t="n">
        <v>60100000</v>
      </c>
      <c r="AX541" s="19" t="n">
        <v>44440896.13255512</v>
      </c>
      <c r="AY541" s="18" t="n">
        <v>3100000</v>
      </c>
      <c r="AZ541" s="18">
        <f>1000000000-999219530.8286</f>
        <v/>
      </c>
      <c r="BA541" s="20">
        <f>1000000000-AV541-AW541-AX541-AY541-AZ541</f>
        <v/>
      </c>
      <c r="BB541" s="21" t="n">
        <v>241.384938</v>
      </c>
      <c r="BC541" s="21">
        <f>BA541/1000000-BB541</f>
        <v/>
      </c>
      <c r="BD541" s="22">
        <f>BA541*55.31</f>
        <v/>
      </c>
    </row>
    <row r="542">
      <c r="A542" s="10" t="n">
        <v>46164</v>
      </c>
      <c r="B542" s="11" t="n">
        <v>5468949599.978119</v>
      </c>
      <c r="C542" s="11" t="n">
        <v>2233609705.453766</v>
      </c>
      <c r="D542" s="11" t="n">
        <v>258238117</v>
      </c>
      <c r="E542" s="11" t="n"/>
      <c r="F542" s="24" t="n">
        <v>1043149340.3649</v>
      </c>
      <c r="G542" s="24" t="n">
        <v>12572159.46698952</v>
      </c>
      <c r="H542" s="24" t="n">
        <v>2978911.20121164</v>
      </c>
      <c r="I542" s="24" t="n">
        <v>545637050.74598</v>
      </c>
      <c r="J542" s="24" t="n">
        <v>22455175.80349598</v>
      </c>
      <c r="K542" s="24" t="n">
        <v>606817067.8711891</v>
      </c>
      <c r="L542" s="22">
        <f>SUM(F542:K542)</f>
        <v/>
      </c>
      <c r="M542" s="22">
        <f>Z542/(1-R542)</f>
        <v/>
      </c>
      <c r="N542" s="11" t="n">
        <v>101090.3048930001</v>
      </c>
      <c r="O542" s="11" t="n">
        <v>125315</v>
      </c>
      <c r="P542" s="11" t="n"/>
      <c r="Q542" s="22">
        <f>M542+N542+O542+P542</f>
        <v/>
      </c>
      <c r="R542" s="12" t="n">
        <v>0.01</v>
      </c>
      <c r="S542" s="22">
        <f>M542*R542</f>
        <v/>
      </c>
      <c r="T542" s="22">
        <f>N542*R542</f>
        <v/>
      </c>
      <c r="U542" s="22">
        <f>(O542-V542)*R542</f>
        <v/>
      </c>
      <c r="V542" s="11" t="n">
        <v>10207</v>
      </c>
      <c r="W542" s="11" t="n">
        <v>37614.13120200002</v>
      </c>
      <c r="X542" s="22">
        <f>S542+T542+U542+V542+W542</f>
        <v/>
      </c>
      <c r="Y542" s="11" t="n">
        <v>91508.4746</v>
      </c>
      <c r="Z542" s="22">
        <f>AE542-AB542-AA542-AC542</f>
        <v/>
      </c>
      <c r="AA542" s="22">
        <f>N542-T542-W542</f>
        <v/>
      </c>
      <c r="AB542" s="22">
        <f>O542-V542-U542</f>
        <v/>
      </c>
      <c r="AC542" s="22">
        <f>P542</f>
        <v/>
      </c>
      <c r="AD542" s="23">
        <f>Z542+AA542+AB542+AC542</f>
        <v/>
      </c>
      <c r="AE542" s="11" t="n">
        <v>1813376.99</v>
      </c>
      <c r="AF542" s="24">
        <f>AD542-AE542</f>
        <v/>
      </c>
      <c r="AG542" s="13">
        <f>IF(OR(B542="",B542=0,M542=""),"",M542/B542*10000)</f>
        <v/>
      </c>
      <c r="AH542" s="13">
        <f>IF(OR(C542="",C542=0),"",N542/C542*10000)</f>
        <v/>
      </c>
      <c r="AI542" s="13">
        <f>IF(OR(D542="",D542=0),"",O542/D542*10000)</f>
        <v/>
      </c>
      <c r="AJ542" s="11" t="n">
        <v>48932.22340677239</v>
      </c>
      <c r="AK542" s="11" t="n">
        <v>29339.12</v>
      </c>
      <c r="AL542" s="22">
        <f>AE542+AJ542+AK542</f>
        <v/>
      </c>
      <c r="AM542" s="22">
        <f>AE542</f>
        <v/>
      </c>
      <c r="AN542" s="14" t="n">
        <v>31484.36</v>
      </c>
      <c r="AO542" s="15" t="n">
        <v>57.59612</v>
      </c>
      <c r="AP542" s="14" t="n">
        <v>44472733.04255512</v>
      </c>
      <c r="AQ542" s="14" t="n">
        <v>26297.796</v>
      </c>
      <c r="AR542" s="14" t="n">
        <v>4149.9867</v>
      </c>
      <c r="AS542" s="14" t="n"/>
      <c r="AT542" s="16" t="n">
        <v>432.4963143350387</v>
      </c>
      <c r="AU542" s="17" t="n">
        <v>0.0214436777</v>
      </c>
      <c r="AV542" s="14" t="n">
        <v>414664353.7516</v>
      </c>
      <c r="AW542" s="18" t="n">
        <v>60100000</v>
      </c>
      <c r="AX542" s="19" t="n">
        <v>44472733.04255512</v>
      </c>
      <c r="AY542" s="18" t="n">
        <v>3100000</v>
      </c>
      <c r="AZ542" s="18">
        <f>1000000000-999215380.842</f>
        <v/>
      </c>
      <c r="BA542" s="20">
        <f>1000000000-AV542-AW542-AX542-AY542-AZ542</f>
        <v/>
      </c>
      <c r="BB542" s="21" t="n">
        <v>241.384938</v>
      </c>
      <c r="BC542" s="21">
        <f>BA542/1000000-BB542</f>
        <v/>
      </c>
      <c r="BD542" s="22">
        <f>BA542*57.61</f>
        <v/>
      </c>
    </row>
    <row r="543">
      <c r="A543" s="10" t="n">
        <v>46165</v>
      </c>
      <c r="B543" s="11" t="n">
        <v>5534031701.191082</v>
      </c>
      <c r="C543" s="11" t="n">
        <v>1251481916.407665</v>
      </c>
      <c r="D543" s="11" t="n">
        <v>172897971</v>
      </c>
      <c r="E543" s="11" t="n"/>
      <c r="F543" s="24" t="n">
        <v>757622907.192547</v>
      </c>
      <c r="G543" s="24" t="n">
        <v>14154159.688678</v>
      </c>
      <c r="H543" s="24" t="n">
        <v>1437236.073615404</v>
      </c>
      <c r="I543" s="24" t="n">
        <v>307636419.8822402</v>
      </c>
      <c r="J543" s="24" t="n">
        <v>13764937.33789352</v>
      </c>
      <c r="K543" s="24" t="n">
        <v>156866256.2326914</v>
      </c>
      <c r="L543" s="22">
        <f>SUM(F543:K543)</f>
        <v/>
      </c>
      <c r="M543" s="22">
        <f>Z543/(1-R543)</f>
        <v/>
      </c>
      <c r="N543" s="11" t="n">
        <v>81100.69439100007</v>
      </c>
      <c r="O543" s="11" t="n">
        <v>80163</v>
      </c>
      <c r="P543" s="11" t="n"/>
      <c r="Q543" s="22">
        <f>M543+N543+O543+P543</f>
        <v/>
      </c>
      <c r="R543" s="12" t="n">
        <v>0.01</v>
      </c>
      <c r="S543" s="22">
        <f>M543*R543</f>
        <v/>
      </c>
      <c r="T543" s="22">
        <f>N543*R543</f>
        <v/>
      </c>
      <c r="U543" s="22">
        <f>(O543-V543)*R543</f>
        <v/>
      </c>
      <c r="V543" s="11" t="n">
        <v>10090</v>
      </c>
      <c r="W543" s="11" t="n">
        <v>28058.03604800003</v>
      </c>
      <c r="X543" s="22">
        <f>S543+T543+U543+V543+W543</f>
        <v/>
      </c>
      <c r="Y543" s="11" t="n">
        <v>101767.2404</v>
      </c>
      <c r="Z543" s="22">
        <f>AE543-AB543-AA543-AC543</f>
        <v/>
      </c>
      <c r="AA543" s="22">
        <f>N543-T543-W543</f>
        <v/>
      </c>
      <c r="AB543" s="22">
        <f>O543-V543-U543</f>
        <v/>
      </c>
      <c r="AC543" s="22">
        <f>P543</f>
        <v/>
      </c>
      <c r="AD543" s="23">
        <f>Z543+AA543+AB543+AC543</f>
        <v/>
      </c>
      <c r="AE543" s="11" t="n">
        <v>1682860.59</v>
      </c>
      <c r="AF543" s="24">
        <f>AD543-AE543</f>
        <v/>
      </c>
      <c r="AG543" s="13">
        <f>IF(OR(B543="",B543=0,M543=""),"",M543/B543*10000)</f>
        <v/>
      </c>
      <c r="AH543" s="13">
        <f>IF(OR(C543="",C543=0),"",N543/C543*10000)</f>
        <v/>
      </c>
      <c r="AI543" s="13">
        <f>IF(OR(D543="",D543=0),"",O543/D543*10000)</f>
        <v/>
      </c>
      <c r="AJ543" s="11" t="n">
        <v>23782.49680094401</v>
      </c>
      <c r="AK543" s="11" t="n">
        <v>0</v>
      </c>
      <c r="AL543" s="22">
        <f>AE543+AJ543+AK543</f>
        <v/>
      </c>
      <c r="AM543" s="22">
        <f>AE543</f>
        <v/>
      </c>
      <c r="AN543" s="14" t="n">
        <v>29571.64</v>
      </c>
      <c r="AO543" s="15" t="n">
        <v>56.907922</v>
      </c>
      <c r="AP543" s="14" t="n">
        <v>44501328.52255512</v>
      </c>
      <c r="AQ543" s="14" t="n">
        <v>26239.6498</v>
      </c>
      <c r="AR543" s="14" t="n">
        <v>2153.2781</v>
      </c>
      <c r="AS543" s="14" t="n"/>
      <c r="AT543" s="16" t="n">
        <v>431.412092308907</v>
      </c>
      <c r="AU543" s="17" t="n">
        <v>0.0214702958</v>
      </c>
      <c r="AV543" s="14" t="n">
        <v>414638114.1018</v>
      </c>
      <c r="AW543" s="18" t="n">
        <v>60100000</v>
      </c>
      <c r="AX543" s="19" t="n">
        <v>44501328.52255512</v>
      </c>
      <c r="AY543" s="18" t="n">
        <v>3100000</v>
      </c>
      <c r="AZ543" s="18">
        <f>1000000000-999213227.5638</f>
        <v/>
      </c>
      <c r="BA543" s="20">
        <f>1000000000-AV543-AW543-AX543-AY543-AZ543</f>
        <v/>
      </c>
      <c r="BB543" s="21" t="n">
        <v>241.384938</v>
      </c>
      <c r="BC543" s="21">
        <f>BA543/1000000-BB543</f>
        <v/>
      </c>
      <c r="BD543" s="22">
        <f>BA543*54.49</f>
        <v/>
      </c>
    </row>
    <row r="544">
      <c r="A544" s="10" t="n">
        <v>46166</v>
      </c>
      <c r="B544" s="11" t="n">
        <v>3956851899.383302</v>
      </c>
      <c r="C544" s="11" t="n">
        <v>930616630.6885262</v>
      </c>
      <c r="D544" s="11" t="n">
        <v>248347298</v>
      </c>
      <c r="E544" s="11" t="n"/>
      <c r="F544" s="24" t="n">
        <v>600002907.4583037</v>
      </c>
      <c r="G544" s="24" t="n">
        <v>19300723.67459433</v>
      </c>
      <c r="H544" s="24" t="n">
        <v>1203519.672004348</v>
      </c>
      <c r="I544" s="24" t="n">
        <v>177411722.2642672</v>
      </c>
      <c r="J544" s="24" t="n">
        <v>23112175.16727985</v>
      </c>
      <c r="K544" s="24" t="n">
        <v>109585582.4520767</v>
      </c>
      <c r="L544" s="22">
        <f>SUM(F544:K544)</f>
        <v/>
      </c>
      <c r="M544" s="22">
        <f>Z544/(1-R544)</f>
        <v/>
      </c>
      <c r="N544" s="11" t="n">
        <v>69263.01552099999</v>
      </c>
      <c r="O544" s="11" t="n">
        <v>121112</v>
      </c>
      <c r="P544" s="11" t="n"/>
      <c r="Q544" s="22">
        <f>M544+N544+O544+P544</f>
        <v/>
      </c>
      <c r="R544" s="12" t="n">
        <v>0.01</v>
      </c>
      <c r="S544" s="22">
        <f>M544*R544</f>
        <v/>
      </c>
      <c r="T544" s="22">
        <f>N544*R544</f>
        <v/>
      </c>
      <c r="U544" s="22">
        <f>(O544-V544)*R544</f>
        <v/>
      </c>
      <c r="V544" s="11" t="n">
        <v>0</v>
      </c>
      <c r="W544" s="11" t="n">
        <v>24269.49143699999</v>
      </c>
      <c r="X544" s="22">
        <f>S544+T544+U544+V544+W544</f>
        <v/>
      </c>
      <c r="Y544" s="11" t="n">
        <v>82326.78490000001</v>
      </c>
      <c r="Z544" s="22">
        <f>AE544-AB544-AA544-AC544</f>
        <v/>
      </c>
      <c r="AA544" s="22">
        <f>N544-T544-W544</f>
        <v/>
      </c>
      <c r="AB544" s="22">
        <f>O544-V544-U544</f>
        <v/>
      </c>
      <c r="AC544" s="22">
        <f>P544</f>
        <v/>
      </c>
      <c r="AD544" s="23">
        <f>Z544+AA544+AB544+AC544</f>
        <v/>
      </c>
      <c r="AE544" s="11" t="n">
        <v>1343824.84</v>
      </c>
      <c r="AF544" s="24">
        <f>AD544-AE544</f>
        <v/>
      </c>
      <c r="AG544" s="13">
        <f>IF(OR(B544="",B544=0,M544=""),"",M544/B544*10000)</f>
        <v/>
      </c>
      <c r="AH544" s="13">
        <f>IF(OR(C544="",C544=0),"",N544/C544*10000)</f>
        <v/>
      </c>
      <c r="AI544" s="13">
        <f>IF(OR(D544="",D544=0),"",O544/D544*10000)</f>
        <v/>
      </c>
      <c r="AJ544" s="11" t="n">
        <v>37832.30402377795</v>
      </c>
      <c r="AK544" s="11" t="n">
        <v>0</v>
      </c>
      <c r="AL544" s="22">
        <f>AE544+AJ544+AK544</f>
        <v/>
      </c>
      <c r="AM544" s="22">
        <f>AE544</f>
        <v/>
      </c>
      <c r="AN544" s="14" t="n">
        <v>21560.99</v>
      </c>
      <c r="AO544" s="15" t="n">
        <v>62.326676</v>
      </c>
      <c r="AP544" s="14" t="n">
        <v>44523373.18473923</v>
      </c>
      <c r="AQ544" s="14" t="n">
        <v>26223.3183</v>
      </c>
      <c r="AR544" s="14" t="n">
        <v>867.6538</v>
      </c>
      <c r="AS544" s="14" t="n"/>
      <c r="AT544" s="16" t="n">
        <v>431.5447267282069</v>
      </c>
      <c r="AU544" s="17" t="n">
        <v>0.0214670342</v>
      </c>
      <c r="AV544" s="14" t="n">
        <v>414611890.7835</v>
      </c>
      <c r="AW544" s="18" t="n">
        <v>60100000</v>
      </c>
      <c r="AX544" s="19" t="n">
        <v>44523373.18473923</v>
      </c>
      <c r="AY544" s="18" t="n">
        <v>3100000</v>
      </c>
      <c r="AZ544" s="18">
        <f>1000000000-999212359.91</f>
        <v/>
      </c>
      <c r="BA544" s="20">
        <f>1000000000-AV544-AW544-AX544-AY544-AZ544</f>
        <v/>
      </c>
      <c r="BB544" s="21" t="n">
        <v>241.384938</v>
      </c>
      <c r="BC544" s="21">
        <f>BA544/1000000-BB544</f>
        <v/>
      </c>
      <c r="BD544" s="22">
        <f>BA544*59.11</f>
        <v/>
      </c>
    </row>
    <row r="545">
      <c r="A545" s="10" t="n">
        <v>46167</v>
      </c>
      <c r="B545" s="11" t="n">
        <v>3210706999.475728</v>
      </c>
      <c r="C545" s="11" t="n">
        <v>1286832572.283753</v>
      </c>
      <c r="D545" s="11" t="n">
        <v>142796016</v>
      </c>
      <c r="E545" s="11" t="n"/>
      <c r="F545" s="24" t="n">
        <v>757399396.4670014</v>
      </c>
      <c r="G545" s="24" t="n">
        <v>8785176.703139456</v>
      </c>
      <c r="H545" s="24" t="n">
        <v>2190802.204594691</v>
      </c>
      <c r="I545" s="24" t="n">
        <v>385776887.4230833</v>
      </c>
      <c r="J545" s="24" t="n">
        <v>5848188.490197909</v>
      </c>
      <c r="K545" s="24" t="n">
        <v>126832120.9957362</v>
      </c>
      <c r="L545" s="22">
        <f>SUM(F545:K545)</f>
        <v/>
      </c>
      <c r="M545" s="22">
        <f>Z545/(1-R545)</f>
        <v/>
      </c>
      <c r="N545" s="11" t="n">
        <v>68562.19832499998</v>
      </c>
      <c r="O545" s="11" t="n">
        <v>64147</v>
      </c>
      <c r="P545" s="11" t="n"/>
      <c r="Q545" s="22">
        <f>M545+N545+O545+P545</f>
        <v/>
      </c>
      <c r="R545" s="12" t="n">
        <v>0.01</v>
      </c>
      <c r="S545" s="22">
        <f>M545*R545</f>
        <v/>
      </c>
      <c r="T545" s="22">
        <f>N545*R545</f>
        <v/>
      </c>
      <c r="U545" s="22">
        <f>(O545-V545)*R545</f>
        <v/>
      </c>
      <c r="V545" s="11" t="n">
        <v>0</v>
      </c>
      <c r="W545" s="11" t="n">
        <v>23402.40505099994</v>
      </c>
      <c r="X545" s="22">
        <f>S545+T545+U545+V545+W545</f>
        <v/>
      </c>
      <c r="Y545" s="11" t="n">
        <v>79117.35279999999</v>
      </c>
      <c r="Z545" s="22">
        <f>AE545-AB545-AA545-AC545</f>
        <v/>
      </c>
      <c r="AA545" s="22">
        <f>N545-T545-W545</f>
        <v/>
      </c>
      <c r="AB545" s="22">
        <f>O545-V545-U545</f>
        <v/>
      </c>
      <c r="AC545" s="22">
        <f>P545</f>
        <v/>
      </c>
      <c r="AD545" s="23">
        <f>Z545+AA545+AB545+AC545</f>
        <v/>
      </c>
      <c r="AE545" s="11" t="n">
        <v>1076230.56</v>
      </c>
      <c r="AF545" s="24">
        <f>AD545-AE545</f>
        <v/>
      </c>
      <c r="AG545" s="13">
        <f>IF(OR(B545="",B545=0,M545=""),"",M545/B545*10000)</f>
        <v/>
      </c>
      <c r="AH545" s="13">
        <f>IF(OR(C545="",C545=0),"",N545/C545*10000)</f>
        <v/>
      </c>
      <c r="AI545" s="13">
        <f>IF(OR(D545="",D545=0),"",O545/D545*10000)</f>
        <v/>
      </c>
      <c r="AJ545" s="11" t="n">
        <v>14958.46297294349</v>
      </c>
      <c r="AK545" s="11" t="n">
        <v>0</v>
      </c>
      <c r="AL545" s="22">
        <f>AE545+AJ545+AK545</f>
        <v/>
      </c>
      <c r="AM545" s="22">
        <f>AE545</f>
        <v/>
      </c>
      <c r="AN545" s="14" t="n">
        <v>17286.98</v>
      </c>
      <c r="AO545" s="15" t="n">
        <v>62.256714</v>
      </c>
      <c r="AP545" s="14" t="n">
        <v>44540757.65473923</v>
      </c>
      <c r="AQ545" s="14" t="n">
        <v>26233.453</v>
      </c>
      <c r="AR545" s="14" t="n">
        <v>1213.153</v>
      </c>
      <c r="AS545" s="14" t="n"/>
      <c r="AT545" s="16" t="n">
        <v>431.1504108030683</v>
      </c>
      <c r="AU545" s="17" t="n">
        <v>0.0214767351</v>
      </c>
      <c r="AV545" s="14" t="n">
        <v>414585657.3305</v>
      </c>
      <c r="AW545" s="18" t="n">
        <v>60100000</v>
      </c>
      <c r="AX545" s="19" t="n">
        <v>44540757.65473923</v>
      </c>
      <c r="AY545" s="18" t="n">
        <v>3100000</v>
      </c>
      <c r="AZ545" s="18">
        <f>1000000000-999211146.757</f>
        <v/>
      </c>
      <c r="BA545" s="20">
        <f>1000000000-AV545-AW545-AX545-AY545-AZ545</f>
        <v/>
      </c>
      <c r="BB545" s="21" t="n">
        <v>241.384938</v>
      </c>
      <c r="BC545" s="21">
        <f>BA545/1000000-BB545</f>
        <v/>
      </c>
      <c r="BD545" s="22">
        <f>BA545*62.04</f>
        <v/>
      </c>
    </row>
    <row r="546">
      <c r="A546" s="10" t="n">
        <v>46168</v>
      </c>
      <c r="B546" s="11" t="n">
        <v>5985927509.858664</v>
      </c>
      <c r="C546" s="11" t="n">
        <v>2130016724.536861</v>
      </c>
      <c r="D546" s="11" t="n">
        <v>181351392</v>
      </c>
      <c r="E546" s="11" t="n"/>
      <c r="F546" s="24" t="n">
        <v>739156058.3795007</v>
      </c>
      <c r="G546" s="24" t="n">
        <v>12967721.20267143</v>
      </c>
      <c r="H546" s="24" t="n">
        <v>4804569.34362652</v>
      </c>
      <c r="I546" s="24" t="n">
        <v>548728282.5642935</v>
      </c>
      <c r="J546" s="24" t="n">
        <v>16299363.49237492</v>
      </c>
      <c r="K546" s="24" t="n">
        <v>808060729.5543942</v>
      </c>
      <c r="L546" s="22">
        <f>SUM(F546:K546)</f>
        <v/>
      </c>
      <c r="M546" s="22">
        <f>Z546/(1-R546)</f>
        <v/>
      </c>
      <c r="N546" s="11" t="n">
        <v>104939.9188389999</v>
      </c>
      <c r="O546" s="11" t="n">
        <v>78312</v>
      </c>
      <c r="P546" s="11" t="n"/>
      <c r="Q546" s="22">
        <f>M546+N546+O546+P546</f>
        <v/>
      </c>
      <c r="R546" s="12" t="n">
        <v>0.01</v>
      </c>
      <c r="S546" s="22">
        <f>M546*R546</f>
        <v/>
      </c>
      <c r="T546" s="22">
        <f>N546*R546</f>
        <v/>
      </c>
      <c r="U546" s="22">
        <f>(O546-V546)*R546</f>
        <v/>
      </c>
      <c r="V546" s="11" t="n">
        <v>7040</v>
      </c>
      <c r="W546" s="11" t="n">
        <v>37661.897023</v>
      </c>
      <c r="X546" s="22">
        <f>S546+T546+U546+V546+W546</f>
        <v/>
      </c>
      <c r="Y546" s="11" t="n">
        <v>131617.1632</v>
      </c>
      <c r="Z546" s="22">
        <f>AE546-AB546-AA546-AC546</f>
        <v/>
      </c>
      <c r="AA546" s="22">
        <f>N546-T546-W546</f>
        <v/>
      </c>
      <c r="AB546" s="22">
        <f>O546-V546-U546</f>
        <v/>
      </c>
      <c r="AC546" s="22">
        <f>P546</f>
        <v/>
      </c>
      <c r="AD546" s="23">
        <f>Z546+AA546+AB546+AC546</f>
        <v/>
      </c>
      <c r="AE546" s="11" t="n">
        <v>1931355.1</v>
      </c>
      <c r="AF546" s="24">
        <f>AD546-AE546</f>
        <v/>
      </c>
      <c r="AG546" s="13">
        <f>IF(OR(B546="",B546=0,M546=""),"",M546/B546*10000)</f>
        <v/>
      </c>
      <c r="AH546" s="13">
        <f>IF(OR(C546="",C546=0),"",N546/C546*10000)</f>
        <v/>
      </c>
      <c r="AI546" s="13">
        <f>IF(OR(D546="",D546=0),"",O546/D546*10000)</f>
        <v/>
      </c>
      <c r="AJ546" s="11" t="n">
        <v>45778.77990407962</v>
      </c>
      <c r="AK546" s="11" t="n">
        <v>0</v>
      </c>
      <c r="AL546" s="22">
        <f>AE546+AJ546+AK546</f>
        <v/>
      </c>
      <c r="AM546" s="22">
        <f>AE546</f>
        <v/>
      </c>
      <c r="AN546" s="14" t="n">
        <v>31505.41</v>
      </c>
      <c r="AO546" s="15" t="n">
        <v>61.302332</v>
      </c>
      <c r="AP546" s="14" t="n">
        <v>44571681.90473923</v>
      </c>
      <c r="AQ546" s="14" t="n">
        <v>26233.4631</v>
      </c>
      <c r="AR546" s="14" t="n">
        <v>1309.9773</v>
      </c>
      <c r="AS546" s="14" t="n"/>
      <c r="AT546" s="16" t="n">
        <v>431.406183921743</v>
      </c>
      <c r="AU546" s="17" t="n">
        <v>0.0214704411</v>
      </c>
      <c r="AV546" s="14" t="n">
        <v>414559423.8674</v>
      </c>
      <c r="AW546" s="18" t="n">
        <v>60100000</v>
      </c>
      <c r="AX546" s="19" t="n">
        <v>44571681.90473923</v>
      </c>
      <c r="AY546" s="18" t="n">
        <v>3100000</v>
      </c>
      <c r="AZ546" s="18">
        <f>1000000000-999209836.7797</f>
        <v/>
      </c>
      <c r="BA546" s="20">
        <f>1000000000-AV546-AW546-AX546-AY546-AZ546</f>
        <v/>
      </c>
      <c r="BB546" s="21" t="n">
        <v>241.384938</v>
      </c>
      <c r="BC546" s="21">
        <f>BA546/1000000-BB546</f>
        <v/>
      </c>
      <c r="BD546" s="22">
        <f>BA546*60.6</f>
        <v/>
      </c>
    </row>
    <row r="547">
      <c r="A547" s="10" t="n">
        <v>46169</v>
      </c>
      <c r="B547" s="11" t="n">
        <v>4822844279.875333</v>
      </c>
      <c r="C547" s="11" t="n">
        <v>2870558199.260238</v>
      </c>
      <c r="D547" s="11" t="n">
        <v>196675977</v>
      </c>
      <c r="E547" s="11" t="n"/>
      <c r="F547" s="24" t="n">
        <v>1057179947.028603</v>
      </c>
      <c r="G547" s="24" t="n">
        <v>13591003.27347234</v>
      </c>
      <c r="H547" s="24" t="n">
        <v>4714026.285537311</v>
      </c>
      <c r="I547" s="24" t="n">
        <v>661633489.2342998</v>
      </c>
      <c r="J547" s="24" t="n">
        <v>9454529.292054592</v>
      </c>
      <c r="K547" s="24" t="n">
        <v>1123985204.14627</v>
      </c>
      <c r="L547" s="22">
        <f>SUM(F547:K547)</f>
        <v/>
      </c>
      <c r="M547" s="22">
        <f>Z547/(1-R547)</f>
        <v/>
      </c>
      <c r="N547" s="11" t="n">
        <v>142071.4025279999</v>
      </c>
      <c r="O547" s="11" t="n">
        <v>88027</v>
      </c>
      <c r="P547" s="11" t="n"/>
      <c r="Q547" s="22">
        <f>M547+N547+O547+P547</f>
        <v/>
      </c>
      <c r="R547" s="12" t="n">
        <v>0.01</v>
      </c>
      <c r="S547" s="22">
        <f>M547*R547</f>
        <v/>
      </c>
      <c r="T547" s="22">
        <f>N547*R547</f>
        <v/>
      </c>
      <c r="U547" s="22">
        <f>(O547-V547)*R547</f>
        <v/>
      </c>
      <c r="V547" s="11" t="n">
        <v>11171</v>
      </c>
      <c r="W547" s="11" t="n">
        <v>50263.24734900002</v>
      </c>
      <c r="X547" s="22">
        <f>S547+T547+U547+V547+W547</f>
        <v/>
      </c>
      <c r="Y547" s="11" t="n">
        <v>119613.3163</v>
      </c>
      <c r="Z547" s="22">
        <f>AE547-AB547-AA547-AC547</f>
        <v/>
      </c>
      <c r="AA547" s="22">
        <f>N547-T547-W547</f>
        <v/>
      </c>
      <c r="AB547" s="22">
        <f>O547-V547-U547</f>
        <v/>
      </c>
      <c r="AC547" s="22">
        <f>P547</f>
        <v/>
      </c>
      <c r="AD547" s="23">
        <f>Z547+AA547+AB547+AC547</f>
        <v/>
      </c>
      <c r="AE547" s="11" t="n">
        <v>1576858.19</v>
      </c>
      <c r="AF547" s="24">
        <f>AD547-AE547</f>
        <v/>
      </c>
      <c r="AG547" s="13">
        <f>IF(OR(B547="",B547=0,M547=""),"",M547/B547*10000)</f>
        <v/>
      </c>
      <c r="AH547" s="13">
        <f>IF(OR(C547="",C547=0),"",N547/C547*10000)</f>
        <v/>
      </c>
      <c r="AI547" s="13">
        <f>IF(OR(D547="",D547=0),"",O547/D547*10000)</f>
        <v/>
      </c>
      <c r="AJ547" s="11" t="n">
        <v>22197.93836246796</v>
      </c>
      <c r="AK547" s="11" t="n">
        <v>88895.32000000001</v>
      </c>
      <c r="AL547" s="22">
        <f>AE547+AJ547+AK547</f>
        <v/>
      </c>
      <c r="AM547" s="22">
        <f>AE547</f>
        <v/>
      </c>
      <c r="AN547" s="14" t="n">
        <v>26078.61</v>
      </c>
      <c r="AO547" s="15" t="n">
        <v>60.465577</v>
      </c>
      <c r="AP547" s="14" t="n">
        <v>44598263.35473923</v>
      </c>
      <c r="AQ547" s="14" t="n">
        <v>26226.4409</v>
      </c>
      <c r="AR547" s="14" t="n">
        <v>1606.8676</v>
      </c>
      <c r="AS547" s="14" t="n"/>
      <c r="AT547" s="16" t="n">
        <v>430.4862595842305</v>
      </c>
      <c r="AU547" s="17" t="n">
        <v>0.0214931043</v>
      </c>
      <c r="AV547" s="14" t="n">
        <v>414533197.4265</v>
      </c>
      <c r="AW547" s="18" t="n">
        <v>60100000</v>
      </c>
      <c r="AX547" s="19" t="n">
        <v>44598263.35473923</v>
      </c>
      <c r="AY547" s="18" t="n">
        <v>3100000</v>
      </c>
      <c r="AZ547" s="18">
        <f>1000000000-999208229.912</f>
        <v/>
      </c>
      <c r="BA547" s="20">
        <f>1000000000-AV547-AW547-AX547-AY547-AZ547</f>
        <v/>
      </c>
      <c r="BB547" s="21" t="n">
        <v>241.384938</v>
      </c>
      <c r="BC547" s="21">
        <f>BA547/1000000-BB547</f>
        <v/>
      </c>
      <c r="BD547" s="22">
        <f>BA547*60.22</f>
        <v/>
      </c>
    </row>
    <row r="548">
      <c r="A548" s="10" t="n">
        <v>46170</v>
      </c>
      <c r="B548" s="11" t="n">
        <v>6078785835.271974</v>
      </c>
      <c r="C548" s="11" t="n">
        <v>2481344072.932359</v>
      </c>
      <c r="D548" s="11" t="n">
        <v>164692066</v>
      </c>
      <c r="E548" s="11" t="n"/>
      <c r="F548" s="24" t="n">
        <v>1008896346.930965</v>
      </c>
      <c r="G548" s="24" t="n">
        <v>14074669.66440867</v>
      </c>
      <c r="H548" s="24" t="n">
        <v>5352150.568322808</v>
      </c>
      <c r="I548" s="24" t="n">
        <v>585158359.4316213</v>
      </c>
      <c r="J548" s="24" t="n">
        <v>15788983.06787838</v>
      </c>
      <c r="K548" s="24" t="n">
        <v>852073563.2691635</v>
      </c>
      <c r="L548" s="22">
        <f>SUM(F548:K548)</f>
        <v/>
      </c>
      <c r="M548" s="22">
        <f>Z548/(1-R548)</f>
        <v/>
      </c>
      <c r="N548" s="11" t="n">
        <v>136430.931608</v>
      </c>
      <c r="O548" s="11" t="n">
        <v>79328</v>
      </c>
      <c r="P548" s="11" t="n"/>
      <c r="Q548" s="22">
        <f>M548+N548+O548+P548</f>
        <v/>
      </c>
      <c r="R548" s="12" t="n">
        <v>0.01</v>
      </c>
      <c r="S548" s="22">
        <f>M548*R548</f>
        <v/>
      </c>
      <c r="T548" s="22">
        <f>N548*R548</f>
        <v/>
      </c>
      <c r="U548" s="22">
        <f>(O548-V548)*R548</f>
        <v/>
      </c>
      <c r="V548" s="11" t="n">
        <v>8226</v>
      </c>
      <c r="W548" s="11" t="n">
        <v>50224.94741100001</v>
      </c>
      <c r="X548" s="22">
        <f>S548+T548+U548+V548+W548</f>
        <v/>
      </c>
      <c r="Y548" s="11" t="n">
        <v>128928.3991</v>
      </c>
      <c r="Z548" s="22">
        <f>AE548-AB548-AA548-AC548</f>
        <v/>
      </c>
      <c r="AA548" s="22">
        <f>N548-T548-W548</f>
        <v/>
      </c>
      <c r="AB548" s="22">
        <f>O548-V548-U548</f>
        <v/>
      </c>
      <c r="AC548" s="22">
        <f>P548</f>
        <v/>
      </c>
      <c r="AD548" s="23">
        <f>Z548+AA548+AB548+AC548</f>
        <v/>
      </c>
      <c r="AE548" s="11" t="n">
        <v>1940756.76</v>
      </c>
      <c r="AF548" s="24">
        <f>AD548-AE548</f>
        <v/>
      </c>
      <c r="AG548" s="13">
        <f>IF(OR(B548="",B548=0,M548=""),"",M548/B548*10000)</f>
        <v/>
      </c>
      <c r="AH548" s="13">
        <f>IF(OR(C548="",C548=0),"",N548/C548*10000)</f>
        <v/>
      </c>
      <c r="AI548" s="13">
        <f>IF(OR(D548="",D548=0),"",O548/D548*10000)</f>
        <v/>
      </c>
      <c r="AJ548" s="11" t="n">
        <v>23233.03603108036</v>
      </c>
      <c r="AK548" s="11" t="n">
        <v>0</v>
      </c>
      <c r="AL548" s="22">
        <f>AE548+AJ548+AK548</f>
        <v/>
      </c>
      <c r="AM548" s="22">
        <f>AE548</f>
        <v/>
      </c>
      <c r="AN548" s="14" t="n">
        <v>33367.53</v>
      </c>
      <c r="AO548" s="15" t="n">
        <v>58.163033</v>
      </c>
      <c r="AP548" s="14" t="n">
        <v>44631473.61473923</v>
      </c>
      <c r="AQ548" s="14" t="n">
        <v>26218.4878</v>
      </c>
      <c r="AR548" s="14" t="n">
        <v>2975.1785</v>
      </c>
      <c r="AS548" s="14" t="n"/>
      <c r="AT548" s="16" t="n">
        <v>431.6081068002084</v>
      </c>
      <c r="AU548" s="17" t="n">
        <v>0.0214654762</v>
      </c>
      <c r="AV548" s="14" t="n">
        <v>414506978.9387</v>
      </c>
      <c r="AW548" s="18" t="n">
        <v>60100000</v>
      </c>
      <c r="AX548" s="19" t="n">
        <v>44631473.61473923</v>
      </c>
      <c r="AY548" s="18" t="n">
        <v>3100000</v>
      </c>
      <c r="AZ548" s="18">
        <f>1000000000-999205254.7335</f>
        <v/>
      </c>
      <c r="BA548" s="20">
        <f>1000000000-AV548-AW548-AX548-AY548-AZ548</f>
        <v/>
      </c>
      <c r="BB548" s="21" t="n">
        <v>241.384938</v>
      </c>
      <c r="BC548" s="21">
        <f>BA548/1000000-BB548</f>
        <v/>
      </c>
      <c r="BD548" s="22">
        <f>BA548*58.05</f>
        <v/>
      </c>
    </row>
    <row r="549">
      <c r="A549" s="10" t="n">
        <v>46171</v>
      </c>
      <c r="B549" s="11" t="n">
        <v>5708240579.455822</v>
      </c>
      <c r="C549" s="11" t="n">
        <v>2229267593.989876</v>
      </c>
      <c r="D549" s="11" t="n">
        <v>230370064</v>
      </c>
      <c r="E549" s="11" t="n"/>
      <c r="F549" s="24" t="n">
        <v>960610493.757054</v>
      </c>
      <c r="G549" s="24" t="n">
        <v>5701944.080254921</v>
      </c>
      <c r="H549" s="24" t="n">
        <v>2932998.95492643</v>
      </c>
      <c r="I549" s="24" t="n">
        <v>474197340.5714952</v>
      </c>
      <c r="J549" s="24" t="n">
        <v>22420202.01492342</v>
      </c>
      <c r="K549" s="24" t="n">
        <v>763404614.6112223</v>
      </c>
      <c r="L549" s="22">
        <f>SUM(F549:K549)</f>
        <v/>
      </c>
      <c r="M549" s="22">
        <f>Z549/(1-R549)</f>
        <v/>
      </c>
      <c r="N549" s="11" t="n">
        <v>115045.349844</v>
      </c>
      <c r="O549" s="11" t="n">
        <v>108804</v>
      </c>
      <c r="P549" s="11" t="n"/>
      <c r="Q549" s="22">
        <f>M549+N549+O549+P549</f>
        <v/>
      </c>
      <c r="R549" s="12" t="n">
        <v>0.01</v>
      </c>
      <c r="S549" s="22">
        <f>M549*R549</f>
        <v/>
      </c>
      <c r="T549" s="22">
        <f>N549*R549</f>
        <v/>
      </c>
      <c r="U549" s="22">
        <f>(O549-V549)*R549</f>
        <v/>
      </c>
      <c r="V549" s="11" t="n">
        <v>781</v>
      </c>
      <c r="W549" s="11" t="n">
        <v>44397.697571</v>
      </c>
      <c r="X549" s="22">
        <f>S549+T549+U549+V549+W549</f>
        <v/>
      </c>
      <c r="Y549" s="11" t="n">
        <v>105251.7611</v>
      </c>
      <c r="Z549" s="22">
        <f>AE549-AB549-AA549-AC549</f>
        <v/>
      </c>
      <c r="AA549" s="22">
        <f>N549-T549-W549</f>
        <v/>
      </c>
      <c r="AB549" s="22">
        <f>O549-V549-U549</f>
        <v/>
      </c>
      <c r="AC549" s="22">
        <f>P549</f>
        <v/>
      </c>
      <c r="AD549" s="23">
        <f>Z549+AA549+AB549+AC549</f>
        <v/>
      </c>
      <c r="AE549" s="11" t="n">
        <v>1821481.39</v>
      </c>
      <c r="AF549" s="24">
        <f>AD549-AE549</f>
        <v/>
      </c>
      <c r="AG549" s="13">
        <f>IF(OR(B549="",B549=0,M549=""),"",M549/B549*10000)</f>
        <v/>
      </c>
      <c r="AH549" s="13">
        <f>IF(OR(C549="",C549=0),"",N549/C549*10000)</f>
        <v/>
      </c>
      <c r="AI549" s="13">
        <f>IF(OR(D549="",D549=0),"",O549/D549*10000)</f>
        <v/>
      </c>
      <c r="AJ549" s="11" t="n">
        <v>39285.06005125963</v>
      </c>
      <c r="AK549" s="11" t="n">
        <v>0</v>
      </c>
      <c r="AL549" s="22">
        <f>AE549+AJ549+AK549</f>
        <v/>
      </c>
      <c r="AM549" s="22">
        <f>AE549</f>
        <v/>
      </c>
      <c r="AN549" s="14" t="n">
        <v>28338.47</v>
      </c>
      <c r="AO549" s="15" t="n">
        <v>64.275926</v>
      </c>
      <c r="AP549" s="14" t="n">
        <v>44659622.07473923</v>
      </c>
      <c r="AQ549" s="14" t="n">
        <v>26247.9266</v>
      </c>
      <c r="AR549" s="14" t="n">
        <v>1144.2663</v>
      </c>
      <c r="AS549" s="14" t="n"/>
      <c r="AT549" s="16" t="n">
        <v>431.6378008541552</v>
      </c>
      <c r="AU549" s="17" t="n">
        <v>0.0214647464</v>
      </c>
      <c r="AV549" s="14" t="n">
        <v>414480731.012</v>
      </c>
      <c r="AW549" s="18" t="n">
        <v>60100000</v>
      </c>
      <c r="AX549" s="19" t="n">
        <v>44659622.07473923</v>
      </c>
      <c r="AY549" s="18" t="n">
        <v>3100000</v>
      </c>
      <c r="AZ549" s="18">
        <f>1000000000-999204110.4673</f>
        <v/>
      </c>
      <c r="BA549" s="20">
        <f>1000000000-AV549-AW549-AX549-AY549-AZ549</f>
        <v/>
      </c>
      <c r="BB549" s="21" t="n">
        <v>241.384938</v>
      </c>
      <c r="BC549" s="21">
        <f>BA549/1000000-BB549</f>
        <v/>
      </c>
      <c r="BD549" s="22">
        <f>BA549*62.4</f>
        <v/>
      </c>
    </row>
    <row r="550">
      <c r="A550" s="10" t="n">
        <v>46172</v>
      </c>
      <c r="B550" s="11" t="n">
        <v>2954220111.972942</v>
      </c>
      <c r="C550" s="11" t="n">
        <v>325481205.7336621</v>
      </c>
      <c r="D550" s="11" t="n">
        <v>136438179</v>
      </c>
      <c r="E550" s="11" t="n"/>
      <c r="F550" s="24" t="n">
        <v>105076652.0239339</v>
      </c>
      <c r="G550" s="24" t="n">
        <v>3141469.659471483</v>
      </c>
      <c r="H550" s="24" t="n">
        <v>414080.081534848</v>
      </c>
      <c r="I550" s="24" t="n">
        <v>92204592.27209324</v>
      </c>
      <c r="J550" s="24" t="n">
        <v>8986495.973113302</v>
      </c>
      <c r="K550" s="24" t="n">
        <v>115657915.7235153</v>
      </c>
      <c r="L550" s="22">
        <f>SUM(F550:K550)</f>
        <v/>
      </c>
      <c r="M550" s="22">
        <f>Z550/(1-R550)</f>
        <v/>
      </c>
      <c r="N550" s="11" t="n">
        <v>24381.95676000008</v>
      </c>
      <c r="O550" s="11" t="n">
        <v>63791</v>
      </c>
      <c r="P550" s="11" t="n"/>
      <c r="Q550" s="22">
        <f>M550+N550+O550+P550</f>
        <v/>
      </c>
      <c r="R550" s="12" t="n">
        <v>0.01</v>
      </c>
      <c r="S550" s="22">
        <f>M550*R550</f>
        <v/>
      </c>
      <c r="T550" s="22">
        <f>N550*R550</f>
        <v/>
      </c>
      <c r="U550" s="22">
        <f>(O550-V550)*R550</f>
        <v/>
      </c>
      <c r="V550" s="11" t="n">
        <v>4575</v>
      </c>
      <c r="W550" s="11" t="n">
        <v>7672.459335999989</v>
      </c>
      <c r="X550" s="22">
        <f>S550+T550+U550+V550+W550</f>
        <v/>
      </c>
      <c r="Y550" s="11" t="n">
        <v>52005.1781</v>
      </c>
      <c r="Z550" s="22">
        <f>AE550-AB550-AA550-AC550</f>
        <v/>
      </c>
      <c r="AA550" s="22">
        <f>N550-T550-W550</f>
        <v/>
      </c>
      <c r="AB550" s="22">
        <f>O550-V550-U550</f>
        <v/>
      </c>
      <c r="AC550" s="22">
        <f>P550</f>
        <v/>
      </c>
      <c r="AD550" s="23">
        <f>Z550+AA550+AB550+AC550</f>
        <v/>
      </c>
      <c r="AE550" s="11" t="n">
        <v>931924.4399999999</v>
      </c>
      <c r="AF550" s="24">
        <f>AD550-AE550</f>
        <v/>
      </c>
      <c r="AG550" s="13">
        <f>IF(OR(B550="",B550=0,M550=""),"",M550/B550*10000)</f>
        <v/>
      </c>
      <c r="AH550" s="13">
        <f>IF(OR(C550="",C550=0),"",N550/C550*10000)</f>
        <v/>
      </c>
      <c r="AI550" s="13">
        <f>IF(OR(D550="",D550=0),"",O550/D550*10000)</f>
        <v/>
      </c>
      <c r="AJ550" s="11" t="n">
        <v>14919.65041600781</v>
      </c>
      <c r="AK550" s="11" t="n">
        <v>0</v>
      </c>
      <c r="AL550" s="22">
        <f>AE550+AJ550+AK550</f>
        <v/>
      </c>
      <c r="AM550" s="22">
        <f>AE550</f>
        <v/>
      </c>
      <c r="AN550" s="14" t="n">
        <v>13975.83</v>
      </c>
      <c r="AO550" s="15" t="n">
        <v>66.681151</v>
      </c>
      <c r="AP550" s="14" t="n">
        <v>44673442.34473923</v>
      </c>
      <c r="AQ550" s="14" t="n">
        <v>26247.6573</v>
      </c>
      <c r="AR550" s="14" t="n">
        <v>2078.8074</v>
      </c>
      <c r="AS550" s="14" t="n"/>
      <c r="AT550" s="16" t="n">
        <v>430.9244244090558</v>
      </c>
      <c r="AU550" s="17" t="n">
        <v>0.0214823007</v>
      </c>
      <c r="AV550" s="14" t="n">
        <v>414454483.3548</v>
      </c>
      <c r="AW550" s="18" t="n">
        <v>60100000</v>
      </c>
      <c r="AX550" s="19" t="n">
        <v>44673442.34473923</v>
      </c>
      <c r="AY550" s="18" t="n">
        <v>3100000</v>
      </c>
      <c r="AZ550" s="18">
        <f>1000000000-999202031.6599</f>
        <v/>
      </c>
      <c r="BA550" s="20">
        <f>1000000000-AV550-AW550-AX550-AY550-AZ550</f>
        <v/>
      </c>
      <c r="BB550" s="21" t="n">
        <v>241.384938</v>
      </c>
      <c r="BC550" s="21">
        <f>BA550/1000000-BB550</f>
        <v/>
      </c>
      <c r="BD550" s="22">
        <f>BA550*64.7</f>
        <v/>
      </c>
    </row>
    <row r="551">
      <c r="A551" s="10" t="n">
        <v>46173</v>
      </c>
      <c r="B551" s="11" t="n">
        <v>3652206114.610532</v>
      </c>
      <c r="C551" s="11" t="n">
        <v>558862289.4372498</v>
      </c>
      <c r="D551" s="11" t="n">
        <v>205989849</v>
      </c>
      <c r="E551" s="11" t="n"/>
      <c r="F551" s="24" t="n">
        <v>183208285.2361411</v>
      </c>
      <c r="G551" s="24" t="n">
        <v>5109995.590416125</v>
      </c>
      <c r="H551" s="24" t="n">
        <v>1592742.052535441</v>
      </c>
      <c r="I551" s="24" t="n">
        <v>180844777.827408</v>
      </c>
      <c r="J551" s="24" t="n">
        <v>6299623.101531579</v>
      </c>
      <c r="K551" s="24" t="n">
        <v>181806865.6292176</v>
      </c>
      <c r="L551" s="22">
        <f>SUM(F551:K551)</f>
        <v/>
      </c>
      <c r="M551" s="22">
        <f>Z551/(1-R551)</f>
        <v/>
      </c>
      <c r="N551" s="11" t="n">
        <v>34743.017675</v>
      </c>
      <c r="O551" s="11" t="n">
        <v>104538</v>
      </c>
      <c r="P551" s="11" t="n"/>
      <c r="Q551" s="22">
        <f>M551+N551+O551+P551</f>
        <v/>
      </c>
      <c r="R551" s="12" t="n">
        <v>0.01</v>
      </c>
      <c r="S551" s="22">
        <f>M551*R551</f>
        <v/>
      </c>
      <c r="T551" s="22">
        <f>N551*R551</f>
        <v/>
      </c>
      <c r="U551" s="22">
        <f>(O551-V551)*R551</f>
        <v/>
      </c>
      <c r="V551" s="11" t="n">
        <v>5003</v>
      </c>
      <c r="W551" s="11" t="n">
        <v>11793.090409</v>
      </c>
      <c r="X551" s="22">
        <f>S551+T551+U551+V551+W551</f>
        <v/>
      </c>
      <c r="Y551" s="11" t="n">
        <v>68708.9397</v>
      </c>
      <c r="Z551" s="22">
        <f>AE551-AB551-AA551-AC551</f>
        <v/>
      </c>
      <c r="AA551" s="22">
        <f>N551-T551-W551</f>
        <v/>
      </c>
      <c r="AB551" s="22">
        <f>O551-V551-U551</f>
        <v/>
      </c>
      <c r="AC551" s="22">
        <f>P551</f>
        <v/>
      </c>
      <c r="AD551" s="23">
        <f>Z551+AA551+AB551+AC551</f>
        <v/>
      </c>
      <c r="AE551" s="11" t="n">
        <v>1192802.41</v>
      </c>
      <c r="AF551" s="24">
        <f>AD551-AE551</f>
        <v/>
      </c>
      <c r="AG551" s="13">
        <f>IF(OR(B551="",B551=0,M551=""),"",M551/B551*10000)</f>
        <v/>
      </c>
      <c r="AH551" s="13">
        <f>IF(OR(C551="",C551=0),"",N551/C551*10000)</f>
        <v/>
      </c>
      <c r="AI551" s="13">
        <f>IF(OR(D551="",D551=0),"",O551/D551*10000)</f>
        <v/>
      </c>
      <c r="AJ551" s="11" t="n">
        <v>20325.05746513803</v>
      </c>
      <c r="AK551" s="11" t="n">
        <v>0</v>
      </c>
      <c r="AL551" s="22">
        <f>AE551+AJ551+AK551</f>
        <v/>
      </c>
      <c r="AM551" s="22">
        <f>AE551</f>
        <v/>
      </c>
      <c r="AN551" s="14" t="n">
        <v>17143.48</v>
      </c>
      <c r="AO551" s="15" t="n">
        <v>69.577612</v>
      </c>
      <c r="AP551" s="14" t="n">
        <v>44690872.86473923</v>
      </c>
      <c r="AQ551" s="14" t="n">
        <v>26470.6537</v>
      </c>
      <c r="AR551" s="14" t="n">
        <v>834.9552</v>
      </c>
      <c r="AS551" s="14" t="n"/>
      <c r="AT551" s="16" t="n">
        <v>431.1007442976487</v>
      </c>
      <c r="AU551" s="17" t="n">
        <v>0.0214779579</v>
      </c>
      <c r="AV551" s="14" t="n">
        <v>414428012.7011</v>
      </c>
      <c r="AW551" s="18" t="n">
        <v>60100000</v>
      </c>
      <c r="AX551" s="19" t="n">
        <v>44690872.86473923</v>
      </c>
      <c r="AY551" s="18" t="n">
        <v>3100000</v>
      </c>
      <c r="AZ551" s="18">
        <f>1000000000-999201196.7047</f>
        <v/>
      </c>
      <c r="BA551" s="20">
        <f>1000000000-AV551-AW551-AX551-AY551-AZ551</f>
        <v/>
      </c>
      <c r="BB551" s="21" t="n">
        <v>241.384938</v>
      </c>
      <c r="BC551" s="21">
        <f>BA551/1000000-BB551</f>
        <v/>
      </c>
      <c r="BD551" s="22">
        <f>BA551*68.75</f>
        <v/>
      </c>
    </row>
    <row r="552">
      <c r="A552" s="10" t="n">
        <v>46174</v>
      </c>
      <c r="B552" s="11" t="n">
        <v>7616049008.683197</v>
      </c>
      <c r="C552" s="11" t="n">
        <v>2834028059.327239</v>
      </c>
      <c r="D552" s="11" t="n">
        <v>339125993</v>
      </c>
      <c r="E552" s="11" t="n"/>
      <c r="F552" s="24" t="n">
        <v>1117978291.082471</v>
      </c>
      <c r="G552" s="24" t="n">
        <v>8410542.056258397</v>
      </c>
      <c r="H552" s="24" t="n">
        <v>4235299.970736225</v>
      </c>
      <c r="I552" s="24" t="n">
        <v>652040058.0298415</v>
      </c>
      <c r="J552" s="24" t="n">
        <v>27362533.84272313</v>
      </c>
      <c r="K552" s="24" t="n">
        <v>1024001334.345208</v>
      </c>
      <c r="L552" s="22">
        <f>SUM(F552:K552)</f>
        <v/>
      </c>
      <c r="M552" s="22">
        <f>Z552/(1-R552)</f>
        <v/>
      </c>
      <c r="N552" s="11" t="n">
        <v>145350.188386</v>
      </c>
      <c r="O552" s="11" t="n">
        <v>165253</v>
      </c>
      <c r="P552" s="11" t="n"/>
      <c r="Q552" s="22">
        <f>M552+N552+O552+P552</f>
        <v/>
      </c>
      <c r="R552" s="12" t="n">
        <v>0.01</v>
      </c>
      <c r="S552" s="22">
        <f>M552*R552</f>
        <v/>
      </c>
      <c r="T552" s="22">
        <f>N552*R552</f>
        <v/>
      </c>
      <c r="U552" s="22">
        <f>(O552-V552)*R552</f>
        <v/>
      </c>
      <c r="V552" s="11" t="n">
        <v>11039</v>
      </c>
      <c r="W552" s="11" t="n">
        <v>55660.337959</v>
      </c>
      <c r="X552" s="22">
        <f>S552+T552+U552+V552+W552</f>
        <v/>
      </c>
      <c r="Y552" s="11" t="n">
        <v>145138.6345</v>
      </c>
      <c r="Z552" s="22">
        <f>AE552-AB552-AA552-AC552</f>
        <v/>
      </c>
      <c r="AA552" s="22">
        <f>N552-T552-W552</f>
        <v/>
      </c>
      <c r="AB552" s="22">
        <f>O552-V552-U552</f>
        <v/>
      </c>
      <c r="AC552" s="22">
        <f>P552</f>
        <v/>
      </c>
      <c r="AD552" s="23">
        <f>Z552+AA552+AB552+AC552</f>
        <v/>
      </c>
      <c r="AE552" s="11" t="n">
        <v>2512562.06</v>
      </c>
      <c r="AF552" s="24">
        <f>AD552-AE552</f>
        <v/>
      </c>
      <c r="AG552" s="13">
        <f>IF(OR(B552="",B552=0,M552=""),"",M552/B552*10000)</f>
        <v/>
      </c>
      <c r="AH552" s="13">
        <f>IF(OR(C552="",C552=0),"",N552/C552*10000)</f>
        <v/>
      </c>
      <c r="AI552" s="13">
        <f>IF(OR(D552="",D552=0),"",O552/D552*10000)</f>
        <v/>
      </c>
      <c r="AJ552" s="11" t="n">
        <v>33471.19045748527</v>
      </c>
      <c r="AK552" s="11" t="n">
        <v>0</v>
      </c>
      <c r="AL552" s="22">
        <f>AE552+AJ552+AK552</f>
        <v/>
      </c>
      <c r="AM552" s="22">
        <f>AE552</f>
        <v/>
      </c>
      <c r="AN552" s="14" t="n">
        <v>34647.2</v>
      </c>
      <c r="AO552" s="15" t="n">
        <v>72.518474</v>
      </c>
      <c r="AP552" s="14" t="n">
        <v>44725505.09473923</v>
      </c>
      <c r="AQ552" s="14" t="n">
        <v>26638.9932</v>
      </c>
      <c r="AR552" s="14" t="n">
        <v>1036.4945</v>
      </c>
      <c r="AS552" s="14" t="n"/>
      <c r="AT552" s="16" t="n">
        <v>430.3984687802723</v>
      </c>
      <c r="AU552" s="17" t="n">
        <v>0.0214952709</v>
      </c>
      <c r="AV552" s="14" t="n">
        <v>414401373.7079</v>
      </c>
      <c r="AW552" s="18" t="n">
        <v>60100000</v>
      </c>
      <c r="AX552" s="19" t="n">
        <v>44725505.09473923</v>
      </c>
      <c r="AY552" s="18" t="n">
        <v>3100000</v>
      </c>
      <c r="AZ552" s="18">
        <f>1000000000-999200160.2102</f>
        <v/>
      </c>
      <c r="BA552" s="20">
        <f>1000000000-AV552-AW552-AX552-AY552-AZ552</f>
        <v/>
      </c>
      <c r="BB552" s="21" t="n">
        <v>241.384938</v>
      </c>
      <c r="BC552" s="21">
        <f>BA552/1000000-BB552</f>
        <v/>
      </c>
      <c r="BD552" s="22">
        <f>BA552*72.81</f>
        <v/>
      </c>
    </row>
    <row r="553">
      <c r="A553" s="10" t="n">
        <v>46175</v>
      </c>
      <c r="B553" s="11" t="n">
        <v>11521729680.04923</v>
      </c>
      <c r="C553" s="11" t="n">
        <v>2591705494.976436</v>
      </c>
      <c r="D553" s="11" t="n">
        <v>343198376</v>
      </c>
      <c r="E553" s="11" t="n"/>
      <c r="F553" s="24" t="n">
        <v>739234888.5192869</v>
      </c>
      <c r="G553" s="24" t="n">
        <v>13961768.29416298</v>
      </c>
      <c r="H553" s="24" t="n">
        <v>7421592.869110642</v>
      </c>
      <c r="I553" s="24" t="n">
        <v>648515539.1540422</v>
      </c>
      <c r="J553" s="24" t="n">
        <v>14601356.3637298</v>
      </c>
      <c r="K553" s="24" t="n">
        <v>1167970349.776103</v>
      </c>
      <c r="L553" s="22">
        <f>SUM(F553:K553)</f>
        <v/>
      </c>
      <c r="M553" s="22">
        <f>Z553/(1-R553)</f>
        <v/>
      </c>
      <c r="N553" s="11" t="n">
        <v>135858.548041</v>
      </c>
      <c r="O553" s="11" t="n">
        <v>173203</v>
      </c>
      <c r="P553" s="11" t="n"/>
      <c r="Q553" s="22">
        <f>M553+N553+O553+P553</f>
        <v/>
      </c>
      <c r="R553" s="12" t="n">
        <v>0.01</v>
      </c>
      <c r="S553" s="22">
        <f>M553*R553</f>
        <v/>
      </c>
      <c r="T553" s="22">
        <f>N553*R553</f>
        <v/>
      </c>
      <c r="U553" s="22">
        <f>(O553-V553)*R553</f>
        <v/>
      </c>
      <c r="V553" s="11" t="n">
        <v>22488</v>
      </c>
      <c r="W553" s="11" t="n">
        <v>50900.31516199999</v>
      </c>
      <c r="X553" s="22">
        <f>S553+T553+U553+V553+W553</f>
        <v/>
      </c>
      <c r="Y553" s="11" t="n">
        <v>203474.0709</v>
      </c>
      <c r="Z553" s="22">
        <f>AE553-AB553-AA553-AC553</f>
        <v/>
      </c>
      <c r="AA553" s="22">
        <f>N553-T553-W553</f>
        <v/>
      </c>
      <c r="AB553" s="22">
        <f>O553-V553-U553</f>
        <v/>
      </c>
      <c r="AC553" s="22">
        <f>P553</f>
        <v/>
      </c>
      <c r="AD553" s="23">
        <f>Z553+AA553+AB553+AC553</f>
        <v/>
      </c>
      <c r="AE553" s="11" t="n">
        <v>3522838.43</v>
      </c>
      <c r="AF553" s="24">
        <f>AD553-AE553</f>
        <v/>
      </c>
      <c r="AG553" s="13">
        <f>IF(OR(B553="",B553=0,M553=""),"",M553/B553*10000)</f>
        <v/>
      </c>
      <c r="AH553" s="13">
        <f>IF(OR(C553="",C553=0),"",N553/C553*10000)</f>
        <v/>
      </c>
      <c r="AI553" s="13">
        <f>IF(OR(D553="",D553=0),"",O553/D553*10000)</f>
        <v/>
      </c>
      <c r="AJ553" s="11" t="n">
        <v>39700.82586949387</v>
      </c>
      <c r="AK553" s="11" t="n">
        <v>0</v>
      </c>
      <c r="AL553" s="22">
        <f>AE553+AJ553+AK553</f>
        <v/>
      </c>
      <c r="AM553" s="22">
        <f>AE553</f>
        <v/>
      </c>
      <c r="AN553" s="14" t="n">
        <v>49220.21</v>
      </c>
      <c r="AO553" s="15" t="n">
        <v>71.573007</v>
      </c>
      <c r="AP553" s="14" t="n">
        <v>44774453.23473923</v>
      </c>
      <c r="AQ553" s="14" t="n">
        <v>26613.7818</v>
      </c>
      <c r="AR553" s="14" t="n">
        <v>2142.5263</v>
      </c>
      <c r="AS553" s="14" t="n"/>
      <c r="AT553" s="16" t="n">
        <v>429.8013833218643</v>
      </c>
      <c r="AU553" s="17" t="n">
        <v>0.0215100237</v>
      </c>
      <c r="AV553" s="14" t="n">
        <v>414374759.9261</v>
      </c>
      <c r="AW553" s="18" t="n">
        <v>60100000</v>
      </c>
      <c r="AX553" s="19" t="n">
        <v>44774453.23473923</v>
      </c>
      <c r="AY553" s="18" t="n">
        <v>3100000</v>
      </c>
      <c r="AZ553" s="18">
        <f>1000000000-999198017.6839</f>
        <v/>
      </c>
      <c r="BA553" s="20">
        <f>1000000000-AV553-AW553-AX553-AY553-AZ553</f>
        <v/>
      </c>
      <c r="BB553" s="21" t="n">
        <v>241.384938</v>
      </c>
      <c r="BC553" s="21">
        <f>BA553/1000000-BB553</f>
        <v/>
      </c>
      <c r="BD553" s="22">
        <f>BA553*74.29</f>
        <v/>
      </c>
    </row>
    <row r="554">
      <c r="A554" s="10" t="n">
        <v>46176</v>
      </c>
      <c r="B554" s="11" t="n">
        <v>9752670462.043615</v>
      </c>
      <c r="C554" s="11" t="n">
        <v>2848129306.034625</v>
      </c>
      <c r="D554" s="11" t="n">
        <v>342042619</v>
      </c>
      <c r="E554" s="11" t="n"/>
      <c r="F554" s="24" t="n">
        <v>781348229.5215336</v>
      </c>
      <c r="G554" s="24" t="n">
        <v>14395744.70078252</v>
      </c>
      <c r="H554" s="24" t="n">
        <v>4032825.846649154</v>
      </c>
      <c r="I554" s="24" t="n">
        <v>700201615.9439774</v>
      </c>
      <c r="J554" s="24" t="n">
        <v>53906562.65658908</v>
      </c>
      <c r="K554" s="24" t="n">
        <v>1294244327.365093</v>
      </c>
      <c r="L554" s="22">
        <f>SUM(F554:K554)</f>
        <v/>
      </c>
      <c r="M554" s="22">
        <f>Z554/(1-R554)</f>
        <v/>
      </c>
      <c r="N554" s="11" t="n">
        <v>143638.804454</v>
      </c>
      <c r="O554" s="11" t="n">
        <v>159553</v>
      </c>
      <c r="P554" s="11" t="n"/>
      <c r="Q554" s="22">
        <f>M554+N554+O554+P554</f>
        <v/>
      </c>
      <c r="R554" s="12" t="n">
        <v>0.01</v>
      </c>
      <c r="S554" s="22">
        <f>M554*R554</f>
        <v/>
      </c>
      <c r="T554" s="22">
        <f>N554*R554</f>
        <v/>
      </c>
      <c r="U554" s="22">
        <f>(O554-V554)*R554</f>
        <v/>
      </c>
      <c r="V554" s="11" t="n">
        <v>21839</v>
      </c>
      <c r="W554" s="11" t="n">
        <v>52571.67245100002</v>
      </c>
      <c r="X554" s="22">
        <f>S554+T554+U554+V554+W554</f>
        <v/>
      </c>
      <c r="Y554" s="11" t="n">
        <v>173449.3953</v>
      </c>
      <c r="Z554" s="22">
        <f>AE554-AB554-AA554-AC554</f>
        <v/>
      </c>
      <c r="AA554" s="22">
        <f>N554-T554-W554</f>
        <v/>
      </c>
      <c r="AB554" s="22">
        <f>O554-V554-U554</f>
        <v/>
      </c>
      <c r="AC554" s="22">
        <f>P554</f>
        <v/>
      </c>
      <c r="AD554" s="23">
        <f>Z554+AA554+AB554+AC554</f>
        <v/>
      </c>
      <c r="AE554" s="11" t="n">
        <v>3079290.68</v>
      </c>
      <c r="AF554" s="24">
        <f>AD554-AE554</f>
        <v/>
      </c>
      <c r="AG554" s="13">
        <f>IF(OR(B554="",B554=0,M554=""),"",M554/B554*10000)</f>
        <v/>
      </c>
      <c r="AH554" s="13">
        <f>IF(OR(C554="",C554=0),"",N554/C554*10000)</f>
        <v/>
      </c>
      <c r="AI554" s="13">
        <f>IF(OR(D554="",D554=0),"",O554/D554*10000)</f>
        <v/>
      </c>
      <c r="AJ554" s="11" t="n">
        <v>33902.0377767684</v>
      </c>
      <c r="AK554" s="11" t="n">
        <v>0</v>
      </c>
      <c r="AL554" s="22">
        <f>AE554+AJ554+AK554</f>
        <v/>
      </c>
      <c r="AM554" s="22">
        <f>AE554</f>
        <v/>
      </c>
      <c r="AN554" s="14" t="n">
        <v>42474.53</v>
      </c>
      <c r="AO554" s="15" t="n">
        <v>72.49734599999999</v>
      </c>
      <c r="AP554" s="14" t="n">
        <v>44818417.39473923</v>
      </c>
      <c r="AQ554" s="14" t="n">
        <v>26612.7415</v>
      </c>
      <c r="AR554" s="14" t="n">
        <v>1590.4883</v>
      </c>
      <c r="AS554" s="14" t="n"/>
      <c r="AT554" s="16" t="n">
        <v>430.5641378666483</v>
      </c>
      <c r="AU554" s="17" t="n">
        <v>0.0214911829</v>
      </c>
      <c r="AV554" s="14" t="n">
        <v>414348147.1846</v>
      </c>
      <c r="AW554" s="18" t="n">
        <v>60100000</v>
      </c>
      <c r="AX554" s="19" t="n">
        <v>44818417.39473923</v>
      </c>
      <c r="AY554" s="18" t="n">
        <v>3100000</v>
      </c>
      <c r="AZ554" s="18">
        <f>1000000000-999196427.1956</f>
        <v/>
      </c>
      <c r="BA554" s="20">
        <f>1000000000-AV554-AW554-AX554-AY554-AZ554</f>
        <v/>
      </c>
      <c r="BB554" s="21" t="n">
        <v>241.384938</v>
      </c>
      <c r="BC554" s="21">
        <f>BA554/1000000-BB554</f>
        <v/>
      </c>
      <c r="BD554" s="22">
        <f>BA554*70.38</f>
        <v/>
      </c>
    </row>
    <row r="555">
      <c r="A555" s="10" t="n">
        <v>46177</v>
      </c>
      <c r="B555" s="11" t="n">
        <v>14637437556.88562</v>
      </c>
      <c r="C555" s="11" t="n">
        <v>364818099.2227432</v>
      </c>
      <c r="D555" s="11" t="n"/>
      <c r="E555" s="11" t="n">
        <v>539615.54699304</v>
      </c>
      <c r="F555" s="24" t="n">
        <v>97604291.93821053</v>
      </c>
      <c r="G555" s="24" t="n">
        <v>2021202.070511888</v>
      </c>
      <c r="H555" s="24" t="n">
        <v>539129.4456886363</v>
      </c>
      <c r="I555" s="24" t="n">
        <v>102428116.0168523</v>
      </c>
      <c r="J555" s="24" t="n">
        <v>2774448.666799654</v>
      </c>
      <c r="K555" s="24" t="n">
        <v>159450911.0846801</v>
      </c>
      <c r="L555" s="22">
        <f>SUM(F555:K555)</f>
        <v/>
      </c>
      <c r="N555" s="11" t="n">
        <v>21883.68619</v>
      </c>
      <c r="O555" s="11" t="n"/>
      <c r="P555" s="11" t="n">
        <v>6.417849230400201</v>
      </c>
      <c r="R555" s="12" t="n">
        <v>0.01</v>
      </c>
      <c r="V555" s="11" t="n"/>
      <c r="W555" s="11" t="n">
        <v>8826.478717999998</v>
      </c>
      <c r="Y555" s="11" t="n">
        <v>64390.9612</v>
      </c>
      <c r="AE555" s="11" t="n"/>
      <c r="AG555" s="13">
        <f>IF(OR(B555="",B555=0,M555=""),"",M555/B555*10000)</f>
        <v/>
      </c>
      <c r="AH555" s="13">
        <f>IF(OR(C555="",C555=0),"",N555/C555*10000)</f>
        <v/>
      </c>
      <c r="AI555" s="13">
        <f>IF(OR(D555="",D555=0),"",O555/D555*10000)</f>
        <v/>
      </c>
      <c r="AJ555" s="11" t="n"/>
      <c r="AK555" s="11" t="n"/>
      <c r="AN555" s="14" t="n"/>
      <c r="AO555" s="15" t="n"/>
      <c r="AP555" s="14" t="n"/>
      <c r="AQ555" s="14" t="n">
        <v>26648.9459</v>
      </c>
      <c r="AR555" s="14" t="n">
        <v>2230.199</v>
      </c>
      <c r="AS555" s="14" t="n"/>
      <c r="AT555" s="16" t="n">
        <v>431.8288091984043</v>
      </c>
      <c r="AU555" s="17" t="n">
        <v>0.0214600535</v>
      </c>
    </row>
  </sheetData>
  <autoFilter ref="A3:BD555"/>
  <mergeCells count="10">
    <mergeCell ref="AM2:AU2"/>
    <mergeCell ref="AG2:AI2"/>
    <mergeCell ref="AJ2:AL2"/>
    <mergeCell ref="M2:Q2"/>
    <mergeCell ref="AV2:BD2"/>
    <mergeCell ref="R2:Y2"/>
    <mergeCell ref="F2:L2"/>
    <mergeCell ref="B2:E2"/>
    <mergeCell ref="Z2:AF2"/>
    <mergeCell ref="A1:BD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10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</cols>
  <sheetData>
    <row r="1" ht="24" customHeight="1">
      <c r="A1" s="1" t="inlineStr">
        <is>
          <t>HYPERLIQUID (HYPE) — QUARTERLY MODEL.  Same columns as Daily.  Flows summed (SUMIFS); stocks/rates at period-end; OTS at quarter-end.</t>
        </is>
      </c>
    </row>
    <row r="2" ht="14" customHeight="1">
      <c r="D2" s="2" t="inlineStr">
        <is>
          <t>VOLUME ($)</t>
        </is>
      </c>
      <c r="H2" s="3" t="inlineStr">
        <is>
          <t>HIP-3 VOLUME BY CATEGORY ($)</t>
        </is>
      </c>
      <c r="O2" s="4" t="inlineStr">
        <is>
          <t>GROSS FEES ($)  [user-paid]</t>
        </is>
      </c>
      <c r="T2" s="5" t="inlineStr">
        <is>
          <t>FEE → REVENUE BRIDGE  [deductions, $]</t>
        </is>
      </c>
      <c r="AB2" s="6" t="inlineStr">
        <is>
          <t>REVENUE TO HYPERCORE ($)</t>
        </is>
      </c>
      <c r="AI2" s="5" t="inlineStr">
        <is>
          <t>IMPLIED TAKE-RATE (bps)</t>
        </is>
      </c>
      <c r="AL2" s="7" t="inlineStr">
        <is>
          <t>OTHER REVENUE ($)</t>
        </is>
      </c>
      <c r="AO2" s="2" t="inlineStr">
        <is>
          <t>ASSISTANCE FUND &amp; SUPPLY</t>
        </is>
      </c>
      <c r="AX2" s="3" t="inlineStr">
        <is>
          <t>OTS (Hyperliquid Strategies basis)</t>
        </is>
      </c>
    </row>
    <row r="3" ht="62" customHeight="1">
      <c r="A3" s="8" t="inlineStr">
        <is>
          <t>Quarter</t>
        </is>
      </c>
      <c r="B3" s="8" t="inlineStr">
        <is>
          <t>Start</t>
        </is>
      </c>
      <c r="C3" s="8" t="inlineStr">
        <is>
          <t>End</t>
        </is>
      </c>
      <c r="D3" s="9" t="inlineStr">
        <is>
          <t>Core Crypto Perp Vol ($)</t>
        </is>
      </c>
      <c r="E3" s="9" t="inlineStr">
        <is>
          <t>HIP-3 Perp Vol ($)</t>
        </is>
      </c>
      <c r="F3" s="9" t="inlineStr">
        <is>
          <t>Spot Vol ($)</t>
        </is>
      </c>
      <c r="G3" s="9" t="inlineStr">
        <is>
          <t>HIP-4 Vol ($)</t>
        </is>
      </c>
      <c r="H3" s="9" t="inlineStr">
        <is>
          <t>HIP-3 Commodities ($)</t>
        </is>
      </c>
      <c r="I3" s="9" t="inlineStr">
        <is>
          <t>HIP-3 Crypto ($)</t>
        </is>
      </c>
      <c r="J3" s="9" t="inlineStr">
        <is>
          <t>HIP-3 FX ($)</t>
        </is>
      </c>
      <c r="K3" s="9" t="inlineStr">
        <is>
          <t>HIP-3 Indices ($)</t>
        </is>
      </c>
      <c r="L3" s="9" t="inlineStr">
        <is>
          <t>HIP-3 Pre-IPO ($)</t>
        </is>
      </c>
      <c r="M3" s="9" t="inlineStr">
        <is>
          <t>HIP-3 Stocks ($)</t>
        </is>
      </c>
      <c r="N3" s="9" t="inlineStr">
        <is>
          <t>HIP-3 Cat Total ($)</t>
        </is>
      </c>
      <c r="O3" s="9" t="inlineStr">
        <is>
          <t>Core Crypto Perp Fees ($)</t>
        </is>
      </c>
      <c r="P3" s="9" t="inlineStr">
        <is>
          <t>HIP-3 Gross Fees ($)</t>
        </is>
      </c>
      <c r="Q3" s="9" t="inlineStr">
        <is>
          <t>Spot Fees incl Unit ($)</t>
        </is>
      </c>
      <c r="R3" s="9" t="inlineStr">
        <is>
          <t>HIP-4 Fees ($)</t>
        </is>
      </c>
      <c r="S3" s="9" t="inlineStr">
        <is>
          <t>Total Gross Fees ($)</t>
        </is>
      </c>
      <c r="T3" s="9" t="inlineStr">
        <is>
          <t>HLP Rate</t>
        </is>
      </c>
      <c r="U3" s="9" t="inlineStr">
        <is>
          <t>(-) HLP on Core Perp ($)</t>
        </is>
      </c>
      <c r="V3" s="9" t="inlineStr">
        <is>
          <t>(-) HLP on HIP-3 ($)</t>
        </is>
      </c>
      <c r="W3" s="9" t="inlineStr">
        <is>
          <t>(-) HLP on Spot ($)</t>
        </is>
      </c>
      <c r="X3" s="9" t="inlineStr">
        <is>
          <t>(-) Unit Protocol Fees ($)</t>
        </is>
      </c>
      <c r="Y3" s="9" t="inlineStr">
        <is>
          <t>(-) HIP-3 Deployer Fees ($)</t>
        </is>
      </c>
      <c r="Z3" s="9" t="inlineStr">
        <is>
          <t>Total Deductions ($)</t>
        </is>
      </c>
      <c r="AA3" s="9" t="inlineStr">
        <is>
          <t>Builder Code Fees [on-top, not deducted] ($)</t>
        </is>
      </c>
      <c r="AB3" s="9" t="inlineStr">
        <is>
          <t>Core Crypto Perp Revenue ($)</t>
        </is>
      </c>
      <c r="AC3" s="9" t="inlineStr">
        <is>
          <t>HIP-3 Revenue ($)</t>
        </is>
      </c>
      <c r="AD3" s="9" t="inlineStr">
        <is>
          <t>Spot Revenue ($)</t>
        </is>
      </c>
      <c r="AE3" s="9" t="inlineStr">
        <is>
          <t>HIP-4 Revenue ($)</t>
        </is>
      </c>
      <c r="AF3" s="9">
        <f> HyperCore Revenue (model) ($)</f>
        <v/>
      </c>
      <c r="AG3" s="9" t="inlineStr">
        <is>
          <t>HyperCore Revenue [hyperscreener] ($)</t>
        </is>
      </c>
      <c r="AH3" s="9" t="inlineStr">
        <is>
          <t>Check: model - hyperscreener ($)</t>
        </is>
      </c>
      <c r="AI3" s="9" t="inlineStr">
        <is>
          <t>Core Perp Take-Rate (bps)</t>
        </is>
      </c>
      <c r="AJ3" s="9" t="inlineStr">
        <is>
          <t>HIP-3 Take-Rate (bps)</t>
        </is>
      </c>
      <c r="AK3" s="9" t="inlineStr">
        <is>
          <t>Spot Take-Rate (bps)</t>
        </is>
      </c>
      <c r="AL3" s="9" t="inlineStr">
        <is>
          <t>HyperEVM Burn ($)</t>
        </is>
      </c>
      <c r="AM3" s="9" t="inlineStr">
        <is>
          <t>Auction Burn ($)</t>
        </is>
      </c>
      <c r="AN3" s="9" t="inlineStr">
        <is>
          <t>Total Revenue ($)</t>
        </is>
      </c>
      <c r="AO3" s="9" t="inlineStr">
        <is>
          <t>Revenue -&gt; AF ($)</t>
        </is>
      </c>
      <c r="AP3" s="9" t="inlineStr">
        <is>
          <t>Buyback HYPE</t>
        </is>
      </c>
      <c r="AQ3" s="9" t="inlineStr">
        <is>
          <t>Buyback Avg Price ($)</t>
        </is>
      </c>
      <c r="AR3" s="9" t="inlineStr">
        <is>
          <t>AF HYPE Balance</t>
        </is>
      </c>
      <c r="AS3" s="9" t="inlineStr">
        <is>
          <t>Staking Emissions (HYPE)</t>
        </is>
      </c>
      <c r="AT3" s="9" t="inlineStr">
        <is>
          <t>Fee Burn (HYPE)</t>
        </is>
      </c>
      <c r="AU3" s="9" t="inlineStr">
        <is>
          <t>Team Tokens Unlocked (HYPE)</t>
        </is>
      </c>
      <c r="AV3" s="9" t="inlineStr">
        <is>
          <t>HYPE Staked (M)</t>
        </is>
      </c>
      <c r="AW3" s="9" t="inlineStr">
        <is>
          <t>Implied Staking Yield</t>
        </is>
      </c>
      <c r="AX3" s="9" t="inlineStr">
        <is>
          <t>(-) Future Emissions &amp; CR (HYPE)</t>
        </is>
      </c>
      <c r="AY3" s="9" t="inlineStr">
        <is>
          <t>(-) Hyper Foundation (HYPE)</t>
        </is>
      </c>
      <c r="AZ3" s="9" t="inlineStr">
        <is>
          <t>(-) Assistance Fund (HYPE)</t>
        </is>
      </c>
      <c r="BA3" s="9" t="inlineStr">
        <is>
          <t>(-) Community Grants (HYPE)</t>
        </is>
      </c>
      <c r="BB3" s="9" t="inlineStr">
        <is>
          <t>(-) HC&amp;EVM Fee Burns (HYPE)</t>
        </is>
      </c>
      <c r="BC3" s="9">
        <f> OTS (HYPE)</f>
        <v/>
      </c>
      <c r="BD3" s="9" t="inlineStr">
        <is>
          <t>Core Contributors Locked (M)</t>
        </is>
      </c>
      <c r="BE3" s="9" t="inlineStr">
        <is>
          <t>Circulating Token Supply (M)</t>
        </is>
      </c>
      <c r="BF3" s="9" t="inlineStr">
        <is>
          <t>OTS Value ($)</t>
        </is>
      </c>
    </row>
    <row r="4">
      <c r="A4" s="25" t="inlineStr">
        <is>
          <t>Q4 2024 (Nov-Dec)</t>
        </is>
      </c>
      <c r="B4" s="26" t="n">
        <v>45626</v>
      </c>
      <c r="C4" s="26" t="n">
        <v>45657</v>
      </c>
      <c r="D4" s="22">
        <f>SUMIFS('Daily Model'!$B$4:$B$555,'Daily Model'!$A$4:$A$555,"&gt;="&amp;$B4,'Daily Model'!$A$4:$A$555,"&lt;="&amp;$C4)</f>
        <v/>
      </c>
      <c r="E4" s="22">
        <f>SUMIFS('Daily Model'!$C$4:$C$555,'Daily Model'!$A$4:$A$555,"&gt;="&amp;$B4,'Daily Model'!$A$4:$A$555,"&lt;="&amp;$C4)</f>
        <v/>
      </c>
      <c r="F4" s="22">
        <f>SUMIFS('Daily Model'!$D$4:$D$555,'Daily Model'!$A$4:$A$555,"&gt;="&amp;$B4,'Daily Model'!$A$4:$A$555,"&lt;="&amp;$C4)</f>
        <v/>
      </c>
      <c r="G4" s="22">
        <f>SUMIFS('Daily Model'!$E$4:$E$555,'Daily Model'!$A$4:$A$555,"&gt;="&amp;$B4,'Daily Model'!$A$4:$A$555,"&lt;="&amp;$C4)</f>
        <v/>
      </c>
      <c r="H4" s="22">
        <f>SUMIFS('Daily Model'!$F$4:$F$555,'Daily Model'!$A$4:$A$555,"&gt;="&amp;$B4,'Daily Model'!$A$4:$A$555,"&lt;="&amp;$C4)</f>
        <v/>
      </c>
      <c r="I4" s="22">
        <f>SUMIFS('Daily Model'!$G$4:$G$555,'Daily Model'!$A$4:$A$555,"&gt;="&amp;$B4,'Daily Model'!$A$4:$A$555,"&lt;="&amp;$C4)</f>
        <v/>
      </c>
      <c r="J4" s="22">
        <f>SUMIFS('Daily Model'!$H$4:$H$555,'Daily Model'!$A$4:$A$555,"&gt;="&amp;$B4,'Daily Model'!$A$4:$A$555,"&lt;="&amp;$C4)</f>
        <v/>
      </c>
      <c r="K4" s="22">
        <f>SUMIFS('Daily Model'!$I$4:$I$555,'Daily Model'!$A$4:$A$555,"&gt;="&amp;$B4,'Daily Model'!$A$4:$A$555,"&lt;="&amp;$C4)</f>
        <v/>
      </c>
      <c r="L4" s="22">
        <f>SUMIFS('Daily Model'!$J$4:$J$555,'Daily Model'!$A$4:$A$555,"&gt;="&amp;$B4,'Daily Model'!$A$4:$A$555,"&lt;="&amp;$C4)</f>
        <v/>
      </c>
      <c r="M4" s="22">
        <f>SUMIFS('Daily Model'!$K$4:$K$555,'Daily Model'!$A$4:$A$555,"&gt;="&amp;$B4,'Daily Model'!$A$4:$A$555,"&lt;="&amp;$C4)</f>
        <v/>
      </c>
      <c r="N4" s="22">
        <f>SUMIFS('Daily Model'!$L$4:$L$555,'Daily Model'!$A$4:$A$555,"&gt;="&amp;$B4,'Daily Model'!$A$4:$A$555,"&lt;="&amp;$C4)</f>
        <v/>
      </c>
      <c r="O4" s="22">
        <f>SUMIFS('Daily Model'!$M$4:$M$555,'Daily Model'!$A$4:$A$555,"&gt;="&amp;$B4,'Daily Model'!$A$4:$A$555,"&lt;="&amp;$C4)</f>
        <v/>
      </c>
      <c r="P4" s="22">
        <f>SUMIFS('Daily Model'!$N$4:$N$555,'Daily Model'!$A$4:$A$555,"&gt;="&amp;$B4,'Daily Model'!$A$4:$A$555,"&lt;="&amp;$C4)</f>
        <v/>
      </c>
      <c r="Q4" s="22">
        <f>SUMIFS('Daily Model'!$O$4:$O$555,'Daily Model'!$A$4:$A$555,"&gt;="&amp;$B4,'Daily Model'!$A$4:$A$555,"&lt;="&amp;$C4)</f>
        <v/>
      </c>
      <c r="R4" s="22">
        <f>SUMIFS('Daily Model'!$P$4:$P$555,'Daily Model'!$A$4:$A$555,"&gt;="&amp;$B4,'Daily Model'!$A$4:$A$555,"&lt;="&amp;$C4)</f>
        <v/>
      </c>
      <c r="S4" s="22">
        <f>SUMIFS('Daily Model'!$Q$4:$Q$555,'Daily Model'!$A$4:$A$555,"&gt;="&amp;$B4,'Daily Model'!$A$4:$A$555,"&lt;="&amp;$C4)</f>
        <v/>
      </c>
      <c r="T4" s="12" t="n"/>
      <c r="U4" s="22">
        <f>SUMIFS('Daily Model'!$S$4:$S$555,'Daily Model'!$A$4:$A$555,"&gt;="&amp;$B4,'Daily Model'!$A$4:$A$555,"&lt;="&amp;$C4)</f>
        <v/>
      </c>
      <c r="V4" s="22">
        <f>SUMIFS('Daily Model'!$T$4:$T$555,'Daily Model'!$A$4:$A$555,"&gt;="&amp;$B4,'Daily Model'!$A$4:$A$555,"&lt;="&amp;$C4)</f>
        <v/>
      </c>
      <c r="W4" s="22">
        <f>SUMIFS('Daily Model'!$U$4:$U$555,'Daily Model'!$A$4:$A$555,"&gt;="&amp;$B4,'Daily Model'!$A$4:$A$555,"&lt;="&amp;$C4)</f>
        <v/>
      </c>
      <c r="X4" s="22">
        <f>SUMIFS('Daily Model'!$V$4:$V$555,'Daily Model'!$A$4:$A$555,"&gt;="&amp;$B4,'Daily Model'!$A$4:$A$555,"&lt;="&amp;$C4)</f>
        <v/>
      </c>
      <c r="Y4" s="22">
        <f>SUMIFS('Daily Model'!$W$4:$W$555,'Daily Model'!$A$4:$A$555,"&gt;="&amp;$B4,'Daily Model'!$A$4:$A$555,"&lt;="&amp;$C4)</f>
        <v/>
      </c>
      <c r="Z4" s="22">
        <f>SUMIFS('Daily Model'!$X$4:$X$555,'Daily Model'!$A$4:$A$555,"&gt;="&amp;$B4,'Daily Model'!$A$4:$A$555,"&lt;="&amp;$C4)</f>
        <v/>
      </c>
      <c r="AA4" s="22">
        <f>SUMIFS('Daily Model'!$Y$4:$Y$555,'Daily Model'!$A$4:$A$555,"&gt;="&amp;$B4,'Daily Model'!$A$4:$A$555,"&lt;="&amp;$C4)</f>
        <v/>
      </c>
      <c r="AB4" s="22">
        <f>SUMIFS('Daily Model'!$Z$4:$Z$555,'Daily Model'!$A$4:$A$555,"&gt;="&amp;$B4,'Daily Model'!$A$4:$A$555,"&lt;="&amp;$C4)</f>
        <v/>
      </c>
      <c r="AC4" s="22">
        <f>SUMIFS('Daily Model'!$AA$4:$AA$555,'Daily Model'!$A$4:$A$555,"&gt;="&amp;$B4,'Daily Model'!$A$4:$A$555,"&lt;="&amp;$C4)</f>
        <v/>
      </c>
      <c r="AD4" s="22">
        <f>SUMIFS('Daily Model'!$AB$4:$AB$555,'Daily Model'!$A$4:$A$555,"&gt;="&amp;$B4,'Daily Model'!$A$4:$A$555,"&lt;="&amp;$C4)</f>
        <v/>
      </c>
      <c r="AE4" s="22">
        <f>SUMIFS('Daily Model'!$AC$4:$AC$555,'Daily Model'!$A$4:$A$555,"&gt;="&amp;$B4,'Daily Model'!$A$4:$A$555,"&lt;="&amp;$C4)</f>
        <v/>
      </c>
      <c r="AF4" s="22">
        <f>SUMIFS('Daily Model'!$AD$4:$AD$555,'Daily Model'!$A$4:$A$555,"&gt;="&amp;$B4,'Daily Model'!$A$4:$A$555,"&lt;="&amp;$C4)</f>
        <v/>
      </c>
      <c r="AG4" s="22">
        <f>SUMIFS('Daily Model'!$AE$4:$AE$555,'Daily Model'!$A$4:$A$555,"&gt;="&amp;$B4,'Daily Model'!$A$4:$A$555,"&lt;="&amp;$C4)</f>
        <v/>
      </c>
      <c r="AH4" s="24">
        <f>AF4-AG4</f>
        <v/>
      </c>
      <c r="AI4" s="13">
        <f>IF(D4=0,"",O4/D4*10000)</f>
        <v/>
      </c>
      <c r="AJ4" s="13">
        <f>IF(E4=0,"",P4/E4*10000)</f>
        <v/>
      </c>
      <c r="AK4" s="13">
        <f>IF(F4=0,"",Q4/F4*10000)</f>
        <v/>
      </c>
      <c r="AL4" s="22">
        <f>SUMIFS('Daily Model'!$AJ$4:$AJ$555,'Daily Model'!$A$4:$A$555,"&gt;="&amp;$B4,'Daily Model'!$A$4:$A$555,"&lt;="&amp;$C4)</f>
        <v/>
      </c>
      <c r="AM4" s="22">
        <f>SUMIFS('Daily Model'!$AK$4:$AK$555,'Daily Model'!$A$4:$A$555,"&gt;="&amp;$B4,'Daily Model'!$A$4:$A$555,"&lt;="&amp;$C4)</f>
        <v/>
      </c>
      <c r="AN4" s="22">
        <f>SUMIFS('Daily Model'!$AL$4:$AL$555,'Daily Model'!$A$4:$A$555,"&gt;="&amp;$B4,'Daily Model'!$A$4:$A$555,"&lt;="&amp;$C4)</f>
        <v/>
      </c>
      <c r="AO4" s="22">
        <f>SUMIFS('Daily Model'!$AM$4:$AM$555,'Daily Model'!$A$4:$A$555,"&gt;="&amp;$B4,'Daily Model'!$A$4:$A$555,"&lt;="&amp;$C4)</f>
        <v/>
      </c>
      <c r="AP4" s="18">
        <f>SUMIFS('Daily Model'!$AN$4:$AN$555,'Daily Model'!$A$4:$A$555,"&gt;="&amp;$B4,'Daily Model'!$A$4:$A$555,"&lt;="&amp;$C4)</f>
        <v/>
      </c>
      <c r="AQ4" s="27">
        <f>IF(AP4=0,"",AO4/AP4)</f>
        <v/>
      </c>
      <c r="AR4" s="18" t="n">
        <v>11670797.46</v>
      </c>
      <c r="AS4" s="18">
        <f>SUMIFS('Daily Model'!$AQ$4:$AQ$555,'Daily Model'!$A$4:$A$555,"&gt;="&amp;$B4,'Daily Model'!$A$4:$A$555,"&lt;="&amp;$C4)</f>
        <v/>
      </c>
      <c r="AT4" s="18">
        <f>SUMIFS('Daily Model'!$AR$4:$AR$555,'Daily Model'!$A$4:$A$555,"&gt;="&amp;$B4,'Daily Model'!$A$4:$A$555,"&lt;="&amp;$C4)</f>
        <v/>
      </c>
      <c r="AU4" s="18">
        <f>SUMIFS('Daily Model'!$AS$4:$AS$555,'Daily Model'!$A$4:$A$555,"&gt;="&amp;$B4,'Daily Model'!$A$4:$A$555,"&lt;="&amp;$C4)</f>
        <v/>
      </c>
      <c r="AV4" s="21" t="n">
        <v>352.7986</v>
      </c>
      <c r="AW4" s="12" t="n">
        <v>0.0233</v>
      </c>
      <c r="AX4" s="18" t="n">
        <v>428004781.7919</v>
      </c>
      <c r="AY4" s="18" t="n">
        <v>60100000</v>
      </c>
      <c r="AZ4" s="18" t="n">
        <v>11670797.46</v>
      </c>
      <c r="BA4" s="18" t="n">
        <v>3100000</v>
      </c>
      <c r="BB4" s="18" t="n">
        <v>110094.6672</v>
      </c>
      <c r="BC4" s="20" t="n">
        <v>497014326.0809</v>
      </c>
      <c r="BD4" s="21" t="n">
        <v>244.9</v>
      </c>
      <c r="BE4" s="21" t="n">
        <v>252.1143</v>
      </c>
      <c r="BF4" s="22" t="n">
        <v>13394536087.8803</v>
      </c>
    </row>
    <row r="5">
      <c r="A5" s="25" t="inlineStr">
        <is>
          <t>Q1 2025</t>
        </is>
      </c>
      <c r="B5" s="26" t="n">
        <v>45658</v>
      </c>
      <c r="C5" s="26" t="n">
        <v>45747</v>
      </c>
      <c r="D5" s="22">
        <f>SUMIFS('Daily Model'!$B$4:$B$555,'Daily Model'!$A$4:$A$555,"&gt;="&amp;$B5,'Daily Model'!$A$4:$A$555,"&lt;="&amp;$C5)</f>
        <v/>
      </c>
      <c r="E5" s="22">
        <f>SUMIFS('Daily Model'!$C$4:$C$555,'Daily Model'!$A$4:$A$555,"&gt;="&amp;$B5,'Daily Model'!$A$4:$A$555,"&lt;="&amp;$C5)</f>
        <v/>
      </c>
      <c r="F5" s="22">
        <f>SUMIFS('Daily Model'!$D$4:$D$555,'Daily Model'!$A$4:$A$555,"&gt;="&amp;$B5,'Daily Model'!$A$4:$A$555,"&lt;="&amp;$C5)</f>
        <v/>
      </c>
      <c r="G5" s="22">
        <f>SUMIFS('Daily Model'!$E$4:$E$555,'Daily Model'!$A$4:$A$555,"&gt;="&amp;$B5,'Daily Model'!$A$4:$A$555,"&lt;="&amp;$C5)</f>
        <v/>
      </c>
      <c r="H5" s="22">
        <f>SUMIFS('Daily Model'!$F$4:$F$555,'Daily Model'!$A$4:$A$555,"&gt;="&amp;$B5,'Daily Model'!$A$4:$A$555,"&lt;="&amp;$C5)</f>
        <v/>
      </c>
      <c r="I5" s="22">
        <f>SUMIFS('Daily Model'!$G$4:$G$555,'Daily Model'!$A$4:$A$555,"&gt;="&amp;$B5,'Daily Model'!$A$4:$A$555,"&lt;="&amp;$C5)</f>
        <v/>
      </c>
      <c r="J5" s="22">
        <f>SUMIFS('Daily Model'!$H$4:$H$555,'Daily Model'!$A$4:$A$555,"&gt;="&amp;$B5,'Daily Model'!$A$4:$A$555,"&lt;="&amp;$C5)</f>
        <v/>
      </c>
      <c r="K5" s="22">
        <f>SUMIFS('Daily Model'!$I$4:$I$555,'Daily Model'!$A$4:$A$555,"&gt;="&amp;$B5,'Daily Model'!$A$4:$A$555,"&lt;="&amp;$C5)</f>
        <v/>
      </c>
      <c r="L5" s="22">
        <f>SUMIFS('Daily Model'!$J$4:$J$555,'Daily Model'!$A$4:$A$555,"&gt;="&amp;$B5,'Daily Model'!$A$4:$A$555,"&lt;="&amp;$C5)</f>
        <v/>
      </c>
      <c r="M5" s="22">
        <f>SUMIFS('Daily Model'!$K$4:$K$555,'Daily Model'!$A$4:$A$555,"&gt;="&amp;$B5,'Daily Model'!$A$4:$A$555,"&lt;="&amp;$C5)</f>
        <v/>
      </c>
      <c r="N5" s="22">
        <f>SUMIFS('Daily Model'!$L$4:$L$555,'Daily Model'!$A$4:$A$555,"&gt;="&amp;$B5,'Daily Model'!$A$4:$A$555,"&lt;="&amp;$C5)</f>
        <v/>
      </c>
      <c r="O5" s="22">
        <f>SUMIFS('Daily Model'!$M$4:$M$555,'Daily Model'!$A$4:$A$555,"&gt;="&amp;$B5,'Daily Model'!$A$4:$A$555,"&lt;="&amp;$C5)</f>
        <v/>
      </c>
      <c r="P5" s="22">
        <f>SUMIFS('Daily Model'!$N$4:$N$555,'Daily Model'!$A$4:$A$555,"&gt;="&amp;$B5,'Daily Model'!$A$4:$A$555,"&lt;="&amp;$C5)</f>
        <v/>
      </c>
      <c r="Q5" s="22">
        <f>SUMIFS('Daily Model'!$O$4:$O$555,'Daily Model'!$A$4:$A$555,"&gt;="&amp;$B5,'Daily Model'!$A$4:$A$555,"&lt;="&amp;$C5)</f>
        <v/>
      </c>
      <c r="R5" s="22">
        <f>SUMIFS('Daily Model'!$P$4:$P$555,'Daily Model'!$A$4:$A$555,"&gt;="&amp;$B5,'Daily Model'!$A$4:$A$555,"&lt;="&amp;$C5)</f>
        <v/>
      </c>
      <c r="S5" s="22">
        <f>SUMIFS('Daily Model'!$Q$4:$Q$555,'Daily Model'!$A$4:$A$555,"&gt;="&amp;$B5,'Daily Model'!$A$4:$A$555,"&lt;="&amp;$C5)</f>
        <v/>
      </c>
      <c r="T5" s="12" t="n"/>
      <c r="U5" s="22">
        <f>SUMIFS('Daily Model'!$S$4:$S$555,'Daily Model'!$A$4:$A$555,"&gt;="&amp;$B5,'Daily Model'!$A$4:$A$555,"&lt;="&amp;$C5)</f>
        <v/>
      </c>
      <c r="V5" s="22">
        <f>SUMIFS('Daily Model'!$T$4:$T$555,'Daily Model'!$A$4:$A$555,"&gt;="&amp;$B5,'Daily Model'!$A$4:$A$555,"&lt;="&amp;$C5)</f>
        <v/>
      </c>
      <c r="W5" s="22">
        <f>SUMIFS('Daily Model'!$U$4:$U$555,'Daily Model'!$A$4:$A$555,"&gt;="&amp;$B5,'Daily Model'!$A$4:$A$555,"&lt;="&amp;$C5)</f>
        <v/>
      </c>
      <c r="X5" s="22">
        <f>SUMIFS('Daily Model'!$V$4:$V$555,'Daily Model'!$A$4:$A$555,"&gt;="&amp;$B5,'Daily Model'!$A$4:$A$555,"&lt;="&amp;$C5)</f>
        <v/>
      </c>
      <c r="Y5" s="22">
        <f>SUMIFS('Daily Model'!$W$4:$W$555,'Daily Model'!$A$4:$A$555,"&gt;="&amp;$B5,'Daily Model'!$A$4:$A$555,"&lt;="&amp;$C5)</f>
        <v/>
      </c>
      <c r="Z5" s="22">
        <f>SUMIFS('Daily Model'!$X$4:$X$555,'Daily Model'!$A$4:$A$555,"&gt;="&amp;$B5,'Daily Model'!$A$4:$A$555,"&lt;="&amp;$C5)</f>
        <v/>
      </c>
      <c r="AA5" s="22">
        <f>SUMIFS('Daily Model'!$Y$4:$Y$555,'Daily Model'!$A$4:$A$555,"&gt;="&amp;$B5,'Daily Model'!$A$4:$A$555,"&lt;="&amp;$C5)</f>
        <v/>
      </c>
      <c r="AB5" s="22">
        <f>SUMIFS('Daily Model'!$Z$4:$Z$555,'Daily Model'!$A$4:$A$555,"&gt;="&amp;$B5,'Daily Model'!$A$4:$A$555,"&lt;="&amp;$C5)</f>
        <v/>
      </c>
      <c r="AC5" s="22">
        <f>SUMIFS('Daily Model'!$AA$4:$AA$555,'Daily Model'!$A$4:$A$555,"&gt;="&amp;$B5,'Daily Model'!$A$4:$A$555,"&lt;="&amp;$C5)</f>
        <v/>
      </c>
      <c r="AD5" s="22">
        <f>SUMIFS('Daily Model'!$AB$4:$AB$555,'Daily Model'!$A$4:$A$555,"&gt;="&amp;$B5,'Daily Model'!$A$4:$A$555,"&lt;="&amp;$C5)</f>
        <v/>
      </c>
      <c r="AE5" s="22">
        <f>SUMIFS('Daily Model'!$AC$4:$AC$555,'Daily Model'!$A$4:$A$555,"&gt;="&amp;$B5,'Daily Model'!$A$4:$A$555,"&lt;="&amp;$C5)</f>
        <v/>
      </c>
      <c r="AF5" s="22">
        <f>SUMIFS('Daily Model'!$AD$4:$AD$555,'Daily Model'!$A$4:$A$555,"&gt;="&amp;$B5,'Daily Model'!$A$4:$A$555,"&lt;="&amp;$C5)</f>
        <v/>
      </c>
      <c r="AG5" s="22">
        <f>SUMIFS('Daily Model'!$AE$4:$AE$555,'Daily Model'!$A$4:$A$555,"&gt;="&amp;$B5,'Daily Model'!$A$4:$A$555,"&lt;="&amp;$C5)</f>
        <v/>
      </c>
      <c r="AH5" s="24">
        <f>AF5-AG5</f>
        <v/>
      </c>
      <c r="AI5" s="13">
        <f>IF(D5=0,"",O5/D5*10000)</f>
        <v/>
      </c>
      <c r="AJ5" s="13">
        <f>IF(E5=0,"",P5/E5*10000)</f>
        <v/>
      </c>
      <c r="AK5" s="13">
        <f>IF(F5=0,"",Q5/F5*10000)</f>
        <v/>
      </c>
      <c r="AL5" s="22">
        <f>SUMIFS('Daily Model'!$AJ$4:$AJ$555,'Daily Model'!$A$4:$A$555,"&gt;="&amp;$B5,'Daily Model'!$A$4:$A$555,"&lt;="&amp;$C5)</f>
        <v/>
      </c>
      <c r="AM5" s="22">
        <f>SUMIFS('Daily Model'!$AK$4:$AK$555,'Daily Model'!$A$4:$A$555,"&gt;="&amp;$B5,'Daily Model'!$A$4:$A$555,"&lt;="&amp;$C5)</f>
        <v/>
      </c>
      <c r="AN5" s="22">
        <f>SUMIFS('Daily Model'!$AL$4:$AL$555,'Daily Model'!$A$4:$A$555,"&gt;="&amp;$B5,'Daily Model'!$A$4:$A$555,"&lt;="&amp;$C5)</f>
        <v/>
      </c>
      <c r="AO5" s="22">
        <f>SUMIFS('Daily Model'!$AM$4:$AM$555,'Daily Model'!$A$4:$A$555,"&gt;="&amp;$B5,'Daily Model'!$A$4:$A$555,"&lt;="&amp;$C5)</f>
        <v/>
      </c>
      <c r="AP5" s="18">
        <f>SUMIFS('Daily Model'!$AN$4:$AN$555,'Daily Model'!$A$4:$A$555,"&gt;="&amp;$B5,'Daily Model'!$A$4:$A$555,"&lt;="&amp;$C5)</f>
        <v/>
      </c>
      <c r="AQ5" s="27">
        <f>IF(AP5=0,"",AO5/AP5)</f>
        <v/>
      </c>
      <c r="AR5" s="18" t="n">
        <v>18407963.61</v>
      </c>
      <c r="AS5" s="18">
        <f>SUMIFS('Daily Model'!$AQ$4:$AQ$555,'Daily Model'!$A$4:$A$555,"&gt;="&amp;$B5,'Daily Model'!$A$4:$A$555,"&lt;="&amp;$C5)</f>
        <v/>
      </c>
      <c r="AT5" s="18">
        <f>SUMIFS('Daily Model'!$AR$4:$AR$555,'Daily Model'!$A$4:$A$555,"&gt;="&amp;$B5,'Daily Model'!$A$4:$A$555,"&lt;="&amp;$C5)</f>
        <v/>
      </c>
      <c r="AU5" s="18">
        <f>SUMIFS('Daily Model'!$AS$4:$AS$555,'Daily Model'!$A$4:$A$555,"&gt;="&amp;$B5,'Daily Model'!$A$4:$A$555,"&lt;="&amp;$C5)</f>
        <v/>
      </c>
      <c r="AV5" s="21" t="n">
        <v>421.3321</v>
      </c>
      <c r="AW5" s="12" t="n">
        <v>0.0217</v>
      </c>
      <c r="AX5" s="18" t="n">
        <v>425634265.66</v>
      </c>
      <c r="AY5" s="18" t="n">
        <v>60100000</v>
      </c>
      <c r="AZ5" s="18" t="n">
        <v>18407963.61</v>
      </c>
      <c r="BA5" s="18" t="n">
        <v>3100000</v>
      </c>
      <c r="BB5" s="18" t="n">
        <v>195016.4195</v>
      </c>
      <c r="BC5" s="20" t="n">
        <v>492562754.3105</v>
      </c>
      <c r="BD5" s="21" t="n">
        <v>244.9</v>
      </c>
      <c r="BE5" s="21" t="n">
        <v>247.6628</v>
      </c>
      <c r="BF5" s="22" t="n">
        <v>6147183173.795</v>
      </c>
    </row>
    <row r="6">
      <c r="A6" s="25" t="inlineStr">
        <is>
          <t>Q2 2025</t>
        </is>
      </c>
      <c r="B6" s="26" t="n">
        <v>45748</v>
      </c>
      <c r="C6" s="26" t="n">
        <v>45838</v>
      </c>
      <c r="D6" s="22">
        <f>SUMIFS('Daily Model'!$B$4:$B$555,'Daily Model'!$A$4:$A$555,"&gt;="&amp;$B6,'Daily Model'!$A$4:$A$555,"&lt;="&amp;$C6)</f>
        <v/>
      </c>
      <c r="E6" s="22">
        <f>SUMIFS('Daily Model'!$C$4:$C$555,'Daily Model'!$A$4:$A$555,"&gt;="&amp;$B6,'Daily Model'!$A$4:$A$555,"&lt;="&amp;$C6)</f>
        <v/>
      </c>
      <c r="F6" s="22">
        <f>SUMIFS('Daily Model'!$D$4:$D$555,'Daily Model'!$A$4:$A$555,"&gt;="&amp;$B6,'Daily Model'!$A$4:$A$555,"&lt;="&amp;$C6)</f>
        <v/>
      </c>
      <c r="G6" s="22">
        <f>SUMIFS('Daily Model'!$E$4:$E$555,'Daily Model'!$A$4:$A$555,"&gt;="&amp;$B6,'Daily Model'!$A$4:$A$555,"&lt;="&amp;$C6)</f>
        <v/>
      </c>
      <c r="H6" s="22">
        <f>SUMIFS('Daily Model'!$F$4:$F$555,'Daily Model'!$A$4:$A$555,"&gt;="&amp;$B6,'Daily Model'!$A$4:$A$555,"&lt;="&amp;$C6)</f>
        <v/>
      </c>
      <c r="I6" s="22">
        <f>SUMIFS('Daily Model'!$G$4:$G$555,'Daily Model'!$A$4:$A$555,"&gt;="&amp;$B6,'Daily Model'!$A$4:$A$555,"&lt;="&amp;$C6)</f>
        <v/>
      </c>
      <c r="J6" s="22">
        <f>SUMIFS('Daily Model'!$H$4:$H$555,'Daily Model'!$A$4:$A$555,"&gt;="&amp;$B6,'Daily Model'!$A$4:$A$555,"&lt;="&amp;$C6)</f>
        <v/>
      </c>
      <c r="K6" s="22">
        <f>SUMIFS('Daily Model'!$I$4:$I$555,'Daily Model'!$A$4:$A$555,"&gt;="&amp;$B6,'Daily Model'!$A$4:$A$555,"&lt;="&amp;$C6)</f>
        <v/>
      </c>
      <c r="L6" s="22">
        <f>SUMIFS('Daily Model'!$J$4:$J$555,'Daily Model'!$A$4:$A$555,"&gt;="&amp;$B6,'Daily Model'!$A$4:$A$555,"&lt;="&amp;$C6)</f>
        <v/>
      </c>
      <c r="M6" s="22">
        <f>SUMIFS('Daily Model'!$K$4:$K$555,'Daily Model'!$A$4:$A$555,"&gt;="&amp;$B6,'Daily Model'!$A$4:$A$555,"&lt;="&amp;$C6)</f>
        <v/>
      </c>
      <c r="N6" s="22">
        <f>SUMIFS('Daily Model'!$L$4:$L$555,'Daily Model'!$A$4:$A$555,"&gt;="&amp;$B6,'Daily Model'!$A$4:$A$555,"&lt;="&amp;$C6)</f>
        <v/>
      </c>
      <c r="O6" s="22">
        <f>SUMIFS('Daily Model'!$M$4:$M$555,'Daily Model'!$A$4:$A$555,"&gt;="&amp;$B6,'Daily Model'!$A$4:$A$555,"&lt;="&amp;$C6)</f>
        <v/>
      </c>
      <c r="P6" s="22">
        <f>SUMIFS('Daily Model'!$N$4:$N$555,'Daily Model'!$A$4:$A$555,"&gt;="&amp;$B6,'Daily Model'!$A$4:$A$555,"&lt;="&amp;$C6)</f>
        <v/>
      </c>
      <c r="Q6" s="22">
        <f>SUMIFS('Daily Model'!$O$4:$O$555,'Daily Model'!$A$4:$A$555,"&gt;="&amp;$B6,'Daily Model'!$A$4:$A$555,"&lt;="&amp;$C6)</f>
        <v/>
      </c>
      <c r="R6" s="22">
        <f>SUMIFS('Daily Model'!$P$4:$P$555,'Daily Model'!$A$4:$A$555,"&gt;="&amp;$B6,'Daily Model'!$A$4:$A$555,"&lt;="&amp;$C6)</f>
        <v/>
      </c>
      <c r="S6" s="22">
        <f>SUMIFS('Daily Model'!$Q$4:$Q$555,'Daily Model'!$A$4:$A$555,"&gt;="&amp;$B6,'Daily Model'!$A$4:$A$555,"&lt;="&amp;$C6)</f>
        <v/>
      </c>
      <c r="T6" s="12" t="n"/>
      <c r="U6" s="22">
        <f>SUMIFS('Daily Model'!$S$4:$S$555,'Daily Model'!$A$4:$A$555,"&gt;="&amp;$B6,'Daily Model'!$A$4:$A$555,"&lt;="&amp;$C6)</f>
        <v/>
      </c>
      <c r="V6" s="22">
        <f>SUMIFS('Daily Model'!$T$4:$T$555,'Daily Model'!$A$4:$A$555,"&gt;="&amp;$B6,'Daily Model'!$A$4:$A$555,"&lt;="&amp;$C6)</f>
        <v/>
      </c>
      <c r="W6" s="22">
        <f>SUMIFS('Daily Model'!$U$4:$U$555,'Daily Model'!$A$4:$A$555,"&gt;="&amp;$B6,'Daily Model'!$A$4:$A$555,"&lt;="&amp;$C6)</f>
        <v/>
      </c>
      <c r="X6" s="22">
        <f>SUMIFS('Daily Model'!$V$4:$V$555,'Daily Model'!$A$4:$A$555,"&gt;="&amp;$B6,'Daily Model'!$A$4:$A$555,"&lt;="&amp;$C6)</f>
        <v/>
      </c>
      <c r="Y6" s="22">
        <f>SUMIFS('Daily Model'!$W$4:$W$555,'Daily Model'!$A$4:$A$555,"&gt;="&amp;$B6,'Daily Model'!$A$4:$A$555,"&lt;="&amp;$C6)</f>
        <v/>
      </c>
      <c r="Z6" s="22">
        <f>SUMIFS('Daily Model'!$X$4:$X$555,'Daily Model'!$A$4:$A$555,"&gt;="&amp;$B6,'Daily Model'!$A$4:$A$555,"&lt;="&amp;$C6)</f>
        <v/>
      </c>
      <c r="AA6" s="22">
        <f>SUMIFS('Daily Model'!$Y$4:$Y$555,'Daily Model'!$A$4:$A$555,"&gt;="&amp;$B6,'Daily Model'!$A$4:$A$555,"&lt;="&amp;$C6)</f>
        <v/>
      </c>
      <c r="AB6" s="22">
        <f>SUMIFS('Daily Model'!$Z$4:$Z$555,'Daily Model'!$A$4:$A$555,"&gt;="&amp;$B6,'Daily Model'!$A$4:$A$555,"&lt;="&amp;$C6)</f>
        <v/>
      </c>
      <c r="AC6" s="22">
        <f>SUMIFS('Daily Model'!$AA$4:$AA$555,'Daily Model'!$A$4:$A$555,"&gt;="&amp;$B6,'Daily Model'!$A$4:$A$555,"&lt;="&amp;$C6)</f>
        <v/>
      </c>
      <c r="AD6" s="22">
        <f>SUMIFS('Daily Model'!$AB$4:$AB$555,'Daily Model'!$A$4:$A$555,"&gt;="&amp;$B6,'Daily Model'!$A$4:$A$555,"&lt;="&amp;$C6)</f>
        <v/>
      </c>
      <c r="AE6" s="22">
        <f>SUMIFS('Daily Model'!$AC$4:$AC$555,'Daily Model'!$A$4:$A$555,"&gt;="&amp;$B6,'Daily Model'!$A$4:$A$555,"&lt;="&amp;$C6)</f>
        <v/>
      </c>
      <c r="AF6" s="22">
        <f>SUMIFS('Daily Model'!$AD$4:$AD$555,'Daily Model'!$A$4:$A$555,"&gt;="&amp;$B6,'Daily Model'!$A$4:$A$555,"&lt;="&amp;$C6)</f>
        <v/>
      </c>
      <c r="AG6" s="22">
        <f>SUMIFS('Daily Model'!$AE$4:$AE$555,'Daily Model'!$A$4:$A$555,"&gt;="&amp;$B6,'Daily Model'!$A$4:$A$555,"&lt;="&amp;$C6)</f>
        <v/>
      </c>
      <c r="AH6" s="24">
        <f>AF6-AG6</f>
        <v/>
      </c>
      <c r="AI6" s="13">
        <f>IF(D6=0,"",O6/D6*10000)</f>
        <v/>
      </c>
      <c r="AJ6" s="13">
        <f>IF(E6=0,"",P6/E6*10000)</f>
        <v/>
      </c>
      <c r="AK6" s="13">
        <f>IF(F6=0,"",Q6/F6*10000)</f>
        <v/>
      </c>
      <c r="AL6" s="22">
        <f>SUMIFS('Daily Model'!$AJ$4:$AJ$555,'Daily Model'!$A$4:$A$555,"&gt;="&amp;$B6,'Daily Model'!$A$4:$A$555,"&lt;="&amp;$C6)</f>
        <v/>
      </c>
      <c r="AM6" s="22">
        <f>SUMIFS('Daily Model'!$AK$4:$AK$555,'Daily Model'!$A$4:$A$555,"&gt;="&amp;$B6,'Daily Model'!$A$4:$A$555,"&lt;="&amp;$C6)</f>
        <v/>
      </c>
      <c r="AN6" s="22">
        <f>SUMIFS('Daily Model'!$AL$4:$AL$555,'Daily Model'!$A$4:$A$555,"&gt;="&amp;$B6,'Daily Model'!$A$4:$A$555,"&lt;="&amp;$C6)</f>
        <v/>
      </c>
      <c r="AO6" s="22">
        <f>SUMIFS('Daily Model'!$AM$4:$AM$555,'Daily Model'!$A$4:$A$555,"&gt;="&amp;$B6,'Daily Model'!$A$4:$A$555,"&lt;="&amp;$C6)</f>
        <v/>
      </c>
      <c r="AP6" s="18">
        <f>SUMIFS('Daily Model'!$AN$4:$AN$555,'Daily Model'!$A$4:$A$555,"&gt;="&amp;$B6,'Daily Model'!$A$4:$A$555,"&lt;="&amp;$C6)</f>
        <v/>
      </c>
      <c r="AQ6" s="27">
        <f>IF(AP6=0,"",AO6/AP6)</f>
        <v/>
      </c>
      <c r="AR6" s="18" t="n">
        <v>25508875.62</v>
      </c>
      <c r="AS6" s="18">
        <f>SUMIFS('Daily Model'!$AQ$4:$AQ$555,'Daily Model'!$A$4:$A$555,"&gt;="&amp;$B6,'Daily Model'!$A$4:$A$555,"&lt;="&amp;$C6)</f>
        <v/>
      </c>
      <c r="AT6" s="18">
        <f>SUMIFS('Daily Model'!$AR$4:$AR$555,'Daily Model'!$A$4:$A$555,"&gt;="&amp;$B6,'Daily Model'!$A$4:$A$555,"&lt;="&amp;$C6)</f>
        <v/>
      </c>
      <c r="AU6" s="18">
        <f>SUMIFS('Daily Model'!$AS$4:$AS$555,'Daily Model'!$A$4:$A$555,"&gt;="&amp;$B6,'Daily Model'!$A$4:$A$555,"&lt;="&amp;$C6)</f>
        <v/>
      </c>
      <c r="AV6" s="21" t="n">
        <v>422.0714</v>
      </c>
      <c r="AW6" s="12" t="n">
        <v>0.0217</v>
      </c>
      <c r="AX6" s="18" t="n">
        <v>423245951.291</v>
      </c>
      <c r="AY6" s="18" t="n">
        <v>60100000</v>
      </c>
      <c r="AZ6" s="18" t="n">
        <v>25508875.62</v>
      </c>
      <c r="BA6" s="18" t="n">
        <v>3100000</v>
      </c>
      <c r="BB6" s="18" t="n">
        <v>309088.5588</v>
      </c>
      <c r="BC6" s="20" t="n">
        <v>487736084.5302</v>
      </c>
      <c r="BD6" s="21" t="n">
        <v>244.9</v>
      </c>
      <c r="BE6" s="21" t="n">
        <v>242.8361</v>
      </c>
      <c r="BF6" s="22" t="n">
        <v>19280207421.4788</v>
      </c>
    </row>
    <row r="7">
      <c r="A7" s="25" t="inlineStr">
        <is>
          <t>Q3 2025</t>
        </is>
      </c>
      <c r="B7" s="26" t="n">
        <v>45839</v>
      </c>
      <c r="C7" s="26" t="n">
        <v>45930</v>
      </c>
      <c r="D7" s="22">
        <f>SUMIFS('Daily Model'!$B$4:$B$555,'Daily Model'!$A$4:$A$555,"&gt;="&amp;$B7,'Daily Model'!$A$4:$A$555,"&lt;="&amp;$C7)</f>
        <v/>
      </c>
      <c r="E7" s="22">
        <f>SUMIFS('Daily Model'!$C$4:$C$555,'Daily Model'!$A$4:$A$555,"&gt;="&amp;$B7,'Daily Model'!$A$4:$A$555,"&lt;="&amp;$C7)</f>
        <v/>
      </c>
      <c r="F7" s="22">
        <f>SUMIFS('Daily Model'!$D$4:$D$555,'Daily Model'!$A$4:$A$555,"&gt;="&amp;$B7,'Daily Model'!$A$4:$A$555,"&lt;="&amp;$C7)</f>
        <v/>
      </c>
      <c r="G7" s="22">
        <f>SUMIFS('Daily Model'!$E$4:$E$555,'Daily Model'!$A$4:$A$555,"&gt;="&amp;$B7,'Daily Model'!$A$4:$A$555,"&lt;="&amp;$C7)</f>
        <v/>
      </c>
      <c r="H7" s="22">
        <f>SUMIFS('Daily Model'!$F$4:$F$555,'Daily Model'!$A$4:$A$555,"&gt;="&amp;$B7,'Daily Model'!$A$4:$A$555,"&lt;="&amp;$C7)</f>
        <v/>
      </c>
      <c r="I7" s="22">
        <f>SUMIFS('Daily Model'!$G$4:$G$555,'Daily Model'!$A$4:$A$555,"&gt;="&amp;$B7,'Daily Model'!$A$4:$A$555,"&lt;="&amp;$C7)</f>
        <v/>
      </c>
      <c r="J7" s="22">
        <f>SUMIFS('Daily Model'!$H$4:$H$555,'Daily Model'!$A$4:$A$555,"&gt;="&amp;$B7,'Daily Model'!$A$4:$A$555,"&lt;="&amp;$C7)</f>
        <v/>
      </c>
      <c r="K7" s="22">
        <f>SUMIFS('Daily Model'!$I$4:$I$555,'Daily Model'!$A$4:$A$555,"&gt;="&amp;$B7,'Daily Model'!$A$4:$A$555,"&lt;="&amp;$C7)</f>
        <v/>
      </c>
      <c r="L7" s="22">
        <f>SUMIFS('Daily Model'!$J$4:$J$555,'Daily Model'!$A$4:$A$555,"&gt;="&amp;$B7,'Daily Model'!$A$4:$A$555,"&lt;="&amp;$C7)</f>
        <v/>
      </c>
      <c r="M7" s="22">
        <f>SUMIFS('Daily Model'!$K$4:$K$555,'Daily Model'!$A$4:$A$555,"&gt;="&amp;$B7,'Daily Model'!$A$4:$A$555,"&lt;="&amp;$C7)</f>
        <v/>
      </c>
      <c r="N7" s="22">
        <f>SUMIFS('Daily Model'!$L$4:$L$555,'Daily Model'!$A$4:$A$555,"&gt;="&amp;$B7,'Daily Model'!$A$4:$A$555,"&lt;="&amp;$C7)</f>
        <v/>
      </c>
      <c r="O7" s="22">
        <f>SUMIFS('Daily Model'!$M$4:$M$555,'Daily Model'!$A$4:$A$555,"&gt;="&amp;$B7,'Daily Model'!$A$4:$A$555,"&lt;="&amp;$C7)</f>
        <v/>
      </c>
      <c r="P7" s="22">
        <f>SUMIFS('Daily Model'!$N$4:$N$555,'Daily Model'!$A$4:$A$555,"&gt;="&amp;$B7,'Daily Model'!$A$4:$A$555,"&lt;="&amp;$C7)</f>
        <v/>
      </c>
      <c r="Q7" s="22">
        <f>SUMIFS('Daily Model'!$O$4:$O$555,'Daily Model'!$A$4:$A$555,"&gt;="&amp;$B7,'Daily Model'!$A$4:$A$555,"&lt;="&amp;$C7)</f>
        <v/>
      </c>
      <c r="R7" s="22">
        <f>SUMIFS('Daily Model'!$P$4:$P$555,'Daily Model'!$A$4:$A$555,"&gt;="&amp;$B7,'Daily Model'!$A$4:$A$555,"&lt;="&amp;$C7)</f>
        <v/>
      </c>
      <c r="S7" s="22">
        <f>SUMIFS('Daily Model'!$Q$4:$Q$555,'Daily Model'!$A$4:$A$555,"&gt;="&amp;$B7,'Daily Model'!$A$4:$A$555,"&lt;="&amp;$C7)</f>
        <v/>
      </c>
      <c r="T7" s="12" t="n"/>
      <c r="U7" s="22">
        <f>SUMIFS('Daily Model'!$S$4:$S$555,'Daily Model'!$A$4:$A$555,"&gt;="&amp;$B7,'Daily Model'!$A$4:$A$555,"&lt;="&amp;$C7)</f>
        <v/>
      </c>
      <c r="V7" s="22">
        <f>SUMIFS('Daily Model'!$T$4:$T$555,'Daily Model'!$A$4:$A$555,"&gt;="&amp;$B7,'Daily Model'!$A$4:$A$555,"&lt;="&amp;$C7)</f>
        <v/>
      </c>
      <c r="W7" s="22">
        <f>SUMIFS('Daily Model'!$U$4:$U$555,'Daily Model'!$A$4:$A$555,"&gt;="&amp;$B7,'Daily Model'!$A$4:$A$555,"&lt;="&amp;$C7)</f>
        <v/>
      </c>
      <c r="X7" s="22">
        <f>SUMIFS('Daily Model'!$V$4:$V$555,'Daily Model'!$A$4:$A$555,"&gt;="&amp;$B7,'Daily Model'!$A$4:$A$555,"&lt;="&amp;$C7)</f>
        <v/>
      </c>
      <c r="Y7" s="22">
        <f>SUMIFS('Daily Model'!$W$4:$W$555,'Daily Model'!$A$4:$A$555,"&gt;="&amp;$B7,'Daily Model'!$A$4:$A$555,"&lt;="&amp;$C7)</f>
        <v/>
      </c>
      <c r="Z7" s="22">
        <f>SUMIFS('Daily Model'!$X$4:$X$555,'Daily Model'!$A$4:$A$555,"&gt;="&amp;$B7,'Daily Model'!$A$4:$A$555,"&lt;="&amp;$C7)</f>
        <v/>
      </c>
      <c r="AA7" s="22">
        <f>SUMIFS('Daily Model'!$Y$4:$Y$555,'Daily Model'!$A$4:$A$555,"&gt;="&amp;$B7,'Daily Model'!$A$4:$A$555,"&lt;="&amp;$C7)</f>
        <v/>
      </c>
      <c r="AB7" s="22">
        <f>SUMIFS('Daily Model'!$Z$4:$Z$555,'Daily Model'!$A$4:$A$555,"&gt;="&amp;$B7,'Daily Model'!$A$4:$A$555,"&lt;="&amp;$C7)</f>
        <v/>
      </c>
      <c r="AC7" s="22">
        <f>SUMIFS('Daily Model'!$AA$4:$AA$555,'Daily Model'!$A$4:$A$555,"&gt;="&amp;$B7,'Daily Model'!$A$4:$A$555,"&lt;="&amp;$C7)</f>
        <v/>
      </c>
      <c r="AD7" s="22">
        <f>SUMIFS('Daily Model'!$AB$4:$AB$555,'Daily Model'!$A$4:$A$555,"&gt;="&amp;$B7,'Daily Model'!$A$4:$A$555,"&lt;="&amp;$C7)</f>
        <v/>
      </c>
      <c r="AE7" s="22">
        <f>SUMIFS('Daily Model'!$AC$4:$AC$555,'Daily Model'!$A$4:$A$555,"&gt;="&amp;$B7,'Daily Model'!$A$4:$A$555,"&lt;="&amp;$C7)</f>
        <v/>
      </c>
      <c r="AF7" s="22">
        <f>SUMIFS('Daily Model'!$AD$4:$AD$555,'Daily Model'!$A$4:$A$555,"&gt;="&amp;$B7,'Daily Model'!$A$4:$A$555,"&lt;="&amp;$C7)</f>
        <v/>
      </c>
      <c r="AG7" s="22">
        <f>SUMIFS('Daily Model'!$AE$4:$AE$555,'Daily Model'!$A$4:$A$555,"&gt;="&amp;$B7,'Daily Model'!$A$4:$A$555,"&lt;="&amp;$C7)</f>
        <v/>
      </c>
      <c r="AH7" s="24">
        <f>AF7-AG7</f>
        <v/>
      </c>
      <c r="AI7" s="13">
        <f>IF(D7=0,"",O7/D7*10000)</f>
        <v/>
      </c>
      <c r="AJ7" s="13">
        <f>IF(E7=0,"",P7/E7*10000)</f>
        <v/>
      </c>
      <c r="AK7" s="13">
        <f>IF(F7=0,"",Q7/F7*10000)</f>
        <v/>
      </c>
      <c r="AL7" s="22">
        <f>SUMIFS('Daily Model'!$AJ$4:$AJ$555,'Daily Model'!$A$4:$A$555,"&gt;="&amp;$B7,'Daily Model'!$A$4:$A$555,"&lt;="&amp;$C7)</f>
        <v/>
      </c>
      <c r="AM7" s="22">
        <f>SUMIFS('Daily Model'!$AK$4:$AK$555,'Daily Model'!$A$4:$A$555,"&gt;="&amp;$B7,'Daily Model'!$A$4:$A$555,"&lt;="&amp;$C7)</f>
        <v/>
      </c>
      <c r="AN7" s="22">
        <f>SUMIFS('Daily Model'!$AL$4:$AL$555,'Daily Model'!$A$4:$A$555,"&gt;="&amp;$B7,'Daily Model'!$A$4:$A$555,"&lt;="&amp;$C7)</f>
        <v/>
      </c>
      <c r="AO7" s="22">
        <f>SUMIFS('Daily Model'!$AM$4:$AM$555,'Daily Model'!$A$4:$A$555,"&gt;="&amp;$B7,'Daily Model'!$A$4:$A$555,"&lt;="&amp;$C7)</f>
        <v/>
      </c>
      <c r="AP7" s="18">
        <f>SUMIFS('Daily Model'!$AN$4:$AN$555,'Daily Model'!$A$4:$A$555,"&gt;="&amp;$B7,'Daily Model'!$A$4:$A$555,"&lt;="&amp;$C7)</f>
        <v/>
      </c>
      <c r="AQ7" s="27">
        <f>IF(AP7=0,"",AO7/AP7)</f>
        <v/>
      </c>
      <c r="AR7" s="18" t="n">
        <v>31785059.15</v>
      </c>
      <c r="AS7" s="18">
        <f>SUMIFS('Daily Model'!$AQ$4:$AQ$555,'Daily Model'!$A$4:$A$555,"&gt;="&amp;$B7,'Daily Model'!$A$4:$A$555,"&lt;="&amp;$C7)</f>
        <v/>
      </c>
      <c r="AT7" s="18">
        <f>SUMIFS('Daily Model'!$AR$4:$AR$555,'Daily Model'!$A$4:$A$555,"&gt;="&amp;$B7,'Daily Model'!$A$4:$A$555,"&lt;="&amp;$C7)</f>
        <v/>
      </c>
      <c r="AU7" s="18">
        <f>SUMIFS('Daily Model'!$AS$4:$AS$555,'Daily Model'!$A$4:$A$555,"&gt;="&amp;$B7,'Daily Model'!$A$4:$A$555,"&lt;="&amp;$C7)</f>
        <v/>
      </c>
      <c r="AV7" s="21" t="n">
        <v>425.4931</v>
      </c>
      <c r="AW7" s="12" t="n">
        <v>0.0216</v>
      </c>
      <c r="AX7" s="18" t="n">
        <v>420824355.7069</v>
      </c>
      <c r="AY7" s="18" t="n">
        <v>60100000</v>
      </c>
      <c r="AZ7" s="18" t="n">
        <v>31785059.15</v>
      </c>
      <c r="BA7" s="18" t="n">
        <v>3100000</v>
      </c>
      <c r="BB7" s="18" t="n">
        <v>424925.9136</v>
      </c>
      <c r="BC7" s="20" t="n">
        <v>483765659.2295</v>
      </c>
      <c r="BD7" s="21" t="n">
        <v>244.9</v>
      </c>
      <c r="BE7" s="21" t="n">
        <v>238.8657</v>
      </c>
      <c r="BF7" s="22" t="n">
        <v>22306434547.0722</v>
      </c>
    </row>
    <row r="8">
      <c r="A8" s="25" t="inlineStr">
        <is>
          <t>Q4 2025</t>
        </is>
      </c>
      <c r="B8" s="26" t="n">
        <v>45931</v>
      </c>
      <c r="C8" s="26" t="n">
        <v>46022</v>
      </c>
      <c r="D8" s="22">
        <f>SUMIFS('Daily Model'!$B$4:$B$555,'Daily Model'!$A$4:$A$555,"&gt;="&amp;$B8,'Daily Model'!$A$4:$A$555,"&lt;="&amp;$C8)</f>
        <v/>
      </c>
      <c r="E8" s="22">
        <f>SUMIFS('Daily Model'!$C$4:$C$555,'Daily Model'!$A$4:$A$555,"&gt;="&amp;$B8,'Daily Model'!$A$4:$A$555,"&lt;="&amp;$C8)</f>
        <v/>
      </c>
      <c r="F8" s="22">
        <f>SUMIFS('Daily Model'!$D$4:$D$555,'Daily Model'!$A$4:$A$555,"&gt;="&amp;$B8,'Daily Model'!$A$4:$A$555,"&lt;="&amp;$C8)</f>
        <v/>
      </c>
      <c r="G8" s="22">
        <f>SUMIFS('Daily Model'!$E$4:$E$555,'Daily Model'!$A$4:$A$555,"&gt;="&amp;$B8,'Daily Model'!$A$4:$A$555,"&lt;="&amp;$C8)</f>
        <v/>
      </c>
      <c r="H8" s="22">
        <f>SUMIFS('Daily Model'!$F$4:$F$555,'Daily Model'!$A$4:$A$555,"&gt;="&amp;$B8,'Daily Model'!$A$4:$A$555,"&lt;="&amp;$C8)</f>
        <v/>
      </c>
      <c r="I8" s="22">
        <f>SUMIFS('Daily Model'!$G$4:$G$555,'Daily Model'!$A$4:$A$555,"&gt;="&amp;$B8,'Daily Model'!$A$4:$A$555,"&lt;="&amp;$C8)</f>
        <v/>
      </c>
      <c r="J8" s="22">
        <f>SUMIFS('Daily Model'!$H$4:$H$555,'Daily Model'!$A$4:$A$555,"&gt;="&amp;$B8,'Daily Model'!$A$4:$A$555,"&lt;="&amp;$C8)</f>
        <v/>
      </c>
      <c r="K8" s="22">
        <f>SUMIFS('Daily Model'!$I$4:$I$555,'Daily Model'!$A$4:$A$555,"&gt;="&amp;$B8,'Daily Model'!$A$4:$A$555,"&lt;="&amp;$C8)</f>
        <v/>
      </c>
      <c r="L8" s="22">
        <f>SUMIFS('Daily Model'!$J$4:$J$555,'Daily Model'!$A$4:$A$555,"&gt;="&amp;$B8,'Daily Model'!$A$4:$A$555,"&lt;="&amp;$C8)</f>
        <v/>
      </c>
      <c r="M8" s="22">
        <f>SUMIFS('Daily Model'!$K$4:$K$555,'Daily Model'!$A$4:$A$555,"&gt;="&amp;$B8,'Daily Model'!$A$4:$A$555,"&lt;="&amp;$C8)</f>
        <v/>
      </c>
      <c r="N8" s="22">
        <f>SUMIFS('Daily Model'!$L$4:$L$555,'Daily Model'!$A$4:$A$555,"&gt;="&amp;$B8,'Daily Model'!$A$4:$A$555,"&lt;="&amp;$C8)</f>
        <v/>
      </c>
      <c r="O8" s="22">
        <f>SUMIFS('Daily Model'!$M$4:$M$555,'Daily Model'!$A$4:$A$555,"&gt;="&amp;$B8,'Daily Model'!$A$4:$A$555,"&lt;="&amp;$C8)</f>
        <v/>
      </c>
      <c r="P8" s="22">
        <f>SUMIFS('Daily Model'!$N$4:$N$555,'Daily Model'!$A$4:$A$555,"&gt;="&amp;$B8,'Daily Model'!$A$4:$A$555,"&lt;="&amp;$C8)</f>
        <v/>
      </c>
      <c r="Q8" s="22">
        <f>SUMIFS('Daily Model'!$O$4:$O$555,'Daily Model'!$A$4:$A$555,"&gt;="&amp;$B8,'Daily Model'!$A$4:$A$555,"&lt;="&amp;$C8)</f>
        <v/>
      </c>
      <c r="R8" s="22">
        <f>SUMIFS('Daily Model'!$P$4:$P$555,'Daily Model'!$A$4:$A$555,"&gt;="&amp;$B8,'Daily Model'!$A$4:$A$555,"&lt;="&amp;$C8)</f>
        <v/>
      </c>
      <c r="S8" s="22">
        <f>SUMIFS('Daily Model'!$Q$4:$Q$555,'Daily Model'!$A$4:$A$555,"&gt;="&amp;$B8,'Daily Model'!$A$4:$A$555,"&lt;="&amp;$C8)</f>
        <v/>
      </c>
      <c r="T8" s="12" t="n"/>
      <c r="U8" s="22">
        <f>SUMIFS('Daily Model'!$S$4:$S$555,'Daily Model'!$A$4:$A$555,"&gt;="&amp;$B8,'Daily Model'!$A$4:$A$555,"&lt;="&amp;$C8)</f>
        <v/>
      </c>
      <c r="V8" s="22">
        <f>SUMIFS('Daily Model'!$T$4:$T$555,'Daily Model'!$A$4:$A$555,"&gt;="&amp;$B8,'Daily Model'!$A$4:$A$555,"&lt;="&amp;$C8)</f>
        <v/>
      </c>
      <c r="W8" s="22">
        <f>SUMIFS('Daily Model'!$U$4:$U$555,'Daily Model'!$A$4:$A$555,"&gt;="&amp;$B8,'Daily Model'!$A$4:$A$555,"&lt;="&amp;$C8)</f>
        <v/>
      </c>
      <c r="X8" s="22">
        <f>SUMIFS('Daily Model'!$V$4:$V$555,'Daily Model'!$A$4:$A$555,"&gt;="&amp;$B8,'Daily Model'!$A$4:$A$555,"&lt;="&amp;$C8)</f>
        <v/>
      </c>
      <c r="Y8" s="22">
        <f>SUMIFS('Daily Model'!$W$4:$W$555,'Daily Model'!$A$4:$A$555,"&gt;="&amp;$B8,'Daily Model'!$A$4:$A$555,"&lt;="&amp;$C8)</f>
        <v/>
      </c>
      <c r="Z8" s="22">
        <f>SUMIFS('Daily Model'!$X$4:$X$555,'Daily Model'!$A$4:$A$555,"&gt;="&amp;$B8,'Daily Model'!$A$4:$A$555,"&lt;="&amp;$C8)</f>
        <v/>
      </c>
      <c r="AA8" s="22">
        <f>SUMIFS('Daily Model'!$Y$4:$Y$555,'Daily Model'!$A$4:$A$555,"&gt;="&amp;$B8,'Daily Model'!$A$4:$A$555,"&lt;="&amp;$C8)</f>
        <v/>
      </c>
      <c r="AB8" s="22">
        <f>SUMIFS('Daily Model'!$Z$4:$Z$555,'Daily Model'!$A$4:$A$555,"&gt;="&amp;$B8,'Daily Model'!$A$4:$A$555,"&lt;="&amp;$C8)</f>
        <v/>
      </c>
      <c r="AC8" s="22">
        <f>SUMIFS('Daily Model'!$AA$4:$AA$555,'Daily Model'!$A$4:$A$555,"&gt;="&amp;$B8,'Daily Model'!$A$4:$A$555,"&lt;="&amp;$C8)</f>
        <v/>
      </c>
      <c r="AD8" s="22">
        <f>SUMIFS('Daily Model'!$AB$4:$AB$555,'Daily Model'!$A$4:$A$555,"&gt;="&amp;$B8,'Daily Model'!$A$4:$A$555,"&lt;="&amp;$C8)</f>
        <v/>
      </c>
      <c r="AE8" s="22">
        <f>SUMIFS('Daily Model'!$AC$4:$AC$555,'Daily Model'!$A$4:$A$555,"&gt;="&amp;$B8,'Daily Model'!$A$4:$A$555,"&lt;="&amp;$C8)</f>
        <v/>
      </c>
      <c r="AF8" s="22">
        <f>SUMIFS('Daily Model'!$AD$4:$AD$555,'Daily Model'!$A$4:$A$555,"&gt;="&amp;$B8,'Daily Model'!$A$4:$A$555,"&lt;="&amp;$C8)</f>
        <v/>
      </c>
      <c r="AG8" s="22">
        <f>SUMIFS('Daily Model'!$AE$4:$AE$555,'Daily Model'!$A$4:$A$555,"&gt;="&amp;$B8,'Daily Model'!$A$4:$A$555,"&lt;="&amp;$C8)</f>
        <v/>
      </c>
      <c r="AH8" s="24">
        <f>AF8-AG8</f>
        <v/>
      </c>
      <c r="AI8" s="13">
        <f>IF(D8=0,"",O8/D8*10000)</f>
        <v/>
      </c>
      <c r="AJ8" s="13">
        <f>IF(E8=0,"",P8/E8*10000)</f>
        <v/>
      </c>
      <c r="AK8" s="13">
        <f>IF(F8=0,"",Q8/F8*10000)</f>
        <v/>
      </c>
      <c r="AL8" s="22">
        <f>SUMIFS('Daily Model'!$AJ$4:$AJ$555,'Daily Model'!$A$4:$A$555,"&gt;="&amp;$B8,'Daily Model'!$A$4:$A$555,"&lt;="&amp;$C8)</f>
        <v/>
      </c>
      <c r="AM8" s="22">
        <f>SUMIFS('Daily Model'!$AK$4:$AK$555,'Daily Model'!$A$4:$A$555,"&gt;="&amp;$B8,'Daily Model'!$A$4:$A$555,"&lt;="&amp;$C8)</f>
        <v/>
      </c>
      <c r="AN8" s="22">
        <f>SUMIFS('Daily Model'!$AL$4:$AL$555,'Daily Model'!$A$4:$A$555,"&gt;="&amp;$B8,'Daily Model'!$A$4:$A$555,"&lt;="&amp;$C8)</f>
        <v/>
      </c>
      <c r="AO8" s="22">
        <f>SUMIFS('Daily Model'!$AM$4:$AM$555,'Daily Model'!$A$4:$A$555,"&gt;="&amp;$B8,'Daily Model'!$A$4:$A$555,"&lt;="&amp;$C8)</f>
        <v/>
      </c>
      <c r="AP8" s="18">
        <f>SUMIFS('Daily Model'!$AN$4:$AN$555,'Daily Model'!$A$4:$A$555,"&gt;="&amp;$B8,'Daily Model'!$A$4:$A$555,"&lt;="&amp;$C8)</f>
        <v/>
      </c>
      <c r="AQ8" s="27">
        <f>IF(AP8=0,"",AO8/AP8)</f>
        <v/>
      </c>
      <c r="AR8" s="18" t="n">
        <v>37855111.8226</v>
      </c>
      <c r="AS8" s="18">
        <f>SUMIFS('Daily Model'!$AQ$4:$AQ$555,'Daily Model'!$A$4:$A$555,"&gt;="&amp;$B8,'Daily Model'!$A$4:$A$555,"&lt;="&amp;$C8)</f>
        <v/>
      </c>
      <c r="AT8" s="18">
        <f>SUMIFS('Daily Model'!$AR$4:$AR$555,'Daily Model'!$A$4:$A$555,"&gt;="&amp;$B8,'Daily Model'!$A$4:$A$555,"&lt;="&amp;$C8)</f>
        <v/>
      </c>
      <c r="AU8" s="18">
        <f>SUMIFS('Daily Model'!$AS$4:$AS$555,'Daily Model'!$A$4:$A$555,"&gt;="&amp;$B8,'Daily Model'!$A$4:$A$555,"&lt;="&amp;$C8)</f>
        <v/>
      </c>
      <c r="AV8" s="21" t="n">
        <v>432.3217</v>
      </c>
      <c r="AW8" s="12" t="n">
        <v>0.0214</v>
      </c>
      <c r="AX8" s="18" t="n">
        <v>418419030.7485</v>
      </c>
      <c r="AY8" s="18" t="n">
        <v>60100000</v>
      </c>
      <c r="AZ8" s="18" t="n">
        <v>37855111.8226</v>
      </c>
      <c r="BA8" s="18" t="n">
        <v>3100000</v>
      </c>
      <c r="BB8" s="18" t="n">
        <v>552936.2519</v>
      </c>
      <c r="BC8" s="20" t="n">
        <v>479972921.177</v>
      </c>
      <c r="BD8" s="21" t="n">
        <v>243.1543</v>
      </c>
      <c r="BE8" s="21" t="n">
        <v>236.8187</v>
      </c>
      <c r="BF8" s="22" t="n">
        <v>12412099741.6384</v>
      </c>
    </row>
    <row r="9">
      <c r="A9" s="25" t="inlineStr">
        <is>
          <t>Q1 2026</t>
        </is>
      </c>
      <c r="B9" s="26" t="n">
        <v>46023</v>
      </c>
      <c r="C9" s="26" t="n">
        <v>46112</v>
      </c>
      <c r="D9" s="22">
        <f>SUMIFS('Daily Model'!$B$4:$B$555,'Daily Model'!$A$4:$A$555,"&gt;="&amp;$B9,'Daily Model'!$A$4:$A$555,"&lt;="&amp;$C9)</f>
        <v/>
      </c>
      <c r="E9" s="22">
        <f>SUMIFS('Daily Model'!$C$4:$C$555,'Daily Model'!$A$4:$A$555,"&gt;="&amp;$B9,'Daily Model'!$A$4:$A$555,"&lt;="&amp;$C9)</f>
        <v/>
      </c>
      <c r="F9" s="22">
        <f>SUMIFS('Daily Model'!$D$4:$D$555,'Daily Model'!$A$4:$A$555,"&gt;="&amp;$B9,'Daily Model'!$A$4:$A$555,"&lt;="&amp;$C9)</f>
        <v/>
      </c>
      <c r="G9" s="22">
        <f>SUMIFS('Daily Model'!$E$4:$E$555,'Daily Model'!$A$4:$A$555,"&gt;="&amp;$B9,'Daily Model'!$A$4:$A$555,"&lt;="&amp;$C9)</f>
        <v/>
      </c>
      <c r="H9" s="22">
        <f>SUMIFS('Daily Model'!$F$4:$F$555,'Daily Model'!$A$4:$A$555,"&gt;="&amp;$B9,'Daily Model'!$A$4:$A$555,"&lt;="&amp;$C9)</f>
        <v/>
      </c>
      <c r="I9" s="22">
        <f>SUMIFS('Daily Model'!$G$4:$G$555,'Daily Model'!$A$4:$A$555,"&gt;="&amp;$B9,'Daily Model'!$A$4:$A$555,"&lt;="&amp;$C9)</f>
        <v/>
      </c>
      <c r="J9" s="22">
        <f>SUMIFS('Daily Model'!$H$4:$H$555,'Daily Model'!$A$4:$A$555,"&gt;="&amp;$B9,'Daily Model'!$A$4:$A$555,"&lt;="&amp;$C9)</f>
        <v/>
      </c>
      <c r="K9" s="22">
        <f>SUMIFS('Daily Model'!$I$4:$I$555,'Daily Model'!$A$4:$A$555,"&gt;="&amp;$B9,'Daily Model'!$A$4:$A$555,"&lt;="&amp;$C9)</f>
        <v/>
      </c>
      <c r="L9" s="22">
        <f>SUMIFS('Daily Model'!$J$4:$J$555,'Daily Model'!$A$4:$A$555,"&gt;="&amp;$B9,'Daily Model'!$A$4:$A$555,"&lt;="&amp;$C9)</f>
        <v/>
      </c>
      <c r="M9" s="22">
        <f>SUMIFS('Daily Model'!$K$4:$K$555,'Daily Model'!$A$4:$A$555,"&gt;="&amp;$B9,'Daily Model'!$A$4:$A$555,"&lt;="&amp;$C9)</f>
        <v/>
      </c>
      <c r="N9" s="22">
        <f>SUMIFS('Daily Model'!$L$4:$L$555,'Daily Model'!$A$4:$A$555,"&gt;="&amp;$B9,'Daily Model'!$A$4:$A$555,"&lt;="&amp;$C9)</f>
        <v/>
      </c>
      <c r="O9" s="22">
        <f>SUMIFS('Daily Model'!$M$4:$M$555,'Daily Model'!$A$4:$A$555,"&gt;="&amp;$B9,'Daily Model'!$A$4:$A$555,"&lt;="&amp;$C9)</f>
        <v/>
      </c>
      <c r="P9" s="22">
        <f>SUMIFS('Daily Model'!$N$4:$N$555,'Daily Model'!$A$4:$A$555,"&gt;="&amp;$B9,'Daily Model'!$A$4:$A$555,"&lt;="&amp;$C9)</f>
        <v/>
      </c>
      <c r="Q9" s="22">
        <f>SUMIFS('Daily Model'!$O$4:$O$555,'Daily Model'!$A$4:$A$555,"&gt;="&amp;$B9,'Daily Model'!$A$4:$A$555,"&lt;="&amp;$C9)</f>
        <v/>
      </c>
      <c r="R9" s="22">
        <f>SUMIFS('Daily Model'!$P$4:$P$555,'Daily Model'!$A$4:$A$555,"&gt;="&amp;$B9,'Daily Model'!$A$4:$A$555,"&lt;="&amp;$C9)</f>
        <v/>
      </c>
      <c r="S9" s="22">
        <f>SUMIFS('Daily Model'!$Q$4:$Q$555,'Daily Model'!$A$4:$A$555,"&gt;="&amp;$B9,'Daily Model'!$A$4:$A$555,"&lt;="&amp;$C9)</f>
        <v/>
      </c>
      <c r="T9" s="12" t="n"/>
      <c r="U9" s="22">
        <f>SUMIFS('Daily Model'!$S$4:$S$555,'Daily Model'!$A$4:$A$555,"&gt;="&amp;$B9,'Daily Model'!$A$4:$A$555,"&lt;="&amp;$C9)</f>
        <v/>
      </c>
      <c r="V9" s="22">
        <f>SUMIFS('Daily Model'!$T$4:$T$555,'Daily Model'!$A$4:$A$555,"&gt;="&amp;$B9,'Daily Model'!$A$4:$A$555,"&lt;="&amp;$C9)</f>
        <v/>
      </c>
      <c r="W9" s="22">
        <f>SUMIFS('Daily Model'!$U$4:$U$555,'Daily Model'!$A$4:$A$555,"&gt;="&amp;$B9,'Daily Model'!$A$4:$A$555,"&lt;="&amp;$C9)</f>
        <v/>
      </c>
      <c r="X9" s="22">
        <f>SUMIFS('Daily Model'!$V$4:$V$555,'Daily Model'!$A$4:$A$555,"&gt;="&amp;$B9,'Daily Model'!$A$4:$A$555,"&lt;="&amp;$C9)</f>
        <v/>
      </c>
      <c r="Y9" s="22">
        <f>SUMIFS('Daily Model'!$W$4:$W$555,'Daily Model'!$A$4:$A$555,"&gt;="&amp;$B9,'Daily Model'!$A$4:$A$555,"&lt;="&amp;$C9)</f>
        <v/>
      </c>
      <c r="Z9" s="22">
        <f>SUMIFS('Daily Model'!$X$4:$X$555,'Daily Model'!$A$4:$A$555,"&gt;="&amp;$B9,'Daily Model'!$A$4:$A$555,"&lt;="&amp;$C9)</f>
        <v/>
      </c>
      <c r="AA9" s="22">
        <f>SUMIFS('Daily Model'!$Y$4:$Y$555,'Daily Model'!$A$4:$A$555,"&gt;="&amp;$B9,'Daily Model'!$A$4:$A$555,"&lt;="&amp;$C9)</f>
        <v/>
      </c>
      <c r="AB9" s="22">
        <f>SUMIFS('Daily Model'!$Z$4:$Z$555,'Daily Model'!$A$4:$A$555,"&gt;="&amp;$B9,'Daily Model'!$A$4:$A$555,"&lt;="&amp;$C9)</f>
        <v/>
      </c>
      <c r="AC9" s="22">
        <f>SUMIFS('Daily Model'!$AA$4:$AA$555,'Daily Model'!$A$4:$A$555,"&gt;="&amp;$B9,'Daily Model'!$A$4:$A$555,"&lt;="&amp;$C9)</f>
        <v/>
      </c>
      <c r="AD9" s="22">
        <f>SUMIFS('Daily Model'!$AB$4:$AB$555,'Daily Model'!$A$4:$A$555,"&gt;="&amp;$B9,'Daily Model'!$A$4:$A$555,"&lt;="&amp;$C9)</f>
        <v/>
      </c>
      <c r="AE9" s="22">
        <f>SUMIFS('Daily Model'!$AC$4:$AC$555,'Daily Model'!$A$4:$A$555,"&gt;="&amp;$B9,'Daily Model'!$A$4:$A$555,"&lt;="&amp;$C9)</f>
        <v/>
      </c>
      <c r="AF9" s="22">
        <f>SUMIFS('Daily Model'!$AD$4:$AD$555,'Daily Model'!$A$4:$A$555,"&gt;="&amp;$B9,'Daily Model'!$A$4:$A$555,"&lt;="&amp;$C9)</f>
        <v/>
      </c>
      <c r="AG9" s="22">
        <f>SUMIFS('Daily Model'!$AE$4:$AE$555,'Daily Model'!$A$4:$A$555,"&gt;="&amp;$B9,'Daily Model'!$A$4:$A$555,"&lt;="&amp;$C9)</f>
        <v/>
      </c>
      <c r="AH9" s="24">
        <f>AF9-AG9</f>
        <v/>
      </c>
      <c r="AI9" s="13">
        <f>IF(D9=0,"",O9/D9*10000)</f>
        <v/>
      </c>
      <c r="AJ9" s="13">
        <f>IF(E9=0,"",P9/E9*10000)</f>
        <v/>
      </c>
      <c r="AK9" s="13">
        <f>IF(F9=0,"",Q9/F9*10000)</f>
        <v/>
      </c>
      <c r="AL9" s="22">
        <f>SUMIFS('Daily Model'!$AJ$4:$AJ$555,'Daily Model'!$A$4:$A$555,"&gt;="&amp;$B9,'Daily Model'!$A$4:$A$555,"&lt;="&amp;$C9)</f>
        <v/>
      </c>
      <c r="AM9" s="22">
        <f>SUMIFS('Daily Model'!$AK$4:$AK$555,'Daily Model'!$A$4:$A$555,"&gt;="&amp;$B9,'Daily Model'!$A$4:$A$555,"&lt;="&amp;$C9)</f>
        <v/>
      </c>
      <c r="AN9" s="22">
        <f>SUMIFS('Daily Model'!$AL$4:$AL$555,'Daily Model'!$A$4:$A$555,"&gt;="&amp;$B9,'Daily Model'!$A$4:$A$555,"&lt;="&amp;$C9)</f>
        <v/>
      </c>
      <c r="AO9" s="22">
        <f>SUMIFS('Daily Model'!$AM$4:$AM$555,'Daily Model'!$A$4:$A$555,"&gt;="&amp;$B9,'Daily Model'!$A$4:$A$555,"&lt;="&amp;$C9)</f>
        <v/>
      </c>
      <c r="AP9" s="18">
        <f>SUMIFS('Daily Model'!$AN$4:$AN$555,'Daily Model'!$A$4:$A$555,"&gt;="&amp;$B9,'Daily Model'!$A$4:$A$555,"&lt;="&amp;$C9)</f>
        <v/>
      </c>
      <c r="AQ9" s="27">
        <f>IF(AP9=0,"",AO9/AP9)</f>
        <v/>
      </c>
      <c r="AR9" s="18" t="n">
        <v>42797054.9926</v>
      </c>
      <c r="AS9" s="18">
        <f>SUMIFS('Daily Model'!$AQ$4:$AQ$555,'Daily Model'!$A$4:$A$555,"&gt;="&amp;$B9,'Daily Model'!$A$4:$A$555,"&lt;="&amp;$C9)</f>
        <v/>
      </c>
      <c r="AT9" s="18">
        <f>SUMIFS('Daily Model'!$AR$4:$AR$555,'Daily Model'!$A$4:$A$555,"&gt;="&amp;$B9,'Daily Model'!$A$4:$A$555,"&lt;="&amp;$C9)</f>
        <v/>
      </c>
      <c r="AU9" s="18">
        <f>SUMIFS('Daily Model'!$AS$4:$AS$555,'Daily Model'!$A$4:$A$555,"&gt;="&amp;$B9,'Daily Model'!$A$4:$A$555,"&lt;="&amp;$C9)</f>
        <v/>
      </c>
      <c r="AV9" s="21" t="n">
        <v>434.6766</v>
      </c>
      <c r="AW9" s="12" t="n">
        <v>0.0214</v>
      </c>
      <c r="AX9" s="18" t="n">
        <v>416037389.3162</v>
      </c>
      <c r="AY9" s="18" t="n">
        <v>60100000</v>
      </c>
      <c r="AZ9" s="18" t="n">
        <v>42797054.9926</v>
      </c>
      <c r="BA9" s="18" t="n">
        <v>3100000</v>
      </c>
      <c r="BB9" s="18" t="n">
        <v>731922.8668</v>
      </c>
      <c r="BC9" s="20" t="n">
        <v>477233632.8244</v>
      </c>
      <c r="BD9" s="21" t="n">
        <v>241.7149</v>
      </c>
      <c r="BE9" s="21" t="n">
        <v>235.5187</v>
      </c>
      <c r="BF9" s="22" t="n">
        <v>17586059369.5808</v>
      </c>
    </row>
    <row r="10">
      <c r="A10" s="25" t="inlineStr">
        <is>
          <t>Q2 2026 (to 06-04)</t>
        </is>
      </c>
      <c r="B10" s="26" t="n">
        <v>46113</v>
      </c>
      <c r="C10" s="26" t="n">
        <v>46177</v>
      </c>
      <c r="D10" s="22">
        <f>SUMIFS('Daily Model'!$B$4:$B$555,'Daily Model'!$A$4:$A$555,"&gt;="&amp;$B10,'Daily Model'!$A$4:$A$555,"&lt;="&amp;$C10)</f>
        <v/>
      </c>
      <c r="E10" s="22">
        <f>SUMIFS('Daily Model'!$C$4:$C$555,'Daily Model'!$A$4:$A$555,"&gt;="&amp;$B10,'Daily Model'!$A$4:$A$555,"&lt;="&amp;$C10)</f>
        <v/>
      </c>
      <c r="F10" s="22">
        <f>SUMIFS('Daily Model'!$D$4:$D$555,'Daily Model'!$A$4:$A$555,"&gt;="&amp;$B10,'Daily Model'!$A$4:$A$555,"&lt;="&amp;$C10)</f>
        <v/>
      </c>
      <c r="G10" s="22">
        <f>SUMIFS('Daily Model'!$E$4:$E$555,'Daily Model'!$A$4:$A$555,"&gt;="&amp;$B10,'Daily Model'!$A$4:$A$555,"&lt;="&amp;$C10)</f>
        <v/>
      </c>
      <c r="H10" s="22">
        <f>SUMIFS('Daily Model'!$F$4:$F$555,'Daily Model'!$A$4:$A$555,"&gt;="&amp;$B10,'Daily Model'!$A$4:$A$555,"&lt;="&amp;$C10)</f>
        <v/>
      </c>
      <c r="I10" s="22">
        <f>SUMIFS('Daily Model'!$G$4:$G$555,'Daily Model'!$A$4:$A$555,"&gt;="&amp;$B10,'Daily Model'!$A$4:$A$555,"&lt;="&amp;$C10)</f>
        <v/>
      </c>
      <c r="J10" s="22">
        <f>SUMIFS('Daily Model'!$H$4:$H$555,'Daily Model'!$A$4:$A$555,"&gt;="&amp;$B10,'Daily Model'!$A$4:$A$555,"&lt;="&amp;$C10)</f>
        <v/>
      </c>
      <c r="K10" s="22">
        <f>SUMIFS('Daily Model'!$I$4:$I$555,'Daily Model'!$A$4:$A$555,"&gt;="&amp;$B10,'Daily Model'!$A$4:$A$555,"&lt;="&amp;$C10)</f>
        <v/>
      </c>
      <c r="L10" s="22">
        <f>SUMIFS('Daily Model'!$J$4:$J$555,'Daily Model'!$A$4:$A$555,"&gt;="&amp;$B10,'Daily Model'!$A$4:$A$555,"&lt;="&amp;$C10)</f>
        <v/>
      </c>
      <c r="M10" s="22">
        <f>SUMIFS('Daily Model'!$K$4:$K$555,'Daily Model'!$A$4:$A$555,"&gt;="&amp;$B10,'Daily Model'!$A$4:$A$555,"&lt;="&amp;$C10)</f>
        <v/>
      </c>
      <c r="N10" s="22">
        <f>SUMIFS('Daily Model'!$L$4:$L$555,'Daily Model'!$A$4:$A$555,"&gt;="&amp;$B10,'Daily Model'!$A$4:$A$555,"&lt;="&amp;$C10)</f>
        <v/>
      </c>
      <c r="O10" s="22">
        <f>SUMIFS('Daily Model'!$M$4:$M$555,'Daily Model'!$A$4:$A$555,"&gt;="&amp;$B10,'Daily Model'!$A$4:$A$555,"&lt;="&amp;$C10)</f>
        <v/>
      </c>
      <c r="P10" s="22">
        <f>SUMIFS('Daily Model'!$N$4:$N$555,'Daily Model'!$A$4:$A$555,"&gt;="&amp;$B10,'Daily Model'!$A$4:$A$555,"&lt;="&amp;$C10)</f>
        <v/>
      </c>
      <c r="Q10" s="22">
        <f>SUMIFS('Daily Model'!$O$4:$O$555,'Daily Model'!$A$4:$A$555,"&gt;="&amp;$B10,'Daily Model'!$A$4:$A$555,"&lt;="&amp;$C10)</f>
        <v/>
      </c>
      <c r="R10" s="22">
        <f>SUMIFS('Daily Model'!$P$4:$P$555,'Daily Model'!$A$4:$A$555,"&gt;="&amp;$B10,'Daily Model'!$A$4:$A$555,"&lt;="&amp;$C10)</f>
        <v/>
      </c>
      <c r="S10" s="22">
        <f>SUMIFS('Daily Model'!$Q$4:$Q$555,'Daily Model'!$A$4:$A$555,"&gt;="&amp;$B10,'Daily Model'!$A$4:$A$555,"&lt;="&amp;$C10)</f>
        <v/>
      </c>
      <c r="T10" s="12" t="n"/>
      <c r="U10" s="22">
        <f>SUMIFS('Daily Model'!$S$4:$S$555,'Daily Model'!$A$4:$A$555,"&gt;="&amp;$B10,'Daily Model'!$A$4:$A$555,"&lt;="&amp;$C10)</f>
        <v/>
      </c>
      <c r="V10" s="22">
        <f>SUMIFS('Daily Model'!$T$4:$T$555,'Daily Model'!$A$4:$A$555,"&gt;="&amp;$B10,'Daily Model'!$A$4:$A$555,"&lt;="&amp;$C10)</f>
        <v/>
      </c>
      <c r="W10" s="22">
        <f>SUMIFS('Daily Model'!$U$4:$U$555,'Daily Model'!$A$4:$A$555,"&gt;="&amp;$B10,'Daily Model'!$A$4:$A$555,"&lt;="&amp;$C10)</f>
        <v/>
      </c>
      <c r="X10" s="22">
        <f>SUMIFS('Daily Model'!$V$4:$V$555,'Daily Model'!$A$4:$A$555,"&gt;="&amp;$B10,'Daily Model'!$A$4:$A$555,"&lt;="&amp;$C10)</f>
        <v/>
      </c>
      <c r="Y10" s="22">
        <f>SUMIFS('Daily Model'!$W$4:$W$555,'Daily Model'!$A$4:$A$555,"&gt;="&amp;$B10,'Daily Model'!$A$4:$A$555,"&lt;="&amp;$C10)</f>
        <v/>
      </c>
      <c r="Z10" s="22">
        <f>SUMIFS('Daily Model'!$X$4:$X$555,'Daily Model'!$A$4:$A$555,"&gt;="&amp;$B10,'Daily Model'!$A$4:$A$555,"&lt;="&amp;$C10)</f>
        <v/>
      </c>
      <c r="AA10" s="22">
        <f>SUMIFS('Daily Model'!$Y$4:$Y$555,'Daily Model'!$A$4:$A$555,"&gt;="&amp;$B10,'Daily Model'!$A$4:$A$555,"&lt;="&amp;$C10)</f>
        <v/>
      </c>
      <c r="AB10" s="22">
        <f>SUMIFS('Daily Model'!$Z$4:$Z$555,'Daily Model'!$A$4:$A$555,"&gt;="&amp;$B10,'Daily Model'!$A$4:$A$555,"&lt;="&amp;$C10)</f>
        <v/>
      </c>
      <c r="AC10" s="22">
        <f>SUMIFS('Daily Model'!$AA$4:$AA$555,'Daily Model'!$A$4:$A$555,"&gt;="&amp;$B10,'Daily Model'!$A$4:$A$555,"&lt;="&amp;$C10)</f>
        <v/>
      </c>
      <c r="AD10" s="22">
        <f>SUMIFS('Daily Model'!$AB$4:$AB$555,'Daily Model'!$A$4:$A$555,"&gt;="&amp;$B10,'Daily Model'!$A$4:$A$555,"&lt;="&amp;$C10)</f>
        <v/>
      </c>
      <c r="AE10" s="22">
        <f>SUMIFS('Daily Model'!$AC$4:$AC$555,'Daily Model'!$A$4:$A$555,"&gt;="&amp;$B10,'Daily Model'!$A$4:$A$555,"&lt;="&amp;$C10)</f>
        <v/>
      </c>
      <c r="AF10" s="22">
        <f>SUMIFS('Daily Model'!$AD$4:$AD$555,'Daily Model'!$A$4:$A$555,"&gt;="&amp;$B10,'Daily Model'!$A$4:$A$555,"&lt;="&amp;$C10)</f>
        <v/>
      </c>
      <c r="AG10" s="22">
        <f>SUMIFS('Daily Model'!$AE$4:$AE$555,'Daily Model'!$A$4:$A$555,"&gt;="&amp;$B10,'Daily Model'!$A$4:$A$555,"&lt;="&amp;$C10)</f>
        <v/>
      </c>
      <c r="AH10" s="24">
        <f>AF10-AG10</f>
        <v/>
      </c>
      <c r="AI10" s="13">
        <f>IF(D10=0,"",O10/D10*10000)</f>
        <v/>
      </c>
      <c r="AJ10" s="13">
        <f>IF(E10=0,"",P10/E10*10000)</f>
        <v/>
      </c>
      <c r="AK10" s="13">
        <f>IF(F10=0,"",Q10/F10*10000)</f>
        <v/>
      </c>
      <c r="AL10" s="22">
        <f>SUMIFS('Daily Model'!$AJ$4:$AJ$555,'Daily Model'!$A$4:$A$555,"&gt;="&amp;$B10,'Daily Model'!$A$4:$A$555,"&lt;="&amp;$C10)</f>
        <v/>
      </c>
      <c r="AM10" s="22">
        <f>SUMIFS('Daily Model'!$AK$4:$AK$555,'Daily Model'!$A$4:$A$555,"&gt;="&amp;$B10,'Daily Model'!$A$4:$A$555,"&lt;="&amp;$C10)</f>
        <v/>
      </c>
      <c r="AN10" s="22">
        <f>SUMIFS('Daily Model'!$AL$4:$AL$555,'Daily Model'!$A$4:$A$555,"&gt;="&amp;$B10,'Daily Model'!$A$4:$A$555,"&lt;="&amp;$C10)</f>
        <v/>
      </c>
      <c r="AO10" s="22">
        <f>SUMIFS('Daily Model'!$AM$4:$AM$555,'Daily Model'!$A$4:$A$555,"&gt;="&amp;$B10,'Daily Model'!$A$4:$A$555,"&lt;="&amp;$C10)</f>
        <v/>
      </c>
      <c r="AP10" s="18">
        <f>SUMIFS('Daily Model'!$AN$4:$AN$555,'Daily Model'!$A$4:$A$555,"&gt;="&amp;$B10,'Daily Model'!$A$4:$A$555,"&lt;="&amp;$C10)</f>
        <v/>
      </c>
      <c r="AQ10" s="27">
        <f>IF(AP10=0,"",AO10/AP10)</f>
        <v/>
      </c>
      <c r="AR10" s="18" t="n">
        <v>44818417.3947</v>
      </c>
      <c r="AS10" s="18">
        <f>SUMIFS('Daily Model'!$AQ$4:$AQ$555,'Daily Model'!$A$4:$A$555,"&gt;="&amp;$B10,'Daily Model'!$A$4:$A$555,"&lt;="&amp;$C10)</f>
        <v/>
      </c>
      <c r="AT10" s="18">
        <f>SUMIFS('Daily Model'!$AR$4:$AR$555,'Daily Model'!$A$4:$A$555,"&gt;="&amp;$B10,'Daily Model'!$A$4:$A$555,"&lt;="&amp;$C10)</f>
        <v/>
      </c>
      <c r="AU10" s="18">
        <f>SUMIFS('Daily Model'!$AS$4:$AS$555,'Daily Model'!$A$4:$A$555,"&gt;="&amp;$B10,'Daily Model'!$A$4:$A$555,"&lt;="&amp;$C10)</f>
        <v/>
      </c>
      <c r="AV10" s="21" t="n">
        <v>430.5641</v>
      </c>
      <c r="AW10" s="12" t="n">
        <v>0.0215</v>
      </c>
      <c r="AX10" s="18" t="n">
        <v>414348147.1846</v>
      </c>
      <c r="AY10" s="18" t="n">
        <v>60100000</v>
      </c>
      <c r="AZ10" s="18" t="n">
        <v>44818417.3947</v>
      </c>
      <c r="BA10" s="18" t="n">
        <v>3100000</v>
      </c>
      <c r="BB10" s="18" t="n">
        <v>803572.8044</v>
      </c>
      <c r="BC10" s="20" t="n">
        <v>476829862.6163</v>
      </c>
      <c r="BD10" s="21" t="n">
        <v>241.3849</v>
      </c>
      <c r="BE10" s="21" t="n">
        <v>235.4449</v>
      </c>
      <c r="BF10" s="22" t="n">
        <v>33559285730.9324</v>
      </c>
    </row>
  </sheetData>
  <mergeCells count="10">
    <mergeCell ref="AI2:AK2"/>
    <mergeCell ref="AO2:AW2"/>
    <mergeCell ref="O2:S2"/>
    <mergeCell ref="A1:BF1"/>
    <mergeCell ref="AL2:AN2"/>
    <mergeCell ref="AX2:BF2"/>
    <mergeCell ref="H2:N2"/>
    <mergeCell ref="T2:AA2"/>
    <mergeCell ref="D2:G2"/>
    <mergeCell ref="AB2:A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58" customWidth="1" min="3" max="3"/>
    <col width="44" customWidth="1" min="4" max="4"/>
  </cols>
  <sheetData>
    <row r="1" ht="20" customHeight="1">
      <c r="A1" s="28" t="inlineStr">
        <is>
          <t>SOURCES &amp; METHODOLOGY</t>
        </is>
      </c>
    </row>
    <row r="2" ht="56" customHeight="1">
      <c r="A2" s="29" t="inlineStr">
        <is>
          <t>•  BRIDGE (per segment): Gross Fees − HLP − (Unit on spot) − (deployer on HIP-3) = Revenue to HyperCore. Builder code fees are ON-TOP (paid by users to front-ends) and are NOT deducted. Sum of segment revenues = HyperCore Revenue = hyperscreener "HyperCore Buybacks" (north star). + HyperEVM + Auction burn = Total Revenue.</t>
        </is>
      </c>
    </row>
    <row r="3" ht="56" customHeight="1">
      <c r="A3" s="29" t="inlineStr">
        <is>
          <t>•  Core crypto perp is the residual segment: Core Revenue = HyperCore − Spot − HIP-3 − HIP-4; Core Fees = Core Revenue / (1 − HLP). This makes the bridge tie exactly to the north star (Check column ≈ 0).</t>
        </is>
      </c>
    </row>
    <row r="4" ht="56" customHeight="1">
      <c r="A4" s="29" t="inlineStr">
        <is>
          <t>•  HLP share: 1% of perp+spot fees from 2025-08-30 (3% before); on spot it applies to (fees − Unit). HIP-3 &amp; Spot revenue use clean computed HLP; any accrual-vs-buyback timing difference is absorbed by the core-perp residual.</t>
        </is>
      </c>
    </row>
    <row r="5" ht="56" customHeight="1">
      <c r="A5" s="29" t="inlineStr">
        <is>
          <t>•  HIP-3 volume AND fees are both from Loris (single source) so the take-rate is internally consistent. The asset-category split (commodities/crypto/fx/indices/pre-IPO/stocks) is the hyperscreener category mix allocated to the Loris HIP-3 total, so the categories sum exactly to HIP-3 volume.</t>
        </is>
      </c>
    </row>
    <row r="6" ht="56" customHeight="1">
      <c r="A6" s="29" t="inlineStr">
        <is>
          <t>•  HIP-4 (outcome / prediction markets) launched 2026-05-02, zero-fee. Hyperscreener only publishes the current day for HIP-4 (no daily history endpoint), so the column is sparse; immaterial to revenue.</t>
        </is>
      </c>
    </row>
    <row r="7" ht="56" customHeight="1">
      <c r="A7" s="29" t="inlineStr">
        <is>
          <t>•  OTS (Hyperliquid Strategies basis) = 1,000M − Future Emissions&amp;CR − Hyper Foundation − Assistance Fund − Community Grants − HyperCore&amp;HyperEVM fee burns. Validated to HL Strategies 29-Apr-2026 (477.0M vs 476.7M). Split into Core Contributors (locked) + Circulating; team vesting moves tokens Core→Circulating, OTS unchanged.</t>
        </is>
      </c>
    </row>
    <row r="9">
      <c r="A9" s="30" t="inlineStr">
        <is>
          <t>Data</t>
        </is>
      </c>
      <c r="B9" s="30" t="inlineStr">
        <is>
          <t>Source</t>
        </is>
      </c>
      <c r="C9" s="30" t="inlineStr">
        <is>
          <t>Endpoint / URL</t>
        </is>
      </c>
      <c r="D9" s="30" t="inlineStr">
        <is>
          <t>Notes</t>
        </is>
      </c>
    </row>
    <row r="10" ht="30" customHeight="1">
      <c r="A10" s="31" t="inlineStr">
        <is>
          <t>Core / total perp volume</t>
        </is>
      </c>
      <c r="B10" s="31" t="inlineStr">
        <is>
          <t>hyperscreener (ASXN)</t>
        </is>
      </c>
      <c r="C10" s="31" t="inlineStr">
        <is>
          <t>https://api-hyperliquid.asxn.xyz/api/cloudfront/total_volume</t>
        </is>
      </c>
      <c r="D10" s="31" t="inlineStr">
        <is>
          <t>Daily $ by coin, summed. Core = total − HIP-3.</t>
        </is>
      </c>
    </row>
    <row r="11" ht="30" customHeight="1">
      <c r="A11" s="31" t="inlineStr">
        <is>
          <t>HIP-3 volume, gross fees, deployer fees</t>
        </is>
      </c>
      <c r="B11" s="31" t="inlineStr">
        <is>
          <t>Loris</t>
        </is>
      </c>
      <c r="C11" s="31" t="inlineStr">
        <is>
          <t>https://loris.tools/hip3 (api.loris.tools; HL perpDexs-derived)</t>
        </is>
      </c>
      <c r="D11" s="31" t="inlineStr">
        <is>
          <t>timeseries: volume, total_fees, total_deployer_fees. Single source for HIP-3 vol &amp; fees.</t>
        </is>
      </c>
    </row>
    <row r="12" ht="30" customHeight="1">
      <c r="A12" s="31" t="inlineStr">
        <is>
          <t>HIP-3 category mix</t>
        </is>
      </c>
      <c r="B12" s="31" t="inlineStr">
        <is>
          <t>hyperscreener (ASXN)</t>
        </is>
      </c>
      <c r="C12" s="31" t="inlineStr">
        <is>
          <t>https://api-hyperliquid.asxn.xyz/api/categories/hip3-categories/historical</t>
        </is>
      </c>
      <c r="D12" s="31" t="inlineStr">
        <is>
          <t>Asset-category proportions; allocated to the Loris HIP-3 total.</t>
        </is>
      </c>
    </row>
    <row r="13" ht="30" customHeight="1">
      <c r="A13" s="31" t="inlineStr">
        <is>
          <t>Spot volume / fees / revenue</t>
        </is>
      </c>
      <c r="B13" s="31" t="inlineStr">
        <is>
          <t>DefiLlama</t>
        </is>
      </c>
      <c r="C13" s="31" t="inlineStr">
        <is>
          <t>https://api.llama.fi/summary/fees/hyperliquid-spot-orderbook · /dexs/hyperliquid-spot-orderbook</t>
        </is>
      </c>
      <c r="D13" s="31" t="inlineStr">
        <is>
          <t>dailyVolume, dailyFees (incl Unit).</t>
        </is>
      </c>
    </row>
    <row r="14" ht="30" customHeight="1">
      <c r="A14" s="31" t="inlineStr">
        <is>
          <t>Unit protocol fees</t>
        </is>
      </c>
      <c r="B14" s="31" t="inlineStr">
        <is>
          <t>DefiLlama</t>
        </is>
      </c>
      <c r="C14" s="31" t="inlineStr">
        <is>
          <t>https://api.llama.fi/summary/fees/unit</t>
        </is>
      </c>
      <c r="D14" s="31" t="inlineStr">
        <is>
          <t>Hyperunit deployer cut on spot tokens it deploys.</t>
        </is>
      </c>
    </row>
    <row r="15" ht="30" customHeight="1">
      <c r="A15" s="31" t="inlineStr">
        <is>
          <t>HIP-4 (outcome) volume/fees</t>
        </is>
      </c>
      <c r="B15" s="31" t="inlineStr">
        <is>
          <t>hyperscreener (ASXN)</t>
        </is>
      </c>
      <c r="C15" s="31" t="inlineStr">
        <is>
          <t>https://api-hyperliquid.asxn.xyz/api/outcome-coins/analytics/daily</t>
        </is>
      </c>
      <c r="D15" s="31" t="inlineStr">
        <is>
          <t>Current day only; live 2026-05-02, zero-fee.</t>
        </is>
      </c>
    </row>
    <row r="16" ht="30" customHeight="1">
      <c r="A16" s="31" t="inlineStr">
        <is>
          <t>HyperCore revenue / buyback / AF</t>
        </is>
      </c>
      <c r="B16" s="31" t="inlineStr">
        <is>
          <t>hyperscreener (ASXN)</t>
        </is>
      </c>
      <c r="C16" s="31" t="inlineStr">
        <is>
          <t>https://api-hyperliquid.asxn.xyz/api/buyback/revenues · /hl-buybacks · /assistance-fund-holdings</t>
        </is>
      </c>
      <c r="D16" s="31" t="inlineStr">
        <is>
          <t>HyperCore Buybacks (north star), HyperEVM &amp; auction burn, buyback HYPE/price, AF balance.</t>
        </is>
      </c>
    </row>
    <row r="17" ht="30" customHeight="1">
      <c r="A17" s="31" t="inlineStr">
        <is>
          <t>Emissions / supply / fee burns</t>
        </is>
      </c>
      <c r="B17" s="31" t="inlineStr">
        <is>
          <t>hyperscreener (ASXN)</t>
        </is>
      </c>
      <c r="C17" s="31" t="inlineStr">
        <is>
          <t>https://api-hyperliquid.asxn.xyz/api/validators/daily-emissions · buyback/daily-burn</t>
        </is>
      </c>
      <c r="D17" s="31" t="inlineStr">
        <is>
          <t>dailyEmission, future-emission, total supply, dailyBurn.</t>
        </is>
      </c>
    </row>
    <row r="18" ht="30" customHeight="1">
      <c r="A18" s="31" t="inlineStr">
        <is>
          <t>HYPE staked + implied yield</t>
        </is>
      </c>
      <c r="B18" s="31" t="inlineStr">
        <is>
          <t>hyperscreener (ASXN)</t>
        </is>
      </c>
      <c r="C18" s="31" t="inlineStr">
        <is>
          <t>https://api-hyperliquid.asxn.xyz/api/validators/hype-staking/metrics</t>
        </is>
      </c>
      <c r="D18" s="31" t="inlineStr">
        <is>
          <t>Daily totalStake + ASXN-computed yield.</t>
        </is>
      </c>
    </row>
    <row r="19" ht="30" customHeight="1">
      <c r="A19" s="31" t="inlineStr">
        <is>
          <t>Builder code fees (on-top)</t>
        </is>
      </c>
      <c r="B19" s="31" t="inlineStr">
        <is>
          <t>hyperscreener (ASXN)</t>
        </is>
      </c>
      <c r="C19" s="31" t="inlineStr">
        <is>
          <t>https://api-hyperliquid.asxn.xyz/api/node/builders/stacked-fees-chart</t>
        </is>
      </c>
      <c r="D19" s="31" t="inlineStr">
        <is>
          <t>Pass-through to front-ends; not in the bridge.</t>
        </is>
      </c>
    </row>
    <row r="20" ht="30" customHeight="1">
      <c r="A20" s="31" t="inlineStr">
        <is>
          <t>HLP share (1%/3%)</t>
        </is>
      </c>
      <c r="B20" s="31" t="inlineStr">
        <is>
          <t>DefiLlama methodology</t>
        </is>
      </c>
      <c r="C20" s="31" t="inlineStr">
        <is>
          <t>hyperliquid-perps &amp; -spot-orderbook methodology</t>
        </is>
      </c>
      <c r="D20" s="31" t="inlineStr">
        <is>
          <t>1% from 2025-08-30, 3% before.</t>
        </is>
      </c>
    </row>
    <row r="21" ht="30" customHeight="1">
      <c r="A21" s="31" t="inlineStr">
        <is>
          <t>OTS definition + 29-Apr-2026 anchor</t>
        </is>
      </c>
      <c r="B21" s="31" t="inlineStr">
        <is>
          <t>Hyperliquid Strategies</t>
        </is>
      </c>
      <c r="C21" s="31" t="inlineStr">
        <is>
          <t>Summary of Token Supply statement</t>
        </is>
      </c>
      <c r="D21" s="31" t="inlineStr">
        <is>
          <t>OTS buckets; Core Contributors / Circulating split.</t>
        </is>
      </c>
    </row>
    <row r="22" ht="30" customHeight="1">
      <c r="A22" s="31" t="inlineStr">
        <is>
          <t>Team / core-contributor unlocks</t>
        </is>
      </c>
      <c r="B22" s="31" t="inlineStr">
        <is>
          <t>insights.unlocks.app · tokenomist.ai</t>
        </is>
      </c>
      <c r="C22" s="31" t="inlineStr">
        <is>
          <t>Public unlock trackers</t>
        </is>
      </c>
      <c r="D22" s="31" t="inlineStr">
        <is>
          <t>Discretionary claims Nov-2025..Apr-2026 (3.515M total).</t>
        </is>
      </c>
    </row>
    <row r="23" ht="30" customHeight="1">
      <c r="A23" s="31" t="inlineStr">
        <is>
          <t>Perp revenue (cross-check only)</t>
        </is>
      </c>
      <c r="B23" s="31" t="inlineStr">
        <is>
          <t>DefiLlama</t>
        </is>
      </c>
      <c r="C23" s="31" t="inlineStr">
        <is>
          <t>https://api.llama.fi/summary/fees/hyperliquid-perps</t>
        </is>
      </c>
      <c r="D23" s="31" t="inlineStr">
        <is>
          <t>Accrual basis; ~7.5% above hyperscreener buyback cumulatively (timing).</t>
        </is>
      </c>
    </row>
  </sheetData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2026-06-05T04:22:42Z</dcterms:created>
  <dcterms:modified xsi:type="dcterms:W3CDTF">2026-06-05T04:22:43Z</dcterms:modified>
</cp:coreProperties>
</file>