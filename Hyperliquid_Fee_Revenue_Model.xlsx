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Daily Model" sheetId="3" state="visible" r:id="rId3"/>
    <sheet name="Daily Data" sheetId="4" state="visible" r:id="rId4"/>
    <sheet name="Sources" sheetId="5" state="visible" r:id="rId5"/>
  </sheets>
  <definedNames>
    <definedName name="HLP_Current">Assumptions!$C$4</definedName>
    <definedName name="HLP_Legacy">Assumptions!$C$5</definedName>
    <definedName name="HLP_ChangeDate">Assumptions!$C$6</definedName>
    <definedName name="Rate_Builder">Assumptions!$C$7</definedName>
    <definedName name="_xlnm._FilterDatabase" localSheetId="2" hidden="1">'Daily Model'!$A$3:$R$508</definedName>
    <definedName name="_xlnm._FilterDatabase" localSheetId="3" hidden="1">'Daily Data'!$A$3:$W$508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%;(0.00%);&quot;-&quot;"/>
    <numFmt numFmtId="165" formatCode="yyyy-mm-dd"/>
    <numFmt numFmtId="166" formatCode="0.00000000"/>
    <numFmt numFmtId="167" formatCode="0.000;(0.000);&quot;-&quot;"/>
    <numFmt numFmtId="168" formatCode="$#,##0;($#,##0);&quot;-&quot;"/>
    <numFmt numFmtId="169" formatCode="#,##0;(#,##0);&quot;-&quot;"/>
  </numFmts>
  <fonts count="15">
    <font>
      <name val="Calibri"/>
      <family val="2"/>
      <color theme="1"/>
      <sz val="11"/>
      <scheme val="minor"/>
    </font>
    <font>
      <name val="Arial"/>
      <b val="1"/>
      <color rgb="001A1A1A"/>
      <sz val="13"/>
    </font>
    <font>
      <name val="Arial"/>
      <i val="1"/>
      <color rgb="00555555"/>
      <sz val="9"/>
    </font>
    <font>
      <name val="Arial"/>
      <b val="1"/>
      <color rgb="000B6E4F"/>
      <sz val="11"/>
    </font>
    <font>
      <name val="Arial"/>
      <color rgb="001A1A1A"/>
      <sz val="10"/>
    </font>
    <font>
      <name val="Arial"/>
      <b val="1"/>
      <color rgb="001A1A1A"/>
      <sz val="10"/>
    </font>
    <font>
      <name val="Arial"/>
      <color rgb="001A1A1A"/>
      <sz val="9"/>
    </font>
    <font>
      <name val="Arial"/>
      <color rgb="000000FF"/>
      <sz val="9"/>
    </font>
    <font>
      <name val="Arial"/>
      <color rgb="00000000"/>
      <sz val="9"/>
    </font>
    <font>
      <name val="Arial"/>
      <color rgb="000B6E4F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FF"/>
      <sz val="9"/>
    </font>
    <font>
      <name val="Arial"/>
      <b val="1"/>
      <color rgb="00FFFFFF"/>
      <sz val="10"/>
    </font>
    <font>
      <name val="Arial"/>
      <i val="1"/>
      <color rgb="00FFFFFF"/>
      <sz val="8"/>
    </font>
  </fonts>
  <fills count="9">
    <fill>
      <patternFill/>
    </fill>
    <fill>
      <patternFill patternType="gray125"/>
    </fill>
    <fill>
      <patternFill patternType="solid">
        <fgColor rgb="00FFF4CE"/>
      </patternFill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0B6E4F"/>
      </patternFill>
    </fill>
    <fill>
      <patternFill patternType="solid">
        <fgColor rgb="001D4E89"/>
      </patternFill>
    </fill>
    <fill>
      <patternFill patternType="solid">
        <fgColor rgb="007A4FB8"/>
      </patternFill>
    </fill>
    <fill>
      <patternFill patternType="solid">
        <fgColor rgb="00B8460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3" borderId="0" pivotButton="0" quotePrefix="0" xfId="0"/>
    <xf numFmtId="0" fontId="11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164" fontId="12" fillId="2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165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6" fontId="12" fillId="2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13" fillId="3" borderId="0" pivotButton="0" quotePrefix="0" xfId="0"/>
    <xf numFmtId="0" fontId="11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 wrapText="1"/>
    </xf>
    <xf numFmtId="165" fontId="8" fillId="0" borderId="1" pivotButton="0" quotePrefix="0" xfId="0"/>
    <xf numFmtId="168" fontId="8" fillId="0" borderId="1" pivotButton="0" quotePrefix="0" xfId="0"/>
    <xf numFmtId="168" fontId="9" fillId="0" borderId="1" pivotButton="0" quotePrefix="0" xfId="0"/>
    <xf numFmtId="164" fontId="8" fillId="0" borderId="1" pivotButton="0" quotePrefix="0" xfId="0"/>
    <xf numFmtId="167" fontId="8" fillId="0" borderId="1" pivotButton="0" quotePrefix="0" xfId="0"/>
    <xf numFmtId="0" fontId="14" fillId="4" borderId="0" applyAlignment="1" pivotButton="0" quotePrefix="0" xfId="0">
      <alignment horizontal="center"/>
    </xf>
    <xf numFmtId="168" fontId="7" fillId="0" borderId="1" pivotButton="0" quotePrefix="0" xfId="0"/>
    <xf numFmtId="169" fontId="7" fillId="0" borderId="1" pivotButton="0" quotePrefix="0" xfId="0"/>
    <xf numFmtId="169" fontId="8" fillId="0" borderId="1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Sources</author>
  </authors>
  <commentList>
    <comment ref="E3" authorId="0" shapeId="0">
      <text>
        <t>SOURCE: hyperscreener.asxn.xyz /buyback/revenues — actual protocol revenue.</t>
      </text>
    </comment>
    <comment ref="F3" authorId="0" shapeId="0">
      <text>
        <t>SOURCE: Loris (loris.tools) — HIP-3 gross fees, all builder-deployed DEXs.</t>
      </text>
    </comment>
    <comment ref="G3" authorId="0" shapeId="0">
      <text>
        <t>SOURCE: Loris — deployer share of HIP-3 fees. Zero before 2026-03-21 (growth mode).</t>
      </text>
    </comment>
    <comment ref="I3" authorId="0" shapeId="0">
      <text>
        <t>SOURCE: DefiLlama hyperliquid-spot-orderbook (dailyHoldersRevenue).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B1" s="1" t="inlineStr">
        <is>
          <t>Hyperliquid — Fee → Revenue DAILY Decomposition</t>
        </is>
      </c>
    </row>
    <row r="2">
      <c r="B2" s="2" t="inlineStr">
        <is>
          <t>Splits the actual HyperCore revenue into core-perp / HIP-3 / spot, every day, by top-down subtraction.</t>
        </is>
      </c>
    </row>
    <row r="3">
      <c r="B3" s="2" t="inlineStr">
        <is>
          <t>Generated 2026-05-21.  Daily, 2025-01-01 → 2026-05-20.</t>
        </is>
      </c>
    </row>
    <row r="5">
      <c r="B5" s="3" t="inlineStr">
        <is>
          <t>THE METHOD  (everything daily — no monthly aggregation)</t>
        </is>
      </c>
    </row>
    <row r="6" ht="44" customHeight="1">
      <c r="B6" s="4" t="inlineStr">
        <is>
          <t>•  NORTH STAR: the actual HyperCore revenue reported by hyperscreener.asxn.xyz (the $ that funds HYPE buybacks). The model never overrides it — it decomposes it.</t>
        </is>
      </c>
    </row>
    <row r="7" ht="44" customHeight="1">
      <c r="B7" s="4" t="inlineStr">
        <is>
          <t>•  STEP 1 — HIP-3: HIP-3 gross fees and deployer fees come from Loris (loris.tools), daily. HIP-3 protocol revenue = gross fees − deployer fees.</t>
        </is>
      </c>
    </row>
    <row r="8" ht="44" customHeight="1">
      <c r="B8" s="4" t="inlineStr">
        <is>
          <t>•  STEP 2 — Spot: spot revenue comes from DefiLlama (hyperliquid-spot-orderbook), daily.</t>
        </is>
      </c>
    </row>
    <row r="9" ht="44" customHeight="1">
      <c r="B9" s="4" t="inlineStr">
        <is>
          <t>•  STEP 3 — Core perp (the plug): Core perp revenue = HyperCore revenue − HIP-3 protocol revenue − spot revenue. Because it is a residual, the three pieces ALWAYS sum back to the north star exactly.</t>
        </is>
      </c>
    </row>
    <row r="10" ht="44" customHeight="1">
      <c r="B10" s="4" t="inlineStr">
        <is>
          <t>•  STEP 4 — Fees &amp; HLP: revenue is grossed up to protocol fees by adding back the HLP provider share — 1% of perp+spot fees, and 3% before 2025-08-30 (DefiLlama methodology). Protocol fee = revenue ÷ (1 − HLP%).</t>
        </is>
      </c>
    </row>
    <row r="11" ht="44" customHeight="1">
      <c r="B11" s="4" t="inlineStr">
        <is>
          <t>•  CROSS-CHECKS: each segment's implied take-rate (fees ÷ volume, in bps) is shown so you can sanity-check it against the Hyperliquid fee schedule.</t>
        </is>
      </c>
    </row>
    <row r="13">
      <c r="B13" s="3" t="inlineStr">
        <is>
          <t>WHAT THE NUMBERS SAY  (read these before using the model)</t>
        </is>
      </c>
    </row>
    <row r="14" ht="48" customHeight="1">
      <c r="B14" s="5" t="inlineStr">
        <is>
          <t>•  HIP-3 is in GROWTH MODE: gross fees are ~0.7 bps of HIP-3 volume — roughly 4x lower than core perp. HIP-3 deployer fees are zero until 2026-03-21 (deployers took 0% in growth mode), so before that the protocol kept 100% of the (small) HIP-3 fees. HIP-3 is huge in volume but tiny in revenue today.</t>
        </is>
      </c>
    </row>
    <row r="15" ht="48" customHeight="1">
      <c r="B15" s="5" t="inlineStr">
        <is>
          <t>•  Core perp take-rate lands around 2–3 bps — well below the 0.045% (4.5 bps) headline taker fee, because most volume is maker and/or at discounted volume tiers. 4.5 bps is a ceiling, not the realised rate.</t>
        </is>
      </c>
    </row>
    <row r="16" ht="48" customHeight="1">
      <c r="B16" s="5" t="inlineStr">
        <is>
          <t>•  The decomposition is only meaningful from 2025-03-20, when hyperscreener's revenue series begins. Rows before that have volume but no revenue to decompose.</t>
        </is>
      </c>
    </row>
    <row r="17" ht="48" customHeight="1">
      <c r="B17" s="5" t="inlineStr">
        <is>
          <t>•  Spot revenue is from DefiLlama — a different source from the hyperscreener north star — so a small methodology mismatch is absorbed into the core-perp residual. Spot is ~5% of revenue, so the effect is small.</t>
        </is>
      </c>
    </row>
    <row r="18" ht="48" customHeight="1">
      <c r="B18" s="5" t="inlineStr">
        <is>
          <t>•  The last day (2026-05-20) is partial in the Loris/DefiLlama feeds. Spot revenue has 2 gap days (2025-06-08/09) where DefiLlama reported nothing — they read as 0 and the core-perp residual absorbs it.</t>
        </is>
      </c>
    </row>
    <row r="19" ht="48" customHeight="1">
      <c r="B19" s="5" t="inlineStr">
        <is>
          <t>•  Supply reconciliation (Daily Data tab): the Total Supply check is ~0 every day except 2025-04-02 and 2025-12-08, where the source's own reported burn figures contain a small artifact. The check column surfaces this rather than hiding it.</t>
        </is>
      </c>
    </row>
    <row r="21">
      <c r="B21" s="3" t="inlineStr">
        <is>
          <t>TABS</t>
        </is>
      </c>
    </row>
    <row r="22">
      <c r="B22" s="6" t="inlineStr">
        <is>
          <t>Assumptions</t>
        </is>
      </c>
      <c r="D22" s="7" t="inlineStr">
        <is>
          <t>HLP share (1% / 3% pre-2025-08-30) and the builder-code fee rate. Yellow = editable.</t>
        </is>
      </c>
    </row>
    <row r="23">
      <c r="B23" s="6" t="inlineStr">
        <is>
          <t>Daily Model</t>
        </is>
      </c>
      <c r="D23" s="7" t="inlineStr">
        <is>
          <t>The daily decomposition — one row per day. Volumes → revenue split → implied fees → take-rates.</t>
        </is>
      </c>
    </row>
    <row r="24">
      <c r="B24" s="6" t="inlineStr">
        <is>
          <t>Daily Data</t>
        </is>
      </c>
      <c r="D24" s="7" t="inlineStr">
        <is>
          <t>Raw daily inputs from every source, plus the supply reconciliation.</t>
        </is>
      </c>
    </row>
    <row r="25">
      <c r="B25" s="6" t="inlineStr">
        <is>
          <t>Sources</t>
        </is>
      </c>
      <c r="D25" s="7" t="inlineStr">
        <is>
          <t>Each column → its exact source.</t>
        </is>
      </c>
    </row>
    <row r="27">
      <c r="B27" s="6" t="inlineStr">
        <is>
          <t>Colour legend:</t>
        </is>
      </c>
      <c r="C27" s="8" t="inlineStr">
        <is>
          <t>yellow = input</t>
        </is>
      </c>
      <c r="E27" s="9" t="inlineStr">
        <is>
          <t>blue = source value</t>
        </is>
      </c>
      <c r="G27" s="10" t="inlineStr">
        <is>
          <t>black = formula</t>
        </is>
      </c>
      <c r="I27" s="11" t="inlineStr">
        <is>
          <t>green = cross-tab link</t>
        </is>
      </c>
    </row>
  </sheetData>
  <mergeCells count="16">
    <mergeCell ref="B15:J15"/>
    <mergeCell ref="B7:J7"/>
    <mergeCell ref="B11:J11"/>
    <mergeCell ref="D22:J22"/>
    <mergeCell ref="B19:J19"/>
    <mergeCell ref="B10:J10"/>
    <mergeCell ref="D23:J23"/>
    <mergeCell ref="B14:J14"/>
    <mergeCell ref="D25:J25"/>
    <mergeCell ref="B17:J17"/>
    <mergeCell ref="B9:J9"/>
    <mergeCell ref="B18:J18"/>
    <mergeCell ref="B8:J8"/>
    <mergeCell ref="D24:J24"/>
    <mergeCell ref="B6:J6"/>
    <mergeCell ref="B16:J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  <col width="12" customWidth="1" min="4" max="4"/>
    <col width="72" customWidth="1" min="5" max="5"/>
  </cols>
  <sheetData>
    <row r="1" ht="22" customHeight="1">
      <c r="A1" s="12" t="inlineStr">
        <is>
          <t>ASSUMPTIONS  —  yellow cells are inputs you control</t>
        </is>
      </c>
    </row>
    <row r="3">
      <c r="B3" s="13" t="inlineStr">
        <is>
          <t>Parameter</t>
        </is>
      </c>
      <c r="C3" s="13" t="inlineStr">
        <is>
          <t>Value</t>
        </is>
      </c>
      <c r="D3" s="14" t="inlineStr">
        <is>
          <t>bps</t>
        </is>
      </c>
      <c r="E3" s="13" t="inlineStr">
        <is>
          <t>Basis / notes</t>
        </is>
      </c>
    </row>
    <row r="4" ht="42" customHeight="1">
      <c r="B4" s="15" t="inlineStr">
        <is>
          <t>HLP provider share — current</t>
        </is>
      </c>
      <c r="C4" s="16" t="n">
        <v>0.01</v>
      </c>
      <c r="D4" s="17">
        <f>C4</f>
        <v/>
      </c>
      <c r="E4" s="18" t="inlineStr">
        <is>
          <t>Share of perp+spot protocol fees paid to HLP liquidity providers, from 2025-08-30. Source: DefiLlama methodology.</t>
        </is>
      </c>
    </row>
    <row r="5" ht="42" customHeight="1">
      <c r="B5" s="15" t="inlineStr">
        <is>
          <t>HLP provider share — legacy (pre-changeover)</t>
        </is>
      </c>
      <c r="C5" s="16" t="n">
        <v>0.03</v>
      </c>
      <c r="D5" s="17">
        <f>C5</f>
        <v/>
      </c>
      <c r="E5" s="18" t="inlineStr">
        <is>
          <t>HLP share before 2025-08-30 (it was 3%, cut to 1%). Source: DefiLlama methodology.</t>
        </is>
      </c>
    </row>
    <row r="6" ht="42" customHeight="1">
      <c r="B6" s="15" t="inlineStr">
        <is>
          <t>HLP rate changeover date</t>
        </is>
      </c>
      <c r="C6" s="19" t="n">
        <v>45899</v>
      </c>
      <c r="D6" s="20" t="n"/>
      <c r="E6" s="18" t="inlineStr">
        <is>
          <t>Date the HLP share dropped from legacy to current.</t>
        </is>
      </c>
    </row>
    <row r="7" ht="42" customHeight="1">
      <c r="B7" s="15" t="inlineStr">
        <is>
          <t>Builder code fee rate</t>
        </is>
      </c>
      <c r="C7" s="21" t="n">
        <v>1.63104e-05</v>
      </c>
      <c r="D7" s="22">
        <f>C7*10000</f>
        <v/>
      </c>
      <c r="E7" s="18" t="inlineStr">
        <is>
          <t>Builder code fees as a rate on HyperCore volume. Calibrated from hyperscreener actual builder fees ($2.10M in May-2026; $75.3M all-time, 386 builders). Builder fees are paid on top, 100% to builders.</t>
        </is>
      </c>
    </row>
    <row r="9" ht="30" customHeight="1">
      <c r="B9" s="23" t="inlineStr">
        <is>
          <t>•  Decomposition identity: HyperCore revenue = core perp revenue + HIP-3 protocol revenue + spot revenue (exact, every day).</t>
        </is>
      </c>
    </row>
    <row r="10" ht="30" customHeight="1">
      <c r="B10" s="23" t="inlineStr">
        <is>
          <t>•  HIP-3 (Hyperliquid docs + Loris): users pay ~2x a normal perp fee, but HIP-3 markets run in growth mode — realised HIP-3 fees are very low and the deployer share was 0% until 2026-03-21.</t>
        </is>
      </c>
    </row>
    <row r="11" ht="30" customHeight="1">
      <c r="B11" s="23" t="inlineStr">
        <is>
          <t>•  Hyperliquid fee schedule (reference): perps 0.045%/0.015% taker/maker; spot 0.07%/0.04%; realised rates are far lower due to volume tiers and discounts.</t>
        </is>
      </c>
    </row>
  </sheetData>
  <mergeCells count="4">
    <mergeCell ref="B10:E10"/>
    <mergeCell ref="A1:E1"/>
    <mergeCell ref="B9:E9"/>
    <mergeCell ref="B11:E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20" customHeight="1">
      <c r="A1" s="24" t="inlineStr">
        <is>
          <t>HYPERLIQUID — DAILY FEE → REVENUE DECOMPOSITION   (HyperCore revenue split into core perp / HIP-3 / spot)</t>
        </is>
      </c>
    </row>
    <row r="2" ht="15" customHeight="1">
      <c r="B2" s="25" t="inlineStr">
        <is>
          <t>VOLUME</t>
        </is>
      </c>
      <c r="E2" s="26" t="inlineStr">
        <is>
          <t>REVENUE DECOMPOSITION</t>
        </is>
      </c>
      <c r="K2" s="27" t="inlineStr">
        <is>
          <t>IMPLIED FEES</t>
        </is>
      </c>
      <c r="P2" s="28" t="inlineStr">
        <is>
          <t>TAKE-RATE CROSS-CHECK</t>
        </is>
      </c>
    </row>
    <row r="3" ht="52" customHeight="1">
      <c r="A3" s="29" t="inlineStr">
        <is>
          <t>Date</t>
        </is>
      </c>
      <c r="B3" s="29" t="inlineStr">
        <is>
          <t>Core Perp Volume ($)</t>
        </is>
      </c>
      <c r="C3" s="29" t="inlineStr">
        <is>
          <t>HIP-3 Volume ($)</t>
        </is>
      </c>
      <c r="D3" s="29" t="inlineStr">
        <is>
          <t>Spot Volume ($)</t>
        </is>
      </c>
      <c r="E3" s="29" t="inlineStr">
        <is>
          <t>HyperCore Revenue — north star ($)</t>
        </is>
      </c>
      <c r="F3" s="29" t="inlineStr">
        <is>
          <t>HIP-3 Gross Fees ($)</t>
        </is>
      </c>
      <c r="G3" s="29" t="inlineStr">
        <is>
          <t>HIP-3 Deployer Fees ($)</t>
        </is>
      </c>
      <c r="H3" s="29" t="inlineStr">
        <is>
          <t>HIP-3 Protocol Revenue ($)</t>
        </is>
      </c>
      <c r="I3" s="29" t="inlineStr">
        <is>
          <t>Spot Revenue ($)</t>
        </is>
      </c>
      <c r="J3" s="29" t="inlineStr">
        <is>
          <t>Core Perp Revenue — plug ($)</t>
        </is>
      </c>
      <c r="K3" s="29" t="inlineStr">
        <is>
          <t>HLP Rate Applied</t>
        </is>
      </c>
      <c r="L3" s="29" t="inlineStr">
        <is>
          <t>Core Perp Protocol Fees ($)</t>
        </is>
      </c>
      <c r="M3" s="29" t="inlineStr">
        <is>
          <t>Spot Protocol Fees ($)</t>
        </is>
      </c>
      <c r="N3" s="29" t="inlineStr">
        <is>
          <t>Builder Code Fees ($)</t>
        </is>
      </c>
      <c r="O3" s="29" t="inlineStr">
        <is>
          <t>HLP Provider Cut ($)</t>
        </is>
      </c>
      <c r="P3" s="29" t="inlineStr">
        <is>
          <t>Core Perp Take Rate (bps)</t>
        </is>
      </c>
      <c r="Q3" s="29" t="inlineStr">
        <is>
          <t>HIP-3 Take Rate (bps)</t>
        </is>
      </c>
      <c r="R3" s="29" t="inlineStr">
        <is>
          <t>Spot Take Rate (bps)</t>
        </is>
      </c>
    </row>
    <row r="4">
      <c r="A4" s="30" t="n">
        <v>45658</v>
      </c>
      <c r="B4" s="31">
        <f>'Daily Data'!B4-'Daily Data'!D4</f>
        <v/>
      </c>
      <c r="C4" s="32">
        <f>'Daily Data'!D4</f>
        <v/>
      </c>
      <c r="D4" s="32">
        <f>'Daily Data'!C4</f>
        <v/>
      </c>
      <c r="E4" s="32">
        <f>IF('Daily Data'!E4="","",'Daily Data'!E4)</f>
        <v/>
      </c>
      <c r="F4" s="32">
        <f>IF($E4="","",'Daily Data'!F4)</f>
        <v/>
      </c>
      <c r="G4" s="32">
        <f>IF($E4="","",'Daily Data'!G4)</f>
        <v/>
      </c>
      <c r="H4" s="31">
        <f>IF($E4="","",F4-G4)</f>
        <v/>
      </c>
      <c r="I4" s="32">
        <f>IF($E4="","",'Daily Data'!H4)</f>
        <v/>
      </c>
      <c r="J4" s="31">
        <f>IF($E4="","",E4-H4-I4)</f>
        <v/>
      </c>
      <c r="K4" s="33">
        <f>IF($E4="","",IF(A4&lt;HLP_ChangeDate,HLP_Legacy,HLP_Current))</f>
        <v/>
      </c>
      <c r="L4" s="31">
        <f>IF($E4="","",J4/(1-K4))</f>
        <v/>
      </c>
      <c r="M4" s="31">
        <f>IF($E4="","",I4/(1-K4))</f>
        <v/>
      </c>
      <c r="N4" s="31">
        <f>IF($E4="","",(B4+C4+D4)*Rate_Builder)</f>
        <v/>
      </c>
      <c r="O4" s="31">
        <f>IF($E4="","",E4*K4/(1-K4))</f>
        <v/>
      </c>
      <c r="P4" s="34">
        <f>IF(OR($E4="",B4=0),"",L4/B4*10000)</f>
        <v/>
      </c>
      <c r="Q4" s="34">
        <f>IF(OR($E4="",C4=0),"",F4/C4*10000)</f>
        <v/>
      </c>
      <c r="R4" s="34">
        <f>IF(OR($E4="",D4=0),"",'Daily Data'!I4/D4*10000)</f>
        <v/>
      </c>
    </row>
    <row r="5">
      <c r="A5" s="30" t="n">
        <v>45659</v>
      </c>
      <c r="B5" s="31">
        <f>'Daily Data'!B5-'Daily Data'!D5</f>
        <v/>
      </c>
      <c r="C5" s="32">
        <f>'Daily Data'!D5</f>
        <v/>
      </c>
      <c r="D5" s="32">
        <f>'Daily Data'!C5</f>
        <v/>
      </c>
      <c r="E5" s="32">
        <f>IF('Daily Data'!E5="","",'Daily Data'!E5)</f>
        <v/>
      </c>
      <c r="F5" s="32">
        <f>IF($E5="","",'Daily Data'!F5)</f>
        <v/>
      </c>
      <c r="G5" s="32">
        <f>IF($E5="","",'Daily Data'!G5)</f>
        <v/>
      </c>
      <c r="H5" s="31">
        <f>IF($E5="","",F5-G5)</f>
        <v/>
      </c>
      <c r="I5" s="32">
        <f>IF($E5="","",'Daily Data'!H5)</f>
        <v/>
      </c>
      <c r="J5" s="31">
        <f>IF($E5="","",E5-H5-I5)</f>
        <v/>
      </c>
      <c r="K5" s="33">
        <f>IF($E5="","",IF(A5&lt;HLP_ChangeDate,HLP_Legacy,HLP_Current))</f>
        <v/>
      </c>
      <c r="L5" s="31">
        <f>IF($E5="","",J5/(1-K5))</f>
        <v/>
      </c>
      <c r="M5" s="31">
        <f>IF($E5="","",I5/(1-K5))</f>
        <v/>
      </c>
      <c r="N5" s="31">
        <f>IF($E5="","",(B5+C5+D5)*Rate_Builder)</f>
        <v/>
      </c>
      <c r="O5" s="31">
        <f>IF($E5="","",E5*K5/(1-K5))</f>
        <v/>
      </c>
      <c r="P5" s="34">
        <f>IF(OR($E5="",B5=0),"",L5/B5*10000)</f>
        <v/>
      </c>
      <c r="Q5" s="34">
        <f>IF(OR($E5="",C5=0),"",F5/C5*10000)</f>
        <v/>
      </c>
      <c r="R5" s="34">
        <f>IF(OR($E5="",D5=0),"",'Daily Data'!I5/D5*10000)</f>
        <v/>
      </c>
    </row>
    <row r="6">
      <c r="A6" s="30" t="n">
        <v>45660</v>
      </c>
      <c r="B6" s="31">
        <f>'Daily Data'!B6-'Daily Data'!D6</f>
        <v/>
      </c>
      <c r="C6" s="32">
        <f>'Daily Data'!D6</f>
        <v/>
      </c>
      <c r="D6" s="32">
        <f>'Daily Data'!C6</f>
        <v/>
      </c>
      <c r="E6" s="32">
        <f>IF('Daily Data'!E6="","",'Daily Data'!E6)</f>
        <v/>
      </c>
      <c r="F6" s="32">
        <f>IF($E6="","",'Daily Data'!F6)</f>
        <v/>
      </c>
      <c r="G6" s="32">
        <f>IF($E6="","",'Daily Data'!G6)</f>
        <v/>
      </c>
      <c r="H6" s="31">
        <f>IF($E6="","",F6-G6)</f>
        <v/>
      </c>
      <c r="I6" s="32">
        <f>IF($E6="","",'Daily Data'!H6)</f>
        <v/>
      </c>
      <c r="J6" s="31">
        <f>IF($E6="","",E6-H6-I6)</f>
        <v/>
      </c>
      <c r="K6" s="33">
        <f>IF($E6="","",IF(A6&lt;HLP_ChangeDate,HLP_Legacy,HLP_Current))</f>
        <v/>
      </c>
      <c r="L6" s="31">
        <f>IF($E6="","",J6/(1-K6))</f>
        <v/>
      </c>
      <c r="M6" s="31">
        <f>IF($E6="","",I6/(1-K6))</f>
        <v/>
      </c>
      <c r="N6" s="31">
        <f>IF($E6="","",(B6+C6+D6)*Rate_Builder)</f>
        <v/>
      </c>
      <c r="O6" s="31">
        <f>IF($E6="","",E6*K6/(1-K6))</f>
        <v/>
      </c>
      <c r="P6" s="34">
        <f>IF(OR($E6="",B6=0),"",L6/B6*10000)</f>
        <v/>
      </c>
      <c r="Q6" s="34">
        <f>IF(OR($E6="",C6=0),"",F6/C6*10000)</f>
        <v/>
      </c>
      <c r="R6" s="34">
        <f>IF(OR($E6="",D6=0),"",'Daily Data'!I6/D6*10000)</f>
        <v/>
      </c>
    </row>
    <row r="7">
      <c r="A7" s="30" t="n">
        <v>45661</v>
      </c>
      <c r="B7" s="31">
        <f>'Daily Data'!B7-'Daily Data'!D7</f>
        <v/>
      </c>
      <c r="C7" s="32">
        <f>'Daily Data'!D7</f>
        <v/>
      </c>
      <c r="D7" s="32">
        <f>'Daily Data'!C7</f>
        <v/>
      </c>
      <c r="E7" s="32">
        <f>IF('Daily Data'!E7="","",'Daily Data'!E7)</f>
        <v/>
      </c>
      <c r="F7" s="32">
        <f>IF($E7="","",'Daily Data'!F7)</f>
        <v/>
      </c>
      <c r="G7" s="32">
        <f>IF($E7="","",'Daily Data'!G7)</f>
        <v/>
      </c>
      <c r="H7" s="31">
        <f>IF($E7="","",F7-G7)</f>
        <v/>
      </c>
      <c r="I7" s="32">
        <f>IF($E7="","",'Daily Data'!H7)</f>
        <v/>
      </c>
      <c r="J7" s="31">
        <f>IF($E7="","",E7-H7-I7)</f>
        <v/>
      </c>
      <c r="K7" s="33">
        <f>IF($E7="","",IF(A7&lt;HLP_ChangeDate,HLP_Legacy,HLP_Current))</f>
        <v/>
      </c>
      <c r="L7" s="31">
        <f>IF($E7="","",J7/(1-K7))</f>
        <v/>
      </c>
      <c r="M7" s="31">
        <f>IF($E7="","",I7/(1-K7))</f>
        <v/>
      </c>
      <c r="N7" s="31">
        <f>IF($E7="","",(B7+C7+D7)*Rate_Builder)</f>
        <v/>
      </c>
      <c r="O7" s="31">
        <f>IF($E7="","",E7*K7/(1-K7))</f>
        <v/>
      </c>
      <c r="P7" s="34">
        <f>IF(OR($E7="",B7=0),"",L7/B7*10000)</f>
        <v/>
      </c>
      <c r="Q7" s="34">
        <f>IF(OR($E7="",C7=0),"",F7/C7*10000)</f>
        <v/>
      </c>
      <c r="R7" s="34">
        <f>IF(OR($E7="",D7=0),"",'Daily Data'!I7/D7*10000)</f>
        <v/>
      </c>
    </row>
    <row r="8">
      <c r="A8" s="30" t="n">
        <v>45662</v>
      </c>
      <c r="B8" s="31">
        <f>'Daily Data'!B8-'Daily Data'!D8</f>
        <v/>
      </c>
      <c r="C8" s="32">
        <f>'Daily Data'!D8</f>
        <v/>
      </c>
      <c r="D8" s="32">
        <f>'Daily Data'!C8</f>
        <v/>
      </c>
      <c r="E8" s="32">
        <f>IF('Daily Data'!E8="","",'Daily Data'!E8)</f>
        <v/>
      </c>
      <c r="F8" s="32">
        <f>IF($E8="","",'Daily Data'!F8)</f>
        <v/>
      </c>
      <c r="G8" s="32">
        <f>IF($E8="","",'Daily Data'!G8)</f>
        <v/>
      </c>
      <c r="H8" s="31">
        <f>IF($E8="","",F8-G8)</f>
        <v/>
      </c>
      <c r="I8" s="32">
        <f>IF($E8="","",'Daily Data'!H8)</f>
        <v/>
      </c>
      <c r="J8" s="31">
        <f>IF($E8="","",E8-H8-I8)</f>
        <v/>
      </c>
      <c r="K8" s="33">
        <f>IF($E8="","",IF(A8&lt;HLP_ChangeDate,HLP_Legacy,HLP_Current))</f>
        <v/>
      </c>
      <c r="L8" s="31">
        <f>IF($E8="","",J8/(1-K8))</f>
        <v/>
      </c>
      <c r="M8" s="31">
        <f>IF($E8="","",I8/(1-K8))</f>
        <v/>
      </c>
      <c r="N8" s="31">
        <f>IF($E8="","",(B8+C8+D8)*Rate_Builder)</f>
        <v/>
      </c>
      <c r="O8" s="31">
        <f>IF($E8="","",E8*K8/(1-K8))</f>
        <v/>
      </c>
      <c r="P8" s="34">
        <f>IF(OR($E8="",B8=0),"",L8/B8*10000)</f>
        <v/>
      </c>
      <c r="Q8" s="34">
        <f>IF(OR($E8="",C8=0),"",F8/C8*10000)</f>
        <v/>
      </c>
      <c r="R8" s="34">
        <f>IF(OR($E8="",D8=0),"",'Daily Data'!I8/D8*10000)</f>
        <v/>
      </c>
    </row>
    <row r="9">
      <c r="A9" s="30" t="n">
        <v>45663</v>
      </c>
      <c r="B9" s="31">
        <f>'Daily Data'!B9-'Daily Data'!D9</f>
        <v/>
      </c>
      <c r="C9" s="32">
        <f>'Daily Data'!D9</f>
        <v/>
      </c>
      <c r="D9" s="32">
        <f>'Daily Data'!C9</f>
        <v/>
      </c>
      <c r="E9" s="32">
        <f>IF('Daily Data'!E9="","",'Daily Data'!E9)</f>
        <v/>
      </c>
      <c r="F9" s="32">
        <f>IF($E9="","",'Daily Data'!F9)</f>
        <v/>
      </c>
      <c r="G9" s="32">
        <f>IF($E9="","",'Daily Data'!G9)</f>
        <v/>
      </c>
      <c r="H9" s="31">
        <f>IF($E9="","",F9-G9)</f>
        <v/>
      </c>
      <c r="I9" s="32">
        <f>IF($E9="","",'Daily Data'!H9)</f>
        <v/>
      </c>
      <c r="J9" s="31">
        <f>IF($E9="","",E9-H9-I9)</f>
        <v/>
      </c>
      <c r="K9" s="33">
        <f>IF($E9="","",IF(A9&lt;HLP_ChangeDate,HLP_Legacy,HLP_Current))</f>
        <v/>
      </c>
      <c r="L9" s="31">
        <f>IF($E9="","",J9/(1-K9))</f>
        <v/>
      </c>
      <c r="M9" s="31">
        <f>IF($E9="","",I9/(1-K9))</f>
        <v/>
      </c>
      <c r="N9" s="31">
        <f>IF($E9="","",(B9+C9+D9)*Rate_Builder)</f>
        <v/>
      </c>
      <c r="O9" s="31">
        <f>IF($E9="","",E9*K9/(1-K9))</f>
        <v/>
      </c>
      <c r="P9" s="34">
        <f>IF(OR($E9="",B9=0),"",L9/B9*10000)</f>
        <v/>
      </c>
      <c r="Q9" s="34">
        <f>IF(OR($E9="",C9=0),"",F9/C9*10000)</f>
        <v/>
      </c>
      <c r="R9" s="34">
        <f>IF(OR($E9="",D9=0),"",'Daily Data'!I9/D9*10000)</f>
        <v/>
      </c>
    </row>
    <row r="10">
      <c r="A10" s="30" t="n">
        <v>45664</v>
      </c>
      <c r="B10" s="31">
        <f>'Daily Data'!B10-'Daily Data'!D10</f>
        <v/>
      </c>
      <c r="C10" s="32">
        <f>'Daily Data'!D10</f>
        <v/>
      </c>
      <c r="D10" s="32">
        <f>'Daily Data'!C10</f>
        <v/>
      </c>
      <c r="E10" s="32">
        <f>IF('Daily Data'!E10="","",'Daily Data'!E10)</f>
        <v/>
      </c>
      <c r="F10" s="32">
        <f>IF($E10="","",'Daily Data'!F10)</f>
        <v/>
      </c>
      <c r="G10" s="32">
        <f>IF($E10="","",'Daily Data'!G10)</f>
        <v/>
      </c>
      <c r="H10" s="31">
        <f>IF($E10="","",F10-G10)</f>
        <v/>
      </c>
      <c r="I10" s="32">
        <f>IF($E10="","",'Daily Data'!H10)</f>
        <v/>
      </c>
      <c r="J10" s="31">
        <f>IF($E10="","",E10-H10-I10)</f>
        <v/>
      </c>
      <c r="K10" s="33">
        <f>IF($E10="","",IF(A10&lt;HLP_ChangeDate,HLP_Legacy,HLP_Current))</f>
        <v/>
      </c>
      <c r="L10" s="31">
        <f>IF($E10="","",J10/(1-K10))</f>
        <v/>
      </c>
      <c r="M10" s="31">
        <f>IF($E10="","",I10/(1-K10))</f>
        <v/>
      </c>
      <c r="N10" s="31">
        <f>IF($E10="","",(B10+C10+D10)*Rate_Builder)</f>
        <v/>
      </c>
      <c r="O10" s="31">
        <f>IF($E10="","",E10*K10/(1-K10))</f>
        <v/>
      </c>
      <c r="P10" s="34">
        <f>IF(OR($E10="",B10=0),"",L10/B10*10000)</f>
        <v/>
      </c>
      <c r="Q10" s="34">
        <f>IF(OR($E10="",C10=0),"",F10/C10*10000)</f>
        <v/>
      </c>
      <c r="R10" s="34">
        <f>IF(OR($E10="",D10=0),"",'Daily Data'!I10/D10*10000)</f>
        <v/>
      </c>
    </row>
    <row r="11">
      <c r="A11" s="30" t="n">
        <v>45665</v>
      </c>
      <c r="B11" s="31">
        <f>'Daily Data'!B11-'Daily Data'!D11</f>
        <v/>
      </c>
      <c r="C11" s="32">
        <f>'Daily Data'!D11</f>
        <v/>
      </c>
      <c r="D11" s="32">
        <f>'Daily Data'!C11</f>
        <v/>
      </c>
      <c r="E11" s="32">
        <f>IF('Daily Data'!E11="","",'Daily Data'!E11)</f>
        <v/>
      </c>
      <c r="F11" s="32">
        <f>IF($E11="","",'Daily Data'!F11)</f>
        <v/>
      </c>
      <c r="G11" s="32">
        <f>IF($E11="","",'Daily Data'!G11)</f>
        <v/>
      </c>
      <c r="H11" s="31">
        <f>IF($E11="","",F11-G11)</f>
        <v/>
      </c>
      <c r="I11" s="32">
        <f>IF($E11="","",'Daily Data'!H11)</f>
        <v/>
      </c>
      <c r="J11" s="31">
        <f>IF($E11="","",E11-H11-I11)</f>
        <v/>
      </c>
      <c r="K11" s="33">
        <f>IF($E11="","",IF(A11&lt;HLP_ChangeDate,HLP_Legacy,HLP_Current))</f>
        <v/>
      </c>
      <c r="L11" s="31">
        <f>IF($E11="","",J11/(1-K11))</f>
        <v/>
      </c>
      <c r="M11" s="31">
        <f>IF($E11="","",I11/(1-K11))</f>
        <v/>
      </c>
      <c r="N11" s="31">
        <f>IF($E11="","",(B11+C11+D11)*Rate_Builder)</f>
        <v/>
      </c>
      <c r="O11" s="31">
        <f>IF($E11="","",E11*K11/(1-K11))</f>
        <v/>
      </c>
      <c r="P11" s="34">
        <f>IF(OR($E11="",B11=0),"",L11/B11*10000)</f>
        <v/>
      </c>
      <c r="Q11" s="34">
        <f>IF(OR($E11="",C11=0),"",F11/C11*10000)</f>
        <v/>
      </c>
      <c r="R11" s="34">
        <f>IF(OR($E11="",D11=0),"",'Daily Data'!I11/D11*10000)</f>
        <v/>
      </c>
    </row>
    <row r="12">
      <c r="A12" s="30" t="n">
        <v>45666</v>
      </c>
      <c r="B12" s="31">
        <f>'Daily Data'!B12-'Daily Data'!D12</f>
        <v/>
      </c>
      <c r="C12" s="32">
        <f>'Daily Data'!D12</f>
        <v/>
      </c>
      <c r="D12" s="32">
        <f>'Daily Data'!C12</f>
        <v/>
      </c>
      <c r="E12" s="32">
        <f>IF('Daily Data'!E12="","",'Daily Data'!E12)</f>
        <v/>
      </c>
      <c r="F12" s="32">
        <f>IF($E12="","",'Daily Data'!F12)</f>
        <v/>
      </c>
      <c r="G12" s="32">
        <f>IF($E12="","",'Daily Data'!G12)</f>
        <v/>
      </c>
      <c r="H12" s="31">
        <f>IF($E12="","",F12-G12)</f>
        <v/>
      </c>
      <c r="I12" s="32">
        <f>IF($E12="","",'Daily Data'!H12)</f>
        <v/>
      </c>
      <c r="J12" s="31">
        <f>IF($E12="","",E12-H12-I12)</f>
        <v/>
      </c>
      <c r="K12" s="33">
        <f>IF($E12="","",IF(A12&lt;HLP_ChangeDate,HLP_Legacy,HLP_Current))</f>
        <v/>
      </c>
      <c r="L12" s="31">
        <f>IF($E12="","",J12/(1-K12))</f>
        <v/>
      </c>
      <c r="M12" s="31">
        <f>IF($E12="","",I12/(1-K12))</f>
        <v/>
      </c>
      <c r="N12" s="31">
        <f>IF($E12="","",(B12+C12+D12)*Rate_Builder)</f>
        <v/>
      </c>
      <c r="O12" s="31">
        <f>IF($E12="","",E12*K12/(1-K12))</f>
        <v/>
      </c>
      <c r="P12" s="34">
        <f>IF(OR($E12="",B12=0),"",L12/B12*10000)</f>
        <v/>
      </c>
      <c r="Q12" s="34">
        <f>IF(OR($E12="",C12=0),"",F12/C12*10000)</f>
        <v/>
      </c>
      <c r="R12" s="34">
        <f>IF(OR($E12="",D12=0),"",'Daily Data'!I12/D12*10000)</f>
        <v/>
      </c>
    </row>
    <row r="13">
      <c r="A13" s="30" t="n">
        <v>45667</v>
      </c>
      <c r="B13" s="31">
        <f>'Daily Data'!B13-'Daily Data'!D13</f>
        <v/>
      </c>
      <c r="C13" s="32">
        <f>'Daily Data'!D13</f>
        <v/>
      </c>
      <c r="D13" s="32">
        <f>'Daily Data'!C13</f>
        <v/>
      </c>
      <c r="E13" s="32">
        <f>IF('Daily Data'!E13="","",'Daily Data'!E13)</f>
        <v/>
      </c>
      <c r="F13" s="32">
        <f>IF($E13="","",'Daily Data'!F13)</f>
        <v/>
      </c>
      <c r="G13" s="32">
        <f>IF($E13="","",'Daily Data'!G13)</f>
        <v/>
      </c>
      <c r="H13" s="31">
        <f>IF($E13="","",F13-G13)</f>
        <v/>
      </c>
      <c r="I13" s="32">
        <f>IF($E13="","",'Daily Data'!H13)</f>
        <v/>
      </c>
      <c r="J13" s="31">
        <f>IF($E13="","",E13-H13-I13)</f>
        <v/>
      </c>
      <c r="K13" s="33">
        <f>IF($E13="","",IF(A13&lt;HLP_ChangeDate,HLP_Legacy,HLP_Current))</f>
        <v/>
      </c>
      <c r="L13" s="31">
        <f>IF($E13="","",J13/(1-K13))</f>
        <v/>
      </c>
      <c r="M13" s="31">
        <f>IF($E13="","",I13/(1-K13))</f>
        <v/>
      </c>
      <c r="N13" s="31">
        <f>IF($E13="","",(B13+C13+D13)*Rate_Builder)</f>
        <v/>
      </c>
      <c r="O13" s="31">
        <f>IF($E13="","",E13*K13/(1-K13))</f>
        <v/>
      </c>
      <c r="P13" s="34">
        <f>IF(OR($E13="",B13=0),"",L13/B13*10000)</f>
        <v/>
      </c>
      <c r="Q13" s="34">
        <f>IF(OR($E13="",C13=0),"",F13/C13*10000)</f>
        <v/>
      </c>
      <c r="R13" s="34">
        <f>IF(OR($E13="",D13=0),"",'Daily Data'!I13/D13*10000)</f>
        <v/>
      </c>
    </row>
    <row r="14">
      <c r="A14" s="30" t="n">
        <v>45668</v>
      </c>
      <c r="B14" s="31">
        <f>'Daily Data'!B14-'Daily Data'!D14</f>
        <v/>
      </c>
      <c r="C14" s="32">
        <f>'Daily Data'!D14</f>
        <v/>
      </c>
      <c r="D14" s="32">
        <f>'Daily Data'!C14</f>
        <v/>
      </c>
      <c r="E14" s="32">
        <f>IF('Daily Data'!E14="","",'Daily Data'!E14)</f>
        <v/>
      </c>
      <c r="F14" s="32">
        <f>IF($E14="","",'Daily Data'!F14)</f>
        <v/>
      </c>
      <c r="G14" s="32">
        <f>IF($E14="","",'Daily Data'!G14)</f>
        <v/>
      </c>
      <c r="H14" s="31">
        <f>IF($E14="","",F14-G14)</f>
        <v/>
      </c>
      <c r="I14" s="32">
        <f>IF($E14="","",'Daily Data'!H14)</f>
        <v/>
      </c>
      <c r="J14" s="31">
        <f>IF($E14="","",E14-H14-I14)</f>
        <v/>
      </c>
      <c r="K14" s="33">
        <f>IF($E14="","",IF(A14&lt;HLP_ChangeDate,HLP_Legacy,HLP_Current))</f>
        <v/>
      </c>
      <c r="L14" s="31">
        <f>IF($E14="","",J14/(1-K14))</f>
        <v/>
      </c>
      <c r="M14" s="31">
        <f>IF($E14="","",I14/(1-K14))</f>
        <v/>
      </c>
      <c r="N14" s="31">
        <f>IF($E14="","",(B14+C14+D14)*Rate_Builder)</f>
        <v/>
      </c>
      <c r="O14" s="31">
        <f>IF($E14="","",E14*K14/(1-K14))</f>
        <v/>
      </c>
      <c r="P14" s="34">
        <f>IF(OR($E14="",B14=0),"",L14/B14*10000)</f>
        <v/>
      </c>
      <c r="Q14" s="34">
        <f>IF(OR($E14="",C14=0),"",F14/C14*10000)</f>
        <v/>
      </c>
      <c r="R14" s="34">
        <f>IF(OR($E14="",D14=0),"",'Daily Data'!I14/D14*10000)</f>
        <v/>
      </c>
    </row>
    <row r="15">
      <c r="A15" s="30" t="n">
        <v>45669</v>
      </c>
      <c r="B15" s="31">
        <f>'Daily Data'!B15-'Daily Data'!D15</f>
        <v/>
      </c>
      <c r="C15" s="32">
        <f>'Daily Data'!D15</f>
        <v/>
      </c>
      <c r="D15" s="32">
        <f>'Daily Data'!C15</f>
        <v/>
      </c>
      <c r="E15" s="32">
        <f>IF('Daily Data'!E15="","",'Daily Data'!E15)</f>
        <v/>
      </c>
      <c r="F15" s="32">
        <f>IF($E15="","",'Daily Data'!F15)</f>
        <v/>
      </c>
      <c r="G15" s="32">
        <f>IF($E15="","",'Daily Data'!G15)</f>
        <v/>
      </c>
      <c r="H15" s="31">
        <f>IF($E15="","",F15-G15)</f>
        <v/>
      </c>
      <c r="I15" s="32">
        <f>IF($E15="","",'Daily Data'!H15)</f>
        <v/>
      </c>
      <c r="J15" s="31">
        <f>IF($E15="","",E15-H15-I15)</f>
        <v/>
      </c>
      <c r="K15" s="33">
        <f>IF($E15="","",IF(A15&lt;HLP_ChangeDate,HLP_Legacy,HLP_Current))</f>
        <v/>
      </c>
      <c r="L15" s="31">
        <f>IF($E15="","",J15/(1-K15))</f>
        <v/>
      </c>
      <c r="M15" s="31">
        <f>IF($E15="","",I15/(1-K15))</f>
        <v/>
      </c>
      <c r="N15" s="31">
        <f>IF($E15="","",(B15+C15+D15)*Rate_Builder)</f>
        <v/>
      </c>
      <c r="O15" s="31">
        <f>IF($E15="","",E15*K15/(1-K15))</f>
        <v/>
      </c>
      <c r="P15" s="34">
        <f>IF(OR($E15="",B15=0),"",L15/B15*10000)</f>
        <v/>
      </c>
      <c r="Q15" s="34">
        <f>IF(OR($E15="",C15=0),"",F15/C15*10000)</f>
        <v/>
      </c>
      <c r="R15" s="34">
        <f>IF(OR($E15="",D15=0),"",'Daily Data'!I15/D15*10000)</f>
        <v/>
      </c>
    </row>
    <row r="16">
      <c r="A16" s="30" t="n">
        <v>45670</v>
      </c>
      <c r="B16" s="31">
        <f>'Daily Data'!B16-'Daily Data'!D16</f>
        <v/>
      </c>
      <c r="C16" s="32">
        <f>'Daily Data'!D16</f>
        <v/>
      </c>
      <c r="D16" s="32">
        <f>'Daily Data'!C16</f>
        <v/>
      </c>
      <c r="E16" s="32">
        <f>IF('Daily Data'!E16="","",'Daily Data'!E16)</f>
        <v/>
      </c>
      <c r="F16" s="32">
        <f>IF($E16="","",'Daily Data'!F16)</f>
        <v/>
      </c>
      <c r="G16" s="32">
        <f>IF($E16="","",'Daily Data'!G16)</f>
        <v/>
      </c>
      <c r="H16" s="31">
        <f>IF($E16="","",F16-G16)</f>
        <v/>
      </c>
      <c r="I16" s="32">
        <f>IF($E16="","",'Daily Data'!H16)</f>
        <v/>
      </c>
      <c r="J16" s="31">
        <f>IF($E16="","",E16-H16-I16)</f>
        <v/>
      </c>
      <c r="K16" s="33">
        <f>IF($E16="","",IF(A16&lt;HLP_ChangeDate,HLP_Legacy,HLP_Current))</f>
        <v/>
      </c>
      <c r="L16" s="31">
        <f>IF($E16="","",J16/(1-K16))</f>
        <v/>
      </c>
      <c r="M16" s="31">
        <f>IF($E16="","",I16/(1-K16))</f>
        <v/>
      </c>
      <c r="N16" s="31">
        <f>IF($E16="","",(B16+C16+D16)*Rate_Builder)</f>
        <v/>
      </c>
      <c r="O16" s="31">
        <f>IF($E16="","",E16*K16/(1-K16))</f>
        <v/>
      </c>
      <c r="P16" s="34">
        <f>IF(OR($E16="",B16=0),"",L16/B16*10000)</f>
        <v/>
      </c>
      <c r="Q16" s="34">
        <f>IF(OR($E16="",C16=0),"",F16/C16*10000)</f>
        <v/>
      </c>
      <c r="R16" s="34">
        <f>IF(OR($E16="",D16=0),"",'Daily Data'!I16/D16*10000)</f>
        <v/>
      </c>
    </row>
    <row r="17">
      <c r="A17" s="30" t="n">
        <v>45671</v>
      </c>
      <c r="B17" s="31">
        <f>'Daily Data'!B17-'Daily Data'!D17</f>
        <v/>
      </c>
      <c r="C17" s="32">
        <f>'Daily Data'!D17</f>
        <v/>
      </c>
      <c r="D17" s="32">
        <f>'Daily Data'!C17</f>
        <v/>
      </c>
      <c r="E17" s="32">
        <f>IF('Daily Data'!E17="","",'Daily Data'!E17)</f>
        <v/>
      </c>
      <c r="F17" s="32">
        <f>IF($E17="","",'Daily Data'!F17)</f>
        <v/>
      </c>
      <c r="G17" s="32">
        <f>IF($E17="","",'Daily Data'!G17)</f>
        <v/>
      </c>
      <c r="H17" s="31">
        <f>IF($E17="","",F17-G17)</f>
        <v/>
      </c>
      <c r="I17" s="32">
        <f>IF($E17="","",'Daily Data'!H17)</f>
        <v/>
      </c>
      <c r="J17" s="31">
        <f>IF($E17="","",E17-H17-I17)</f>
        <v/>
      </c>
      <c r="K17" s="33">
        <f>IF($E17="","",IF(A17&lt;HLP_ChangeDate,HLP_Legacy,HLP_Current))</f>
        <v/>
      </c>
      <c r="L17" s="31">
        <f>IF($E17="","",J17/(1-K17))</f>
        <v/>
      </c>
      <c r="M17" s="31">
        <f>IF($E17="","",I17/(1-K17))</f>
        <v/>
      </c>
      <c r="N17" s="31">
        <f>IF($E17="","",(B17+C17+D17)*Rate_Builder)</f>
        <v/>
      </c>
      <c r="O17" s="31">
        <f>IF($E17="","",E17*K17/(1-K17))</f>
        <v/>
      </c>
      <c r="P17" s="34">
        <f>IF(OR($E17="",B17=0),"",L17/B17*10000)</f>
        <v/>
      </c>
      <c r="Q17" s="34">
        <f>IF(OR($E17="",C17=0),"",F17/C17*10000)</f>
        <v/>
      </c>
      <c r="R17" s="34">
        <f>IF(OR($E17="",D17=0),"",'Daily Data'!I17/D17*10000)</f>
        <v/>
      </c>
    </row>
    <row r="18">
      <c r="A18" s="30" t="n">
        <v>45672</v>
      </c>
      <c r="B18" s="31">
        <f>'Daily Data'!B18-'Daily Data'!D18</f>
        <v/>
      </c>
      <c r="C18" s="32">
        <f>'Daily Data'!D18</f>
        <v/>
      </c>
      <c r="D18" s="32">
        <f>'Daily Data'!C18</f>
        <v/>
      </c>
      <c r="E18" s="32">
        <f>IF('Daily Data'!E18="","",'Daily Data'!E18)</f>
        <v/>
      </c>
      <c r="F18" s="32">
        <f>IF($E18="","",'Daily Data'!F18)</f>
        <v/>
      </c>
      <c r="G18" s="32">
        <f>IF($E18="","",'Daily Data'!G18)</f>
        <v/>
      </c>
      <c r="H18" s="31">
        <f>IF($E18="","",F18-G18)</f>
        <v/>
      </c>
      <c r="I18" s="32">
        <f>IF($E18="","",'Daily Data'!H18)</f>
        <v/>
      </c>
      <c r="J18" s="31">
        <f>IF($E18="","",E18-H18-I18)</f>
        <v/>
      </c>
      <c r="K18" s="33">
        <f>IF($E18="","",IF(A18&lt;HLP_ChangeDate,HLP_Legacy,HLP_Current))</f>
        <v/>
      </c>
      <c r="L18" s="31">
        <f>IF($E18="","",J18/(1-K18))</f>
        <v/>
      </c>
      <c r="M18" s="31">
        <f>IF($E18="","",I18/(1-K18))</f>
        <v/>
      </c>
      <c r="N18" s="31">
        <f>IF($E18="","",(B18+C18+D18)*Rate_Builder)</f>
        <v/>
      </c>
      <c r="O18" s="31">
        <f>IF($E18="","",E18*K18/(1-K18))</f>
        <v/>
      </c>
      <c r="P18" s="34">
        <f>IF(OR($E18="",B18=0),"",L18/B18*10000)</f>
        <v/>
      </c>
      <c r="Q18" s="34">
        <f>IF(OR($E18="",C18=0),"",F18/C18*10000)</f>
        <v/>
      </c>
      <c r="R18" s="34">
        <f>IF(OR($E18="",D18=0),"",'Daily Data'!I18/D18*10000)</f>
        <v/>
      </c>
    </row>
    <row r="19">
      <c r="A19" s="30" t="n">
        <v>45673</v>
      </c>
      <c r="B19" s="31">
        <f>'Daily Data'!B19-'Daily Data'!D19</f>
        <v/>
      </c>
      <c r="C19" s="32">
        <f>'Daily Data'!D19</f>
        <v/>
      </c>
      <c r="D19" s="32">
        <f>'Daily Data'!C19</f>
        <v/>
      </c>
      <c r="E19" s="32">
        <f>IF('Daily Data'!E19="","",'Daily Data'!E19)</f>
        <v/>
      </c>
      <c r="F19" s="32">
        <f>IF($E19="","",'Daily Data'!F19)</f>
        <v/>
      </c>
      <c r="G19" s="32">
        <f>IF($E19="","",'Daily Data'!G19)</f>
        <v/>
      </c>
      <c r="H19" s="31">
        <f>IF($E19="","",F19-G19)</f>
        <v/>
      </c>
      <c r="I19" s="32">
        <f>IF($E19="","",'Daily Data'!H19)</f>
        <v/>
      </c>
      <c r="J19" s="31">
        <f>IF($E19="","",E19-H19-I19)</f>
        <v/>
      </c>
      <c r="K19" s="33">
        <f>IF($E19="","",IF(A19&lt;HLP_ChangeDate,HLP_Legacy,HLP_Current))</f>
        <v/>
      </c>
      <c r="L19" s="31">
        <f>IF($E19="","",J19/(1-K19))</f>
        <v/>
      </c>
      <c r="M19" s="31">
        <f>IF($E19="","",I19/(1-K19))</f>
        <v/>
      </c>
      <c r="N19" s="31">
        <f>IF($E19="","",(B19+C19+D19)*Rate_Builder)</f>
        <v/>
      </c>
      <c r="O19" s="31">
        <f>IF($E19="","",E19*K19/(1-K19))</f>
        <v/>
      </c>
      <c r="P19" s="34">
        <f>IF(OR($E19="",B19=0),"",L19/B19*10000)</f>
        <v/>
      </c>
      <c r="Q19" s="34">
        <f>IF(OR($E19="",C19=0),"",F19/C19*10000)</f>
        <v/>
      </c>
      <c r="R19" s="34">
        <f>IF(OR($E19="",D19=0),"",'Daily Data'!I19/D19*10000)</f>
        <v/>
      </c>
    </row>
    <row r="20">
      <c r="A20" s="30" t="n">
        <v>45674</v>
      </c>
      <c r="B20" s="31">
        <f>'Daily Data'!B20-'Daily Data'!D20</f>
        <v/>
      </c>
      <c r="C20" s="32">
        <f>'Daily Data'!D20</f>
        <v/>
      </c>
      <c r="D20" s="32">
        <f>'Daily Data'!C20</f>
        <v/>
      </c>
      <c r="E20" s="32">
        <f>IF('Daily Data'!E20="","",'Daily Data'!E20)</f>
        <v/>
      </c>
      <c r="F20" s="32">
        <f>IF($E20="","",'Daily Data'!F20)</f>
        <v/>
      </c>
      <c r="G20" s="32">
        <f>IF($E20="","",'Daily Data'!G20)</f>
        <v/>
      </c>
      <c r="H20" s="31">
        <f>IF($E20="","",F20-G20)</f>
        <v/>
      </c>
      <c r="I20" s="32">
        <f>IF($E20="","",'Daily Data'!H20)</f>
        <v/>
      </c>
      <c r="J20" s="31">
        <f>IF($E20="","",E20-H20-I20)</f>
        <v/>
      </c>
      <c r="K20" s="33">
        <f>IF($E20="","",IF(A20&lt;HLP_ChangeDate,HLP_Legacy,HLP_Current))</f>
        <v/>
      </c>
      <c r="L20" s="31">
        <f>IF($E20="","",J20/(1-K20))</f>
        <v/>
      </c>
      <c r="M20" s="31">
        <f>IF($E20="","",I20/(1-K20))</f>
        <v/>
      </c>
      <c r="N20" s="31">
        <f>IF($E20="","",(B20+C20+D20)*Rate_Builder)</f>
        <v/>
      </c>
      <c r="O20" s="31">
        <f>IF($E20="","",E20*K20/(1-K20))</f>
        <v/>
      </c>
      <c r="P20" s="34">
        <f>IF(OR($E20="",B20=0),"",L20/B20*10000)</f>
        <v/>
      </c>
      <c r="Q20" s="34">
        <f>IF(OR($E20="",C20=0),"",F20/C20*10000)</f>
        <v/>
      </c>
      <c r="R20" s="34">
        <f>IF(OR($E20="",D20=0),"",'Daily Data'!I20/D20*10000)</f>
        <v/>
      </c>
    </row>
    <row r="21">
      <c r="A21" s="30" t="n">
        <v>45675</v>
      </c>
      <c r="B21" s="31">
        <f>'Daily Data'!B21-'Daily Data'!D21</f>
        <v/>
      </c>
      <c r="C21" s="32">
        <f>'Daily Data'!D21</f>
        <v/>
      </c>
      <c r="D21" s="32">
        <f>'Daily Data'!C21</f>
        <v/>
      </c>
      <c r="E21" s="32">
        <f>IF('Daily Data'!E21="","",'Daily Data'!E21)</f>
        <v/>
      </c>
      <c r="F21" s="32">
        <f>IF($E21="","",'Daily Data'!F21)</f>
        <v/>
      </c>
      <c r="G21" s="32">
        <f>IF($E21="","",'Daily Data'!G21)</f>
        <v/>
      </c>
      <c r="H21" s="31">
        <f>IF($E21="","",F21-G21)</f>
        <v/>
      </c>
      <c r="I21" s="32">
        <f>IF($E21="","",'Daily Data'!H21)</f>
        <v/>
      </c>
      <c r="J21" s="31">
        <f>IF($E21="","",E21-H21-I21)</f>
        <v/>
      </c>
      <c r="K21" s="33">
        <f>IF($E21="","",IF(A21&lt;HLP_ChangeDate,HLP_Legacy,HLP_Current))</f>
        <v/>
      </c>
      <c r="L21" s="31">
        <f>IF($E21="","",J21/(1-K21))</f>
        <v/>
      </c>
      <c r="M21" s="31">
        <f>IF($E21="","",I21/(1-K21))</f>
        <v/>
      </c>
      <c r="N21" s="31">
        <f>IF($E21="","",(B21+C21+D21)*Rate_Builder)</f>
        <v/>
      </c>
      <c r="O21" s="31">
        <f>IF($E21="","",E21*K21/(1-K21))</f>
        <v/>
      </c>
      <c r="P21" s="34">
        <f>IF(OR($E21="",B21=0),"",L21/B21*10000)</f>
        <v/>
      </c>
      <c r="Q21" s="34">
        <f>IF(OR($E21="",C21=0),"",F21/C21*10000)</f>
        <v/>
      </c>
      <c r="R21" s="34">
        <f>IF(OR($E21="",D21=0),"",'Daily Data'!I21/D21*10000)</f>
        <v/>
      </c>
    </row>
    <row r="22">
      <c r="A22" s="30" t="n">
        <v>45676</v>
      </c>
      <c r="B22" s="31">
        <f>'Daily Data'!B22-'Daily Data'!D22</f>
        <v/>
      </c>
      <c r="C22" s="32">
        <f>'Daily Data'!D22</f>
        <v/>
      </c>
      <c r="D22" s="32">
        <f>'Daily Data'!C22</f>
        <v/>
      </c>
      <c r="E22" s="32">
        <f>IF('Daily Data'!E22="","",'Daily Data'!E22)</f>
        <v/>
      </c>
      <c r="F22" s="32">
        <f>IF($E22="","",'Daily Data'!F22)</f>
        <v/>
      </c>
      <c r="G22" s="32">
        <f>IF($E22="","",'Daily Data'!G22)</f>
        <v/>
      </c>
      <c r="H22" s="31">
        <f>IF($E22="","",F22-G22)</f>
        <v/>
      </c>
      <c r="I22" s="32">
        <f>IF($E22="","",'Daily Data'!H22)</f>
        <v/>
      </c>
      <c r="J22" s="31">
        <f>IF($E22="","",E22-H22-I22)</f>
        <v/>
      </c>
      <c r="K22" s="33">
        <f>IF($E22="","",IF(A22&lt;HLP_ChangeDate,HLP_Legacy,HLP_Current))</f>
        <v/>
      </c>
      <c r="L22" s="31">
        <f>IF($E22="","",J22/(1-K22))</f>
        <v/>
      </c>
      <c r="M22" s="31">
        <f>IF($E22="","",I22/(1-K22))</f>
        <v/>
      </c>
      <c r="N22" s="31">
        <f>IF($E22="","",(B22+C22+D22)*Rate_Builder)</f>
        <v/>
      </c>
      <c r="O22" s="31">
        <f>IF($E22="","",E22*K22/(1-K22))</f>
        <v/>
      </c>
      <c r="P22" s="34">
        <f>IF(OR($E22="",B22=0),"",L22/B22*10000)</f>
        <v/>
      </c>
      <c r="Q22" s="34">
        <f>IF(OR($E22="",C22=0),"",F22/C22*10000)</f>
        <v/>
      </c>
      <c r="R22" s="34">
        <f>IF(OR($E22="",D22=0),"",'Daily Data'!I22/D22*10000)</f>
        <v/>
      </c>
    </row>
    <row r="23">
      <c r="A23" s="30" t="n">
        <v>45677</v>
      </c>
      <c r="B23" s="31">
        <f>'Daily Data'!B23-'Daily Data'!D23</f>
        <v/>
      </c>
      <c r="C23" s="32">
        <f>'Daily Data'!D23</f>
        <v/>
      </c>
      <c r="D23" s="32">
        <f>'Daily Data'!C23</f>
        <v/>
      </c>
      <c r="E23" s="32">
        <f>IF('Daily Data'!E23="","",'Daily Data'!E23)</f>
        <v/>
      </c>
      <c r="F23" s="32">
        <f>IF($E23="","",'Daily Data'!F23)</f>
        <v/>
      </c>
      <c r="G23" s="32">
        <f>IF($E23="","",'Daily Data'!G23)</f>
        <v/>
      </c>
      <c r="H23" s="31">
        <f>IF($E23="","",F23-G23)</f>
        <v/>
      </c>
      <c r="I23" s="32">
        <f>IF($E23="","",'Daily Data'!H23)</f>
        <v/>
      </c>
      <c r="J23" s="31">
        <f>IF($E23="","",E23-H23-I23)</f>
        <v/>
      </c>
      <c r="K23" s="33">
        <f>IF($E23="","",IF(A23&lt;HLP_ChangeDate,HLP_Legacy,HLP_Current))</f>
        <v/>
      </c>
      <c r="L23" s="31">
        <f>IF($E23="","",J23/(1-K23))</f>
        <v/>
      </c>
      <c r="M23" s="31">
        <f>IF($E23="","",I23/(1-K23))</f>
        <v/>
      </c>
      <c r="N23" s="31">
        <f>IF($E23="","",(B23+C23+D23)*Rate_Builder)</f>
        <v/>
      </c>
      <c r="O23" s="31">
        <f>IF($E23="","",E23*K23/(1-K23))</f>
        <v/>
      </c>
      <c r="P23" s="34">
        <f>IF(OR($E23="",B23=0),"",L23/B23*10000)</f>
        <v/>
      </c>
      <c r="Q23" s="34">
        <f>IF(OR($E23="",C23=0),"",F23/C23*10000)</f>
        <v/>
      </c>
      <c r="R23" s="34">
        <f>IF(OR($E23="",D23=0),"",'Daily Data'!I23/D23*10000)</f>
        <v/>
      </c>
    </row>
    <row r="24">
      <c r="A24" s="30" t="n">
        <v>45678</v>
      </c>
      <c r="B24" s="31">
        <f>'Daily Data'!B24-'Daily Data'!D24</f>
        <v/>
      </c>
      <c r="C24" s="32">
        <f>'Daily Data'!D24</f>
        <v/>
      </c>
      <c r="D24" s="32">
        <f>'Daily Data'!C24</f>
        <v/>
      </c>
      <c r="E24" s="32">
        <f>IF('Daily Data'!E24="","",'Daily Data'!E24)</f>
        <v/>
      </c>
      <c r="F24" s="32">
        <f>IF($E24="","",'Daily Data'!F24)</f>
        <v/>
      </c>
      <c r="G24" s="32">
        <f>IF($E24="","",'Daily Data'!G24)</f>
        <v/>
      </c>
      <c r="H24" s="31">
        <f>IF($E24="","",F24-G24)</f>
        <v/>
      </c>
      <c r="I24" s="32">
        <f>IF($E24="","",'Daily Data'!H24)</f>
        <v/>
      </c>
      <c r="J24" s="31">
        <f>IF($E24="","",E24-H24-I24)</f>
        <v/>
      </c>
      <c r="K24" s="33">
        <f>IF($E24="","",IF(A24&lt;HLP_ChangeDate,HLP_Legacy,HLP_Current))</f>
        <v/>
      </c>
      <c r="L24" s="31">
        <f>IF($E24="","",J24/(1-K24))</f>
        <v/>
      </c>
      <c r="M24" s="31">
        <f>IF($E24="","",I24/(1-K24))</f>
        <v/>
      </c>
      <c r="N24" s="31">
        <f>IF($E24="","",(B24+C24+D24)*Rate_Builder)</f>
        <v/>
      </c>
      <c r="O24" s="31">
        <f>IF($E24="","",E24*K24/(1-K24))</f>
        <v/>
      </c>
      <c r="P24" s="34">
        <f>IF(OR($E24="",B24=0),"",L24/B24*10000)</f>
        <v/>
      </c>
      <c r="Q24" s="34">
        <f>IF(OR($E24="",C24=0),"",F24/C24*10000)</f>
        <v/>
      </c>
      <c r="R24" s="34">
        <f>IF(OR($E24="",D24=0),"",'Daily Data'!I24/D24*10000)</f>
        <v/>
      </c>
    </row>
    <row r="25">
      <c r="A25" s="30" t="n">
        <v>45679</v>
      </c>
      <c r="B25" s="31">
        <f>'Daily Data'!B25-'Daily Data'!D25</f>
        <v/>
      </c>
      <c r="C25" s="32">
        <f>'Daily Data'!D25</f>
        <v/>
      </c>
      <c r="D25" s="32">
        <f>'Daily Data'!C25</f>
        <v/>
      </c>
      <c r="E25" s="32">
        <f>IF('Daily Data'!E25="","",'Daily Data'!E25)</f>
        <v/>
      </c>
      <c r="F25" s="32">
        <f>IF($E25="","",'Daily Data'!F25)</f>
        <v/>
      </c>
      <c r="G25" s="32">
        <f>IF($E25="","",'Daily Data'!G25)</f>
        <v/>
      </c>
      <c r="H25" s="31">
        <f>IF($E25="","",F25-G25)</f>
        <v/>
      </c>
      <c r="I25" s="32">
        <f>IF($E25="","",'Daily Data'!H25)</f>
        <v/>
      </c>
      <c r="J25" s="31">
        <f>IF($E25="","",E25-H25-I25)</f>
        <v/>
      </c>
      <c r="K25" s="33">
        <f>IF($E25="","",IF(A25&lt;HLP_ChangeDate,HLP_Legacy,HLP_Current))</f>
        <v/>
      </c>
      <c r="L25" s="31">
        <f>IF($E25="","",J25/(1-K25))</f>
        <v/>
      </c>
      <c r="M25" s="31">
        <f>IF($E25="","",I25/(1-K25))</f>
        <v/>
      </c>
      <c r="N25" s="31">
        <f>IF($E25="","",(B25+C25+D25)*Rate_Builder)</f>
        <v/>
      </c>
      <c r="O25" s="31">
        <f>IF($E25="","",E25*K25/(1-K25))</f>
        <v/>
      </c>
      <c r="P25" s="34">
        <f>IF(OR($E25="",B25=0),"",L25/B25*10000)</f>
        <v/>
      </c>
      <c r="Q25" s="34">
        <f>IF(OR($E25="",C25=0),"",F25/C25*10000)</f>
        <v/>
      </c>
      <c r="R25" s="34">
        <f>IF(OR($E25="",D25=0),"",'Daily Data'!I25/D25*10000)</f>
        <v/>
      </c>
    </row>
    <row r="26">
      <c r="A26" s="30" t="n">
        <v>45680</v>
      </c>
      <c r="B26" s="31">
        <f>'Daily Data'!B26-'Daily Data'!D26</f>
        <v/>
      </c>
      <c r="C26" s="32">
        <f>'Daily Data'!D26</f>
        <v/>
      </c>
      <c r="D26" s="32">
        <f>'Daily Data'!C26</f>
        <v/>
      </c>
      <c r="E26" s="32">
        <f>IF('Daily Data'!E26="","",'Daily Data'!E26)</f>
        <v/>
      </c>
      <c r="F26" s="32">
        <f>IF($E26="","",'Daily Data'!F26)</f>
        <v/>
      </c>
      <c r="G26" s="32">
        <f>IF($E26="","",'Daily Data'!G26)</f>
        <v/>
      </c>
      <c r="H26" s="31">
        <f>IF($E26="","",F26-G26)</f>
        <v/>
      </c>
      <c r="I26" s="32">
        <f>IF($E26="","",'Daily Data'!H26)</f>
        <v/>
      </c>
      <c r="J26" s="31">
        <f>IF($E26="","",E26-H26-I26)</f>
        <v/>
      </c>
      <c r="K26" s="33">
        <f>IF($E26="","",IF(A26&lt;HLP_ChangeDate,HLP_Legacy,HLP_Current))</f>
        <v/>
      </c>
      <c r="L26" s="31">
        <f>IF($E26="","",J26/(1-K26))</f>
        <v/>
      </c>
      <c r="M26" s="31">
        <f>IF($E26="","",I26/(1-K26))</f>
        <v/>
      </c>
      <c r="N26" s="31">
        <f>IF($E26="","",(B26+C26+D26)*Rate_Builder)</f>
        <v/>
      </c>
      <c r="O26" s="31">
        <f>IF($E26="","",E26*K26/(1-K26))</f>
        <v/>
      </c>
      <c r="P26" s="34">
        <f>IF(OR($E26="",B26=0),"",L26/B26*10000)</f>
        <v/>
      </c>
      <c r="Q26" s="34">
        <f>IF(OR($E26="",C26=0),"",F26/C26*10000)</f>
        <v/>
      </c>
      <c r="R26" s="34">
        <f>IF(OR($E26="",D26=0),"",'Daily Data'!I26/D26*10000)</f>
        <v/>
      </c>
    </row>
    <row r="27">
      <c r="A27" s="30" t="n">
        <v>45681</v>
      </c>
      <c r="B27" s="31">
        <f>'Daily Data'!B27-'Daily Data'!D27</f>
        <v/>
      </c>
      <c r="C27" s="32">
        <f>'Daily Data'!D27</f>
        <v/>
      </c>
      <c r="D27" s="32">
        <f>'Daily Data'!C27</f>
        <v/>
      </c>
      <c r="E27" s="32">
        <f>IF('Daily Data'!E27="","",'Daily Data'!E27)</f>
        <v/>
      </c>
      <c r="F27" s="32">
        <f>IF($E27="","",'Daily Data'!F27)</f>
        <v/>
      </c>
      <c r="G27" s="32">
        <f>IF($E27="","",'Daily Data'!G27)</f>
        <v/>
      </c>
      <c r="H27" s="31">
        <f>IF($E27="","",F27-G27)</f>
        <v/>
      </c>
      <c r="I27" s="32">
        <f>IF($E27="","",'Daily Data'!H27)</f>
        <v/>
      </c>
      <c r="J27" s="31">
        <f>IF($E27="","",E27-H27-I27)</f>
        <v/>
      </c>
      <c r="K27" s="33">
        <f>IF($E27="","",IF(A27&lt;HLP_ChangeDate,HLP_Legacy,HLP_Current))</f>
        <v/>
      </c>
      <c r="L27" s="31">
        <f>IF($E27="","",J27/(1-K27))</f>
        <v/>
      </c>
      <c r="M27" s="31">
        <f>IF($E27="","",I27/(1-K27))</f>
        <v/>
      </c>
      <c r="N27" s="31">
        <f>IF($E27="","",(B27+C27+D27)*Rate_Builder)</f>
        <v/>
      </c>
      <c r="O27" s="31">
        <f>IF($E27="","",E27*K27/(1-K27))</f>
        <v/>
      </c>
      <c r="P27" s="34">
        <f>IF(OR($E27="",B27=0),"",L27/B27*10000)</f>
        <v/>
      </c>
      <c r="Q27" s="34">
        <f>IF(OR($E27="",C27=0),"",F27/C27*10000)</f>
        <v/>
      </c>
      <c r="R27" s="34">
        <f>IF(OR($E27="",D27=0),"",'Daily Data'!I27/D27*10000)</f>
        <v/>
      </c>
    </row>
    <row r="28">
      <c r="A28" s="30" t="n">
        <v>45682</v>
      </c>
      <c r="B28" s="31">
        <f>'Daily Data'!B28-'Daily Data'!D28</f>
        <v/>
      </c>
      <c r="C28" s="32">
        <f>'Daily Data'!D28</f>
        <v/>
      </c>
      <c r="D28" s="32">
        <f>'Daily Data'!C28</f>
        <v/>
      </c>
      <c r="E28" s="32">
        <f>IF('Daily Data'!E28="","",'Daily Data'!E28)</f>
        <v/>
      </c>
      <c r="F28" s="32">
        <f>IF($E28="","",'Daily Data'!F28)</f>
        <v/>
      </c>
      <c r="G28" s="32">
        <f>IF($E28="","",'Daily Data'!G28)</f>
        <v/>
      </c>
      <c r="H28" s="31">
        <f>IF($E28="","",F28-G28)</f>
        <v/>
      </c>
      <c r="I28" s="32">
        <f>IF($E28="","",'Daily Data'!H28)</f>
        <v/>
      </c>
      <c r="J28" s="31">
        <f>IF($E28="","",E28-H28-I28)</f>
        <v/>
      </c>
      <c r="K28" s="33">
        <f>IF($E28="","",IF(A28&lt;HLP_ChangeDate,HLP_Legacy,HLP_Current))</f>
        <v/>
      </c>
      <c r="L28" s="31">
        <f>IF($E28="","",J28/(1-K28))</f>
        <v/>
      </c>
      <c r="M28" s="31">
        <f>IF($E28="","",I28/(1-K28))</f>
        <v/>
      </c>
      <c r="N28" s="31">
        <f>IF($E28="","",(B28+C28+D28)*Rate_Builder)</f>
        <v/>
      </c>
      <c r="O28" s="31">
        <f>IF($E28="","",E28*K28/(1-K28))</f>
        <v/>
      </c>
      <c r="P28" s="34">
        <f>IF(OR($E28="",B28=0),"",L28/B28*10000)</f>
        <v/>
      </c>
      <c r="Q28" s="34">
        <f>IF(OR($E28="",C28=0),"",F28/C28*10000)</f>
        <v/>
      </c>
      <c r="R28" s="34">
        <f>IF(OR($E28="",D28=0),"",'Daily Data'!I28/D28*10000)</f>
        <v/>
      </c>
    </row>
    <row r="29">
      <c r="A29" s="30" t="n">
        <v>45683</v>
      </c>
      <c r="B29" s="31">
        <f>'Daily Data'!B29-'Daily Data'!D29</f>
        <v/>
      </c>
      <c r="C29" s="32">
        <f>'Daily Data'!D29</f>
        <v/>
      </c>
      <c r="D29" s="32">
        <f>'Daily Data'!C29</f>
        <v/>
      </c>
      <c r="E29" s="32">
        <f>IF('Daily Data'!E29="","",'Daily Data'!E29)</f>
        <v/>
      </c>
      <c r="F29" s="32">
        <f>IF($E29="","",'Daily Data'!F29)</f>
        <v/>
      </c>
      <c r="G29" s="32">
        <f>IF($E29="","",'Daily Data'!G29)</f>
        <v/>
      </c>
      <c r="H29" s="31">
        <f>IF($E29="","",F29-G29)</f>
        <v/>
      </c>
      <c r="I29" s="32">
        <f>IF($E29="","",'Daily Data'!H29)</f>
        <v/>
      </c>
      <c r="J29" s="31">
        <f>IF($E29="","",E29-H29-I29)</f>
        <v/>
      </c>
      <c r="K29" s="33">
        <f>IF($E29="","",IF(A29&lt;HLP_ChangeDate,HLP_Legacy,HLP_Current))</f>
        <v/>
      </c>
      <c r="L29" s="31">
        <f>IF($E29="","",J29/(1-K29))</f>
        <v/>
      </c>
      <c r="M29" s="31">
        <f>IF($E29="","",I29/(1-K29))</f>
        <v/>
      </c>
      <c r="N29" s="31">
        <f>IF($E29="","",(B29+C29+D29)*Rate_Builder)</f>
        <v/>
      </c>
      <c r="O29" s="31">
        <f>IF($E29="","",E29*K29/(1-K29))</f>
        <v/>
      </c>
      <c r="P29" s="34">
        <f>IF(OR($E29="",B29=0),"",L29/B29*10000)</f>
        <v/>
      </c>
      <c r="Q29" s="34">
        <f>IF(OR($E29="",C29=0),"",F29/C29*10000)</f>
        <v/>
      </c>
      <c r="R29" s="34">
        <f>IF(OR($E29="",D29=0),"",'Daily Data'!I29/D29*10000)</f>
        <v/>
      </c>
    </row>
    <row r="30">
      <c r="A30" s="30" t="n">
        <v>45684</v>
      </c>
      <c r="B30" s="31">
        <f>'Daily Data'!B30-'Daily Data'!D30</f>
        <v/>
      </c>
      <c r="C30" s="32">
        <f>'Daily Data'!D30</f>
        <v/>
      </c>
      <c r="D30" s="32">
        <f>'Daily Data'!C30</f>
        <v/>
      </c>
      <c r="E30" s="32">
        <f>IF('Daily Data'!E30="","",'Daily Data'!E30)</f>
        <v/>
      </c>
      <c r="F30" s="32">
        <f>IF($E30="","",'Daily Data'!F30)</f>
        <v/>
      </c>
      <c r="G30" s="32">
        <f>IF($E30="","",'Daily Data'!G30)</f>
        <v/>
      </c>
      <c r="H30" s="31">
        <f>IF($E30="","",F30-G30)</f>
        <v/>
      </c>
      <c r="I30" s="32">
        <f>IF($E30="","",'Daily Data'!H30)</f>
        <v/>
      </c>
      <c r="J30" s="31">
        <f>IF($E30="","",E30-H30-I30)</f>
        <v/>
      </c>
      <c r="K30" s="33">
        <f>IF($E30="","",IF(A30&lt;HLP_ChangeDate,HLP_Legacy,HLP_Current))</f>
        <v/>
      </c>
      <c r="L30" s="31">
        <f>IF($E30="","",J30/(1-K30))</f>
        <v/>
      </c>
      <c r="M30" s="31">
        <f>IF($E30="","",I30/(1-K30))</f>
        <v/>
      </c>
      <c r="N30" s="31">
        <f>IF($E30="","",(B30+C30+D30)*Rate_Builder)</f>
        <v/>
      </c>
      <c r="O30" s="31">
        <f>IF($E30="","",E30*K30/(1-K30))</f>
        <v/>
      </c>
      <c r="P30" s="34">
        <f>IF(OR($E30="",B30=0),"",L30/B30*10000)</f>
        <v/>
      </c>
      <c r="Q30" s="34">
        <f>IF(OR($E30="",C30=0),"",F30/C30*10000)</f>
        <v/>
      </c>
      <c r="R30" s="34">
        <f>IF(OR($E30="",D30=0),"",'Daily Data'!I30/D30*10000)</f>
        <v/>
      </c>
    </row>
    <row r="31">
      <c r="A31" s="30" t="n">
        <v>45685</v>
      </c>
      <c r="B31" s="31">
        <f>'Daily Data'!B31-'Daily Data'!D31</f>
        <v/>
      </c>
      <c r="C31" s="32">
        <f>'Daily Data'!D31</f>
        <v/>
      </c>
      <c r="D31" s="32">
        <f>'Daily Data'!C31</f>
        <v/>
      </c>
      <c r="E31" s="32">
        <f>IF('Daily Data'!E31="","",'Daily Data'!E31)</f>
        <v/>
      </c>
      <c r="F31" s="32">
        <f>IF($E31="","",'Daily Data'!F31)</f>
        <v/>
      </c>
      <c r="G31" s="32">
        <f>IF($E31="","",'Daily Data'!G31)</f>
        <v/>
      </c>
      <c r="H31" s="31">
        <f>IF($E31="","",F31-G31)</f>
        <v/>
      </c>
      <c r="I31" s="32">
        <f>IF($E31="","",'Daily Data'!H31)</f>
        <v/>
      </c>
      <c r="J31" s="31">
        <f>IF($E31="","",E31-H31-I31)</f>
        <v/>
      </c>
      <c r="K31" s="33">
        <f>IF($E31="","",IF(A31&lt;HLP_ChangeDate,HLP_Legacy,HLP_Current))</f>
        <v/>
      </c>
      <c r="L31" s="31">
        <f>IF($E31="","",J31/(1-K31))</f>
        <v/>
      </c>
      <c r="M31" s="31">
        <f>IF($E31="","",I31/(1-K31))</f>
        <v/>
      </c>
      <c r="N31" s="31">
        <f>IF($E31="","",(B31+C31+D31)*Rate_Builder)</f>
        <v/>
      </c>
      <c r="O31" s="31">
        <f>IF($E31="","",E31*K31/(1-K31))</f>
        <v/>
      </c>
      <c r="P31" s="34">
        <f>IF(OR($E31="",B31=0),"",L31/B31*10000)</f>
        <v/>
      </c>
      <c r="Q31" s="34">
        <f>IF(OR($E31="",C31=0),"",F31/C31*10000)</f>
        <v/>
      </c>
      <c r="R31" s="34">
        <f>IF(OR($E31="",D31=0),"",'Daily Data'!I31/D31*10000)</f>
        <v/>
      </c>
    </row>
    <row r="32">
      <c r="A32" s="30" t="n">
        <v>45686</v>
      </c>
      <c r="B32" s="31">
        <f>'Daily Data'!B32-'Daily Data'!D32</f>
        <v/>
      </c>
      <c r="C32" s="32">
        <f>'Daily Data'!D32</f>
        <v/>
      </c>
      <c r="D32" s="32">
        <f>'Daily Data'!C32</f>
        <v/>
      </c>
      <c r="E32" s="32">
        <f>IF('Daily Data'!E32="","",'Daily Data'!E32)</f>
        <v/>
      </c>
      <c r="F32" s="32">
        <f>IF($E32="","",'Daily Data'!F32)</f>
        <v/>
      </c>
      <c r="G32" s="32">
        <f>IF($E32="","",'Daily Data'!G32)</f>
        <v/>
      </c>
      <c r="H32" s="31">
        <f>IF($E32="","",F32-G32)</f>
        <v/>
      </c>
      <c r="I32" s="32">
        <f>IF($E32="","",'Daily Data'!H32)</f>
        <v/>
      </c>
      <c r="J32" s="31">
        <f>IF($E32="","",E32-H32-I32)</f>
        <v/>
      </c>
      <c r="K32" s="33">
        <f>IF($E32="","",IF(A32&lt;HLP_ChangeDate,HLP_Legacy,HLP_Current))</f>
        <v/>
      </c>
      <c r="L32" s="31">
        <f>IF($E32="","",J32/(1-K32))</f>
        <v/>
      </c>
      <c r="M32" s="31">
        <f>IF($E32="","",I32/(1-K32))</f>
        <v/>
      </c>
      <c r="N32" s="31">
        <f>IF($E32="","",(B32+C32+D32)*Rate_Builder)</f>
        <v/>
      </c>
      <c r="O32" s="31">
        <f>IF($E32="","",E32*K32/(1-K32))</f>
        <v/>
      </c>
      <c r="P32" s="34">
        <f>IF(OR($E32="",B32=0),"",L32/B32*10000)</f>
        <v/>
      </c>
      <c r="Q32" s="34">
        <f>IF(OR($E32="",C32=0),"",F32/C32*10000)</f>
        <v/>
      </c>
      <c r="R32" s="34">
        <f>IF(OR($E32="",D32=0),"",'Daily Data'!I32/D32*10000)</f>
        <v/>
      </c>
    </row>
    <row r="33">
      <c r="A33" s="30" t="n">
        <v>45687</v>
      </c>
      <c r="B33" s="31">
        <f>'Daily Data'!B33-'Daily Data'!D33</f>
        <v/>
      </c>
      <c r="C33" s="32">
        <f>'Daily Data'!D33</f>
        <v/>
      </c>
      <c r="D33" s="32">
        <f>'Daily Data'!C33</f>
        <v/>
      </c>
      <c r="E33" s="32">
        <f>IF('Daily Data'!E33="","",'Daily Data'!E33)</f>
        <v/>
      </c>
      <c r="F33" s="32">
        <f>IF($E33="","",'Daily Data'!F33)</f>
        <v/>
      </c>
      <c r="G33" s="32">
        <f>IF($E33="","",'Daily Data'!G33)</f>
        <v/>
      </c>
      <c r="H33" s="31">
        <f>IF($E33="","",F33-G33)</f>
        <v/>
      </c>
      <c r="I33" s="32">
        <f>IF($E33="","",'Daily Data'!H33)</f>
        <v/>
      </c>
      <c r="J33" s="31">
        <f>IF($E33="","",E33-H33-I33)</f>
        <v/>
      </c>
      <c r="K33" s="33">
        <f>IF($E33="","",IF(A33&lt;HLP_ChangeDate,HLP_Legacy,HLP_Current))</f>
        <v/>
      </c>
      <c r="L33" s="31">
        <f>IF($E33="","",J33/(1-K33))</f>
        <v/>
      </c>
      <c r="M33" s="31">
        <f>IF($E33="","",I33/(1-K33))</f>
        <v/>
      </c>
      <c r="N33" s="31">
        <f>IF($E33="","",(B33+C33+D33)*Rate_Builder)</f>
        <v/>
      </c>
      <c r="O33" s="31">
        <f>IF($E33="","",E33*K33/(1-K33))</f>
        <v/>
      </c>
      <c r="P33" s="34">
        <f>IF(OR($E33="",B33=0),"",L33/B33*10000)</f>
        <v/>
      </c>
      <c r="Q33" s="34">
        <f>IF(OR($E33="",C33=0),"",F33/C33*10000)</f>
        <v/>
      </c>
      <c r="R33" s="34">
        <f>IF(OR($E33="",D33=0),"",'Daily Data'!I33/D33*10000)</f>
        <v/>
      </c>
    </row>
    <row r="34">
      <c r="A34" s="30" t="n">
        <v>45688</v>
      </c>
      <c r="B34" s="31">
        <f>'Daily Data'!B34-'Daily Data'!D34</f>
        <v/>
      </c>
      <c r="C34" s="32">
        <f>'Daily Data'!D34</f>
        <v/>
      </c>
      <c r="D34" s="32">
        <f>'Daily Data'!C34</f>
        <v/>
      </c>
      <c r="E34" s="32">
        <f>IF('Daily Data'!E34="","",'Daily Data'!E34)</f>
        <v/>
      </c>
      <c r="F34" s="32">
        <f>IF($E34="","",'Daily Data'!F34)</f>
        <v/>
      </c>
      <c r="G34" s="32">
        <f>IF($E34="","",'Daily Data'!G34)</f>
        <v/>
      </c>
      <c r="H34" s="31">
        <f>IF($E34="","",F34-G34)</f>
        <v/>
      </c>
      <c r="I34" s="32">
        <f>IF($E34="","",'Daily Data'!H34)</f>
        <v/>
      </c>
      <c r="J34" s="31">
        <f>IF($E34="","",E34-H34-I34)</f>
        <v/>
      </c>
      <c r="K34" s="33">
        <f>IF($E34="","",IF(A34&lt;HLP_ChangeDate,HLP_Legacy,HLP_Current))</f>
        <v/>
      </c>
      <c r="L34" s="31">
        <f>IF($E34="","",J34/(1-K34))</f>
        <v/>
      </c>
      <c r="M34" s="31">
        <f>IF($E34="","",I34/(1-K34))</f>
        <v/>
      </c>
      <c r="N34" s="31">
        <f>IF($E34="","",(B34+C34+D34)*Rate_Builder)</f>
        <v/>
      </c>
      <c r="O34" s="31">
        <f>IF($E34="","",E34*K34/(1-K34))</f>
        <v/>
      </c>
      <c r="P34" s="34">
        <f>IF(OR($E34="",B34=0),"",L34/B34*10000)</f>
        <v/>
      </c>
      <c r="Q34" s="34">
        <f>IF(OR($E34="",C34=0),"",F34/C34*10000)</f>
        <v/>
      </c>
      <c r="R34" s="34">
        <f>IF(OR($E34="",D34=0),"",'Daily Data'!I34/D34*10000)</f>
        <v/>
      </c>
    </row>
    <row r="35">
      <c r="A35" s="30" t="n">
        <v>45689</v>
      </c>
      <c r="B35" s="31">
        <f>'Daily Data'!B35-'Daily Data'!D35</f>
        <v/>
      </c>
      <c r="C35" s="32">
        <f>'Daily Data'!D35</f>
        <v/>
      </c>
      <c r="D35" s="32">
        <f>'Daily Data'!C35</f>
        <v/>
      </c>
      <c r="E35" s="32">
        <f>IF('Daily Data'!E35="","",'Daily Data'!E35)</f>
        <v/>
      </c>
      <c r="F35" s="32">
        <f>IF($E35="","",'Daily Data'!F35)</f>
        <v/>
      </c>
      <c r="G35" s="32">
        <f>IF($E35="","",'Daily Data'!G35)</f>
        <v/>
      </c>
      <c r="H35" s="31">
        <f>IF($E35="","",F35-G35)</f>
        <v/>
      </c>
      <c r="I35" s="32">
        <f>IF($E35="","",'Daily Data'!H35)</f>
        <v/>
      </c>
      <c r="J35" s="31">
        <f>IF($E35="","",E35-H35-I35)</f>
        <v/>
      </c>
      <c r="K35" s="33">
        <f>IF($E35="","",IF(A35&lt;HLP_ChangeDate,HLP_Legacy,HLP_Current))</f>
        <v/>
      </c>
      <c r="L35" s="31">
        <f>IF($E35="","",J35/(1-K35))</f>
        <v/>
      </c>
      <c r="M35" s="31">
        <f>IF($E35="","",I35/(1-K35))</f>
        <v/>
      </c>
      <c r="N35" s="31">
        <f>IF($E35="","",(B35+C35+D35)*Rate_Builder)</f>
        <v/>
      </c>
      <c r="O35" s="31">
        <f>IF($E35="","",E35*K35/(1-K35))</f>
        <v/>
      </c>
      <c r="P35" s="34">
        <f>IF(OR($E35="",B35=0),"",L35/B35*10000)</f>
        <v/>
      </c>
      <c r="Q35" s="34">
        <f>IF(OR($E35="",C35=0),"",F35/C35*10000)</f>
        <v/>
      </c>
      <c r="R35" s="34">
        <f>IF(OR($E35="",D35=0),"",'Daily Data'!I35/D35*10000)</f>
        <v/>
      </c>
    </row>
    <row r="36">
      <c r="A36" s="30" t="n">
        <v>45690</v>
      </c>
      <c r="B36" s="31">
        <f>'Daily Data'!B36-'Daily Data'!D36</f>
        <v/>
      </c>
      <c r="C36" s="32">
        <f>'Daily Data'!D36</f>
        <v/>
      </c>
      <c r="D36" s="32">
        <f>'Daily Data'!C36</f>
        <v/>
      </c>
      <c r="E36" s="32">
        <f>IF('Daily Data'!E36="","",'Daily Data'!E36)</f>
        <v/>
      </c>
      <c r="F36" s="32">
        <f>IF($E36="","",'Daily Data'!F36)</f>
        <v/>
      </c>
      <c r="G36" s="32">
        <f>IF($E36="","",'Daily Data'!G36)</f>
        <v/>
      </c>
      <c r="H36" s="31">
        <f>IF($E36="","",F36-G36)</f>
        <v/>
      </c>
      <c r="I36" s="32">
        <f>IF($E36="","",'Daily Data'!H36)</f>
        <v/>
      </c>
      <c r="J36" s="31">
        <f>IF($E36="","",E36-H36-I36)</f>
        <v/>
      </c>
      <c r="K36" s="33">
        <f>IF($E36="","",IF(A36&lt;HLP_ChangeDate,HLP_Legacy,HLP_Current))</f>
        <v/>
      </c>
      <c r="L36" s="31">
        <f>IF($E36="","",J36/(1-K36))</f>
        <v/>
      </c>
      <c r="M36" s="31">
        <f>IF($E36="","",I36/(1-K36))</f>
        <v/>
      </c>
      <c r="N36" s="31">
        <f>IF($E36="","",(B36+C36+D36)*Rate_Builder)</f>
        <v/>
      </c>
      <c r="O36" s="31">
        <f>IF($E36="","",E36*K36/(1-K36))</f>
        <v/>
      </c>
      <c r="P36" s="34">
        <f>IF(OR($E36="",B36=0),"",L36/B36*10000)</f>
        <v/>
      </c>
      <c r="Q36" s="34">
        <f>IF(OR($E36="",C36=0),"",F36/C36*10000)</f>
        <v/>
      </c>
      <c r="R36" s="34">
        <f>IF(OR($E36="",D36=0),"",'Daily Data'!I36/D36*10000)</f>
        <v/>
      </c>
    </row>
    <row r="37">
      <c r="A37" s="30" t="n">
        <v>45691</v>
      </c>
      <c r="B37" s="31">
        <f>'Daily Data'!B37-'Daily Data'!D37</f>
        <v/>
      </c>
      <c r="C37" s="32">
        <f>'Daily Data'!D37</f>
        <v/>
      </c>
      <c r="D37" s="32">
        <f>'Daily Data'!C37</f>
        <v/>
      </c>
      <c r="E37" s="32">
        <f>IF('Daily Data'!E37="","",'Daily Data'!E37)</f>
        <v/>
      </c>
      <c r="F37" s="32">
        <f>IF($E37="","",'Daily Data'!F37)</f>
        <v/>
      </c>
      <c r="G37" s="32">
        <f>IF($E37="","",'Daily Data'!G37)</f>
        <v/>
      </c>
      <c r="H37" s="31">
        <f>IF($E37="","",F37-G37)</f>
        <v/>
      </c>
      <c r="I37" s="32">
        <f>IF($E37="","",'Daily Data'!H37)</f>
        <v/>
      </c>
      <c r="J37" s="31">
        <f>IF($E37="","",E37-H37-I37)</f>
        <v/>
      </c>
      <c r="K37" s="33">
        <f>IF($E37="","",IF(A37&lt;HLP_ChangeDate,HLP_Legacy,HLP_Current))</f>
        <v/>
      </c>
      <c r="L37" s="31">
        <f>IF($E37="","",J37/(1-K37))</f>
        <v/>
      </c>
      <c r="M37" s="31">
        <f>IF($E37="","",I37/(1-K37))</f>
        <v/>
      </c>
      <c r="N37" s="31">
        <f>IF($E37="","",(B37+C37+D37)*Rate_Builder)</f>
        <v/>
      </c>
      <c r="O37" s="31">
        <f>IF($E37="","",E37*K37/(1-K37))</f>
        <v/>
      </c>
      <c r="P37" s="34">
        <f>IF(OR($E37="",B37=0),"",L37/B37*10000)</f>
        <v/>
      </c>
      <c r="Q37" s="34">
        <f>IF(OR($E37="",C37=0),"",F37/C37*10000)</f>
        <v/>
      </c>
      <c r="R37" s="34">
        <f>IF(OR($E37="",D37=0),"",'Daily Data'!I37/D37*10000)</f>
        <v/>
      </c>
    </row>
    <row r="38">
      <c r="A38" s="30" t="n">
        <v>45692</v>
      </c>
      <c r="B38" s="31">
        <f>'Daily Data'!B38-'Daily Data'!D38</f>
        <v/>
      </c>
      <c r="C38" s="32">
        <f>'Daily Data'!D38</f>
        <v/>
      </c>
      <c r="D38" s="32">
        <f>'Daily Data'!C38</f>
        <v/>
      </c>
      <c r="E38" s="32">
        <f>IF('Daily Data'!E38="","",'Daily Data'!E38)</f>
        <v/>
      </c>
      <c r="F38" s="32">
        <f>IF($E38="","",'Daily Data'!F38)</f>
        <v/>
      </c>
      <c r="G38" s="32">
        <f>IF($E38="","",'Daily Data'!G38)</f>
        <v/>
      </c>
      <c r="H38" s="31">
        <f>IF($E38="","",F38-G38)</f>
        <v/>
      </c>
      <c r="I38" s="32">
        <f>IF($E38="","",'Daily Data'!H38)</f>
        <v/>
      </c>
      <c r="J38" s="31">
        <f>IF($E38="","",E38-H38-I38)</f>
        <v/>
      </c>
      <c r="K38" s="33">
        <f>IF($E38="","",IF(A38&lt;HLP_ChangeDate,HLP_Legacy,HLP_Current))</f>
        <v/>
      </c>
      <c r="L38" s="31">
        <f>IF($E38="","",J38/(1-K38))</f>
        <v/>
      </c>
      <c r="M38" s="31">
        <f>IF($E38="","",I38/(1-K38))</f>
        <v/>
      </c>
      <c r="N38" s="31">
        <f>IF($E38="","",(B38+C38+D38)*Rate_Builder)</f>
        <v/>
      </c>
      <c r="O38" s="31">
        <f>IF($E38="","",E38*K38/(1-K38))</f>
        <v/>
      </c>
      <c r="P38" s="34">
        <f>IF(OR($E38="",B38=0),"",L38/B38*10000)</f>
        <v/>
      </c>
      <c r="Q38" s="34">
        <f>IF(OR($E38="",C38=0),"",F38/C38*10000)</f>
        <v/>
      </c>
      <c r="R38" s="34">
        <f>IF(OR($E38="",D38=0),"",'Daily Data'!I38/D38*10000)</f>
        <v/>
      </c>
    </row>
    <row r="39">
      <c r="A39" s="30" t="n">
        <v>45693</v>
      </c>
      <c r="B39" s="31">
        <f>'Daily Data'!B39-'Daily Data'!D39</f>
        <v/>
      </c>
      <c r="C39" s="32">
        <f>'Daily Data'!D39</f>
        <v/>
      </c>
      <c r="D39" s="32">
        <f>'Daily Data'!C39</f>
        <v/>
      </c>
      <c r="E39" s="32">
        <f>IF('Daily Data'!E39="","",'Daily Data'!E39)</f>
        <v/>
      </c>
      <c r="F39" s="32">
        <f>IF($E39="","",'Daily Data'!F39)</f>
        <v/>
      </c>
      <c r="G39" s="32">
        <f>IF($E39="","",'Daily Data'!G39)</f>
        <v/>
      </c>
      <c r="H39" s="31">
        <f>IF($E39="","",F39-G39)</f>
        <v/>
      </c>
      <c r="I39" s="32">
        <f>IF($E39="","",'Daily Data'!H39)</f>
        <v/>
      </c>
      <c r="J39" s="31">
        <f>IF($E39="","",E39-H39-I39)</f>
        <v/>
      </c>
      <c r="K39" s="33">
        <f>IF($E39="","",IF(A39&lt;HLP_ChangeDate,HLP_Legacy,HLP_Current))</f>
        <v/>
      </c>
      <c r="L39" s="31">
        <f>IF($E39="","",J39/(1-K39))</f>
        <v/>
      </c>
      <c r="M39" s="31">
        <f>IF($E39="","",I39/(1-K39))</f>
        <v/>
      </c>
      <c r="N39" s="31">
        <f>IF($E39="","",(B39+C39+D39)*Rate_Builder)</f>
        <v/>
      </c>
      <c r="O39" s="31">
        <f>IF($E39="","",E39*K39/(1-K39))</f>
        <v/>
      </c>
      <c r="P39" s="34">
        <f>IF(OR($E39="",B39=0),"",L39/B39*10000)</f>
        <v/>
      </c>
      <c r="Q39" s="34">
        <f>IF(OR($E39="",C39=0),"",F39/C39*10000)</f>
        <v/>
      </c>
      <c r="R39" s="34">
        <f>IF(OR($E39="",D39=0),"",'Daily Data'!I39/D39*10000)</f>
        <v/>
      </c>
    </row>
    <row r="40">
      <c r="A40" s="30" t="n">
        <v>45694</v>
      </c>
      <c r="B40" s="31">
        <f>'Daily Data'!B40-'Daily Data'!D40</f>
        <v/>
      </c>
      <c r="C40" s="32">
        <f>'Daily Data'!D40</f>
        <v/>
      </c>
      <c r="D40" s="32">
        <f>'Daily Data'!C40</f>
        <v/>
      </c>
      <c r="E40" s="32">
        <f>IF('Daily Data'!E40="","",'Daily Data'!E40)</f>
        <v/>
      </c>
      <c r="F40" s="32">
        <f>IF($E40="","",'Daily Data'!F40)</f>
        <v/>
      </c>
      <c r="G40" s="32">
        <f>IF($E40="","",'Daily Data'!G40)</f>
        <v/>
      </c>
      <c r="H40" s="31">
        <f>IF($E40="","",F40-G40)</f>
        <v/>
      </c>
      <c r="I40" s="32">
        <f>IF($E40="","",'Daily Data'!H40)</f>
        <v/>
      </c>
      <c r="J40" s="31">
        <f>IF($E40="","",E40-H40-I40)</f>
        <v/>
      </c>
      <c r="K40" s="33">
        <f>IF($E40="","",IF(A40&lt;HLP_ChangeDate,HLP_Legacy,HLP_Current))</f>
        <v/>
      </c>
      <c r="L40" s="31">
        <f>IF($E40="","",J40/(1-K40))</f>
        <v/>
      </c>
      <c r="M40" s="31">
        <f>IF($E40="","",I40/(1-K40))</f>
        <v/>
      </c>
      <c r="N40" s="31">
        <f>IF($E40="","",(B40+C40+D40)*Rate_Builder)</f>
        <v/>
      </c>
      <c r="O40" s="31">
        <f>IF($E40="","",E40*K40/(1-K40))</f>
        <v/>
      </c>
      <c r="P40" s="34">
        <f>IF(OR($E40="",B40=0),"",L40/B40*10000)</f>
        <v/>
      </c>
      <c r="Q40" s="34">
        <f>IF(OR($E40="",C40=0),"",F40/C40*10000)</f>
        <v/>
      </c>
      <c r="R40" s="34">
        <f>IF(OR($E40="",D40=0),"",'Daily Data'!I40/D40*10000)</f>
        <v/>
      </c>
    </row>
    <row r="41">
      <c r="A41" s="30" t="n">
        <v>45695</v>
      </c>
      <c r="B41" s="31">
        <f>'Daily Data'!B41-'Daily Data'!D41</f>
        <v/>
      </c>
      <c r="C41" s="32">
        <f>'Daily Data'!D41</f>
        <v/>
      </c>
      <c r="D41" s="32">
        <f>'Daily Data'!C41</f>
        <v/>
      </c>
      <c r="E41" s="32">
        <f>IF('Daily Data'!E41="","",'Daily Data'!E41)</f>
        <v/>
      </c>
      <c r="F41" s="32">
        <f>IF($E41="","",'Daily Data'!F41)</f>
        <v/>
      </c>
      <c r="G41" s="32">
        <f>IF($E41="","",'Daily Data'!G41)</f>
        <v/>
      </c>
      <c r="H41" s="31">
        <f>IF($E41="","",F41-G41)</f>
        <v/>
      </c>
      <c r="I41" s="32">
        <f>IF($E41="","",'Daily Data'!H41)</f>
        <v/>
      </c>
      <c r="J41" s="31">
        <f>IF($E41="","",E41-H41-I41)</f>
        <v/>
      </c>
      <c r="K41" s="33">
        <f>IF($E41="","",IF(A41&lt;HLP_ChangeDate,HLP_Legacy,HLP_Current))</f>
        <v/>
      </c>
      <c r="L41" s="31">
        <f>IF($E41="","",J41/(1-K41))</f>
        <v/>
      </c>
      <c r="M41" s="31">
        <f>IF($E41="","",I41/(1-K41))</f>
        <v/>
      </c>
      <c r="N41" s="31">
        <f>IF($E41="","",(B41+C41+D41)*Rate_Builder)</f>
        <v/>
      </c>
      <c r="O41" s="31">
        <f>IF($E41="","",E41*K41/(1-K41))</f>
        <v/>
      </c>
      <c r="P41" s="34">
        <f>IF(OR($E41="",B41=0),"",L41/B41*10000)</f>
        <v/>
      </c>
      <c r="Q41" s="34">
        <f>IF(OR($E41="",C41=0),"",F41/C41*10000)</f>
        <v/>
      </c>
      <c r="R41" s="34">
        <f>IF(OR($E41="",D41=0),"",'Daily Data'!I41/D41*10000)</f>
        <v/>
      </c>
    </row>
    <row r="42">
      <c r="A42" s="30" t="n">
        <v>45696</v>
      </c>
      <c r="B42" s="31">
        <f>'Daily Data'!B42-'Daily Data'!D42</f>
        <v/>
      </c>
      <c r="C42" s="32">
        <f>'Daily Data'!D42</f>
        <v/>
      </c>
      <c r="D42" s="32">
        <f>'Daily Data'!C42</f>
        <v/>
      </c>
      <c r="E42" s="32">
        <f>IF('Daily Data'!E42="","",'Daily Data'!E42)</f>
        <v/>
      </c>
      <c r="F42" s="32">
        <f>IF($E42="","",'Daily Data'!F42)</f>
        <v/>
      </c>
      <c r="G42" s="32">
        <f>IF($E42="","",'Daily Data'!G42)</f>
        <v/>
      </c>
      <c r="H42" s="31">
        <f>IF($E42="","",F42-G42)</f>
        <v/>
      </c>
      <c r="I42" s="32">
        <f>IF($E42="","",'Daily Data'!H42)</f>
        <v/>
      </c>
      <c r="J42" s="31">
        <f>IF($E42="","",E42-H42-I42)</f>
        <v/>
      </c>
      <c r="K42" s="33">
        <f>IF($E42="","",IF(A42&lt;HLP_ChangeDate,HLP_Legacy,HLP_Current))</f>
        <v/>
      </c>
      <c r="L42" s="31">
        <f>IF($E42="","",J42/(1-K42))</f>
        <v/>
      </c>
      <c r="M42" s="31">
        <f>IF($E42="","",I42/(1-K42))</f>
        <v/>
      </c>
      <c r="N42" s="31">
        <f>IF($E42="","",(B42+C42+D42)*Rate_Builder)</f>
        <v/>
      </c>
      <c r="O42" s="31">
        <f>IF($E42="","",E42*K42/(1-K42))</f>
        <v/>
      </c>
      <c r="P42" s="34">
        <f>IF(OR($E42="",B42=0),"",L42/B42*10000)</f>
        <v/>
      </c>
      <c r="Q42" s="34">
        <f>IF(OR($E42="",C42=0),"",F42/C42*10000)</f>
        <v/>
      </c>
      <c r="R42" s="34">
        <f>IF(OR($E42="",D42=0),"",'Daily Data'!I42/D42*10000)</f>
        <v/>
      </c>
    </row>
    <row r="43">
      <c r="A43" s="30" t="n">
        <v>45697</v>
      </c>
      <c r="B43" s="31">
        <f>'Daily Data'!B43-'Daily Data'!D43</f>
        <v/>
      </c>
      <c r="C43" s="32">
        <f>'Daily Data'!D43</f>
        <v/>
      </c>
      <c r="D43" s="32">
        <f>'Daily Data'!C43</f>
        <v/>
      </c>
      <c r="E43" s="32">
        <f>IF('Daily Data'!E43="","",'Daily Data'!E43)</f>
        <v/>
      </c>
      <c r="F43" s="32">
        <f>IF($E43="","",'Daily Data'!F43)</f>
        <v/>
      </c>
      <c r="G43" s="32">
        <f>IF($E43="","",'Daily Data'!G43)</f>
        <v/>
      </c>
      <c r="H43" s="31">
        <f>IF($E43="","",F43-G43)</f>
        <v/>
      </c>
      <c r="I43" s="32">
        <f>IF($E43="","",'Daily Data'!H43)</f>
        <v/>
      </c>
      <c r="J43" s="31">
        <f>IF($E43="","",E43-H43-I43)</f>
        <v/>
      </c>
      <c r="K43" s="33">
        <f>IF($E43="","",IF(A43&lt;HLP_ChangeDate,HLP_Legacy,HLP_Current))</f>
        <v/>
      </c>
      <c r="L43" s="31">
        <f>IF($E43="","",J43/(1-K43))</f>
        <v/>
      </c>
      <c r="M43" s="31">
        <f>IF($E43="","",I43/(1-K43))</f>
        <v/>
      </c>
      <c r="N43" s="31">
        <f>IF($E43="","",(B43+C43+D43)*Rate_Builder)</f>
        <v/>
      </c>
      <c r="O43" s="31">
        <f>IF($E43="","",E43*K43/(1-K43))</f>
        <v/>
      </c>
      <c r="P43" s="34">
        <f>IF(OR($E43="",B43=0),"",L43/B43*10000)</f>
        <v/>
      </c>
      <c r="Q43" s="34">
        <f>IF(OR($E43="",C43=0),"",F43/C43*10000)</f>
        <v/>
      </c>
      <c r="R43" s="34">
        <f>IF(OR($E43="",D43=0),"",'Daily Data'!I43/D43*10000)</f>
        <v/>
      </c>
    </row>
    <row r="44">
      <c r="A44" s="30" t="n">
        <v>45698</v>
      </c>
      <c r="B44" s="31">
        <f>'Daily Data'!B44-'Daily Data'!D44</f>
        <v/>
      </c>
      <c r="C44" s="32">
        <f>'Daily Data'!D44</f>
        <v/>
      </c>
      <c r="D44" s="32">
        <f>'Daily Data'!C44</f>
        <v/>
      </c>
      <c r="E44" s="32">
        <f>IF('Daily Data'!E44="","",'Daily Data'!E44)</f>
        <v/>
      </c>
      <c r="F44" s="32">
        <f>IF($E44="","",'Daily Data'!F44)</f>
        <v/>
      </c>
      <c r="G44" s="32">
        <f>IF($E44="","",'Daily Data'!G44)</f>
        <v/>
      </c>
      <c r="H44" s="31">
        <f>IF($E44="","",F44-G44)</f>
        <v/>
      </c>
      <c r="I44" s="32">
        <f>IF($E44="","",'Daily Data'!H44)</f>
        <v/>
      </c>
      <c r="J44" s="31">
        <f>IF($E44="","",E44-H44-I44)</f>
        <v/>
      </c>
      <c r="K44" s="33">
        <f>IF($E44="","",IF(A44&lt;HLP_ChangeDate,HLP_Legacy,HLP_Current))</f>
        <v/>
      </c>
      <c r="L44" s="31">
        <f>IF($E44="","",J44/(1-K44))</f>
        <v/>
      </c>
      <c r="M44" s="31">
        <f>IF($E44="","",I44/(1-K44))</f>
        <v/>
      </c>
      <c r="N44" s="31">
        <f>IF($E44="","",(B44+C44+D44)*Rate_Builder)</f>
        <v/>
      </c>
      <c r="O44" s="31">
        <f>IF($E44="","",E44*K44/(1-K44))</f>
        <v/>
      </c>
      <c r="P44" s="34">
        <f>IF(OR($E44="",B44=0),"",L44/B44*10000)</f>
        <v/>
      </c>
      <c r="Q44" s="34">
        <f>IF(OR($E44="",C44=0),"",F44/C44*10000)</f>
        <v/>
      </c>
      <c r="R44" s="34">
        <f>IF(OR($E44="",D44=0),"",'Daily Data'!I44/D44*10000)</f>
        <v/>
      </c>
    </row>
    <row r="45">
      <c r="A45" s="30" t="n">
        <v>45699</v>
      </c>
      <c r="B45" s="31">
        <f>'Daily Data'!B45-'Daily Data'!D45</f>
        <v/>
      </c>
      <c r="C45" s="32">
        <f>'Daily Data'!D45</f>
        <v/>
      </c>
      <c r="D45" s="32">
        <f>'Daily Data'!C45</f>
        <v/>
      </c>
      <c r="E45" s="32">
        <f>IF('Daily Data'!E45="","",'Daily Data'!E45)</f>
        <v/>
      </c>
      <c r="F45" s="32">
        <f>IF($E45="","",'Daily Data'!F45)</f>
        <v/>
      </c>
      <c r="G45" s="32">
        <f>IF($E45="","",'Daily Data'!G45)</f>
        <v/>
      </c>
      <c r="H45" s="31">
        <f>IF($E45="","",F45-G45)</f>
        <v/>
      </c>
      <c r="I45" s="32">
        <f>IF($E45="","",'Daily Data'!H45)</f>
        <v/>
      </c>
      <c r="J45" s="31">
        <f>IF($E45="","",E45-H45-I45)</f>
        <v/>
      </c>
      <c r="K45" s="33">
        <f>IF($E45="","",IF(A45&lt;HLP_ChangeDate,HLP_Legacy,HLP_Current))</f>
        <v/>
      </c>
      <c r="L45" s="31">
        <f>IF($E45="","",J45/(1-K45))</f>
        <v/>
      </c>
      <c r="M45" s="31">
        <f>IF($E45="","",I45/(1-K45))</f>
        <v/>
      </c>
      <c r="N45" s="31">
        <f>IF($E45="","",(B45+C45+D45)*Rate_Builder)</f>
        <v/>
      </c>
      <c r="O45" s="31">
        <f>IF($E45="","",E45*K45/(1-K45))</f>
        <v/>
      </c>
      <c r="P45" s="34">
        <f>IF(OR($E45="",B45=0),"",L45/B45*10000)</f>
        <v/>
      </c>
      <c r="Q45" s="34">
        <f>IF(OR($E45="",C45=0),"",F45/C45*10000)</f>
        <v/>
      </c>
      <c r="R45" s="34">
        <f>IF(OR($E45="",D45=0),"",'Daily Data'!I45/D45*10000)</f>
        <v/>
      </c>
    </row>
    <row r="46">
      <c r="A46" s="30" t="n">
        <v>45700</v>
      </c>
      <c r="B46" s="31">
        <f>'Daily Data'!B46-'Daily Data'!D46</f>
        <v/>
      </c>
      <c r="C46" s="32">
        <f>'Daily Data'!D46</f>
        <v/>
      </c>
      <c r="D46" s="32">
        <f>'Daily Data'!C46</f>
        <v/>
      </c>
      <c r="E46" s="32">
        <f>IF('Daily Data'!E46="","",'Daily Data'!E46)</f>
        <v/>
      </c>
      <c r="F46" s="32">
        <f>IF($E46="","",'Daily Data'!F46)</f>
        <v/>
      </c>
      <c r="G46" s="32">
        <f>IF($E46="","",'Daily Data'!G46)</f>
        <v/>
      </c>
      <c r="H46" s="31">
        <f>IF($E46="","",F46-G46)</f>
        <v/>
      </c>
      <c r="I46" s="32">
        <f>IF($E46="","",'Daily Data'!H46)</f>
        <v/>
      </c>
      <c r="J46" s="31">
        <f>IF($E46="","",E46-H46-I46)</f>
        <v/>
      </c>
      <c r="K46" s="33">
        <f>IF($E46="","",IF(A46&lt;HLP_ChangeDate,HLP_Legacy,HLP_Current))</f>
        <v/>
      </c>
      <c r="L46" s="31">
        <f>IF($E46="","",J46/(1-K46))</f>
        <v/>
      </c>
      <c r="M46" s="31">
        <f>IF($E46="","",I46/(1-K46))</f>
        <v/>
      </c>
      <c r="N46" s="31">
        <f>IF($E46="","",(B46+C46+D46)*Rate_Builder)</f>
        <v/>
      </c>
      <c r="O46" s="31">
        <f>IF($E46="","",E46*K46/(1-K46))</f>
        <v/>
      </c>
      <c r="P46" s="34">
        <f>IF(OR($E46="",B46=0),"",L46/B46*10000)</f>
        <v/>
      </c>
      <c r="Q46" s="34">
        <f>IF(OR($E46="",C46=0),"",F46/C46*10000)</f>
        <v/>
      </c>
      <c r="R46" s="34">
        <f>IF(OR($E46="",D46=0),"",'Daily Data'!I46/D46*10000)</f>
        <v/>
      </c>
    </row>
    <row r="47">
      <c r="A47" s="30" t="n">
        <v>45701</v>
      </c>
      <c r="B47" s="31">
        <f>'Daily Data'!B47-'Daily Data'!D47</f>
        <v/>
      </c>
      <c r="C47" s="32">
        <f>'Daily Data'!D47</f>
        <v/>
      </c>
      <c r="D47" s="32">
        <f>'Daily Data'!C47</f>
        <v/>
      </c>
      <c r="E47" s="32">
        <f>IF('Daily Data'!E47="","",'Daily Data'!E47)</f>
        <v/>
      </c>
      <c r="F47" s="32">
        <f>IF($E47="","",'Daily Data'!F47)</f>
        <v/>
      </c>
      <c r="G47" s="32">
        <f>IF($E47="","",'Daily Data'!G47)</f>
        <v/>
      </c>
      <c r="H47" s="31">
        <f>IF($E47="","",F47-G47)</f>
        <v/>
      </c>
      <c r="I47" s="32">
        <f>IF($E47="","",'Daily Data'!H47)</f>
        <v/>
      </c>
      <c r="J47" s="31">
        <f>IF($E47="","",E47-H47-I47)</f>
        <v/>
      </c>
      <c r="K47" s="33">
        <f>IF($E47="","",IF(A47&lt;HLP_ChangeDate,HLP_Legacy,HLP_Current))</f>
        <v/>
      </c>
      <c r="L47" s="31">
        <f>IF($E47="","",J47/(1-K47))</f>
        <v/>
      </c>
      <c r="M47" s="31">
        <f>IF($E47="","",I47/(1-K47))</f>
        <v/>
      </c>
      <c r="N47" s="31">
        <f>IF($E47="","",(B47+C47+D47)*Rate_Builder)</f>
        <v/>
      </c>
      <c r="O47" s="31">
        <f>IF($E47="","",E47*K47/(1-K47))</f>
        <v/>
      </c>
      <c r="P47" s="34">
        <f>IF(OR($E47="",B47=0),"",L47/B47*10000)</f>
        <v/>
      </c>
      <c r="Q47" s="34">
        <f>IF(OR($E47="",C47=0),"",F47/C47*10000)</f>
        <v/>
      </c>
      <c r="R47" s="34">
        <f>IF(OR($E47="",D47=0),"",'Daily Data'!I47/D47*10000)</f>
        <v/>
      </c>
    </row>
    <row r="48">
      <c r="A48" s="30" t="n">
        <v>45702</v>
      </c>
      <c r="B48" s="31">
        <f>'Daily Data'!B48-'Daily Data'!D48</f>
        <v/>
      </c>
      <c r="C48" s="32">
        <f>'Daily Data'!D48</f>
        <v/>
      </c>
      <c r="D48" s="32">
        <f>'Daily Data'!C48</f>
        <v/>
      </c>
      <c r="E48" s="32">
        <f>IF('Daily Data'!E48="","",'Daily Data'!E48)</f>
        <v/>
      </c>
      <c r="F48" s="32">
        <f>IF($E48="","",'Daily Data'!F48)</f>
        <v/>
      </c>
      <c r="G48" s="32">
        <f>IF($E48="","",'Daily Data'!G48)</f>
        <v/>
      </c>
      <c r="H48" s="31">
        <f>IF($E48="","",F48-G48)</f>
        <v/>
      </c>
      <c r="I48" s="32">
        <f>IF($E48="","",'Daily Data'!H48)</f>
        <v/>
      </c>
      <c r="J48" s="31">
        <f>IF($E48="","",E48-H48-I48)</f>
        <v/>
      </c>
      <c r="K48" s="33">
        <f>IF($E48="","",IF(A48&lt;HLP_ChangeDate,HLP_Legacy,HLP_Current))</f>
        <v/>
      </c>
      <c r="L48" s="31">
        <f>IF($E48="","",J48/(1-K48))</f>
        <v/>
      </c>
      <c r="M48" s="31">
        <f>IF($E48="","",I48/(1-K48))</f>
        <v/>
      </c>
      <c r="N48" s="31">
        <f>IF($E48="","",(B48+C48+D48)*Rate_Builder)</f>
        <v/>
      </c>
      <c r="O48" s="31">
        <f>IF($E48="","",E48*K48/(1-K48))</f>
        <v/>
      </c>
      <c r="P48" s="34">
        <f>IF(OR($E48="",B48=0),"",L48/B48*10000)</f>
        <v/>
      </c>
      <c r="Q48" s="34">
        <f>IF(OR($E48="",C48=0),"",F48/C48*10000)</f>
        <v/>
      </c>
      <c r="R48" s="34">
        <f>IF(OR($E48="",D48=0),"",'Daily Data'!I48/D48*10000)</f>
        <v/>
      </c>
    </row>
    <row r="49">
      <c r="A49" s="30" t="n">
        <v>45703</v>
      </c>
      <c r="B49" s="31">
        <f>'Daily Data'!B49-'Daily Data'!D49</f>
        <v/>
      </c>
      <c r="C49" s="32">
        <f>'Daily Data'!D49</f>
        <v/>
      </c>
      <c r="D49" s="32">
        <f>'Daily Data'!C49</f>
        <v/>
      </c>
      <c r="E49" s="32">
        <f>IF('Daily Data'!E49="","",'Daily Data'!E49)</f>
        <v/>
      </c>
      <c r="F49" s="32">
        <f>IF($E49="","",'Daily Data'!F49)</f>
        <v/>
      </c>
      <c r="G49" s="32">
        <f>IF($E49="","",'Daily Data'!G49)</f>
        <v/>
      </c>
      <c r="H49" s="31">
        <f>IF($E49="","",F49-G49)</f>
        <v/>
      </c>
      <c r="I49" s="32">
        <f>IF($E49="","",'Daily Data'!H49)</f>
        <v/>
      </c>
      <c r="J49" s="31">
        <f>IF($E49="","",E49-H49-I49)</f>
        <v/>
      </c>
      <c r="K49" s="33">
        <f>IF($E49="","",IF(A49&lt;HLP_ChangeDate,HLP_Legacy,HLP_Current))</f>
        <v/>
      </c>
      <c r="L49" s="31">
        <f>IF($E49="","",J49/(1-K49))</f>
        <v/>
      </c>
      <c r="M49" s="31">
        <f>IF($E49="","",I49/(1-K49))</f>
        <v/>
      </c>
      <c r="N49" s="31">
        <f>IF($E49="","",(B49+C49+D49)*Rate_Builder)</f>
        <v/>
      </c>
      <c r="O49" s="31">
        <f>IF($E49="","",E49*K49/(1-K49))</f>
        <v/>
      </c>
      <c r="P49" s="34">
        <f>IF(OR($E49="",B49=0),"",L49/B49*10000)</f>
        <v/>
      </c>
      <c r="Q49" s="34">
        <f>IF(OR($E49="",C49=0),"",F49/C49*10000)</f>
        <v/>
      </c>
      <c r="R49" s="34">
        <f>IF(OR($E49="",D49=0),"",'Daily Data'!I49/D49*10000)</f>
        <v/>
      </c>
    </row>
    <row r="50">
      <c r="A50" s="30" t="n">
        <v>45704</v>
      </c>
      <c r="B50" s="31">
        <f>'Daily Data'!B50-'Daily Data'!D50</f>
        <v/>
      </c>
      <c r="C50" s="32">
        <f>'Daily Data'!D50</f>
        <v/>
      </c>
      <c r="D50" s="32">
        <f>'Daily Data'!C50</f>
        <v/>
      </c>
      <c r="E50" s="32">
        <f>IF('Daily Data'!E50="","",'Daily Data'!E50)</f>
        <v/>
      </c>
      <c r="F50" s="32">
        <f>IF($E50="","",'Daily Data'!F50)</f>
        <v/>
      </c>
      <c r="G50" s="32">
        <f>IF($E50="","",'Daily Data'!G50)</f>
        <v/>
      </c>
      <c r="H50" s="31">
        <f>IF($E50="","",F50-G50)</f>
        <v/>
      </c>
      <c r="I50" s="32">
        <f>IF($E50="","",'Daily Data'!H50)</f>
        <v/>
      </c>
      <c r="J50" s="31">
        <f>IF($E50="","",E50-H50-I50)</f>
        <v/>
      </c>
      <c r="K50" s="33">
        <f>IF($E50="","",IF(A50&lt;HLP_ChangeDate,HLP_Legacy,HLP_Current))</f>
        <v/>
      </c>
      <c r="L50" s="31">
        <f>IF($E50="","",J50/(1-K50))</f>
        <v/>
      </c>
      <c r="M50" s="31">
        <f>IF($E50="","",I50/(1-K50))</f>
        <v/>
      </c>
      <c r="N50" s="31">
        <f>IF($E50="","",(B50+C50+D50)*Rate_Builder)</f>
        <v/>
      </c>
      <c r="O50" s="31">
        <f>IF($E50="","",E50*K50/(1-K50))</f>
        <v/>
      </c>
      <c r="P50" s="34">
        <f>IF(OR($E50="",B50=0),"",L50/B50*10000)</f>
        <v/>
      </c>
      <c r="Q50" s="34">
        <f>IF(OR($E50="",C50=0),"",F50/C50*10000)</f>
        <v/>
      </c>
      <c r="R50" s="34">
        <f>IF(OR($E50="",D50=0),"",'Daily Data'!I50/D50*10000)</f>
        <v/>
      </c>
    </row>
    <row r="51">
      <c r="A51" s="30" t="n">
        <v>45705</v>
      </c>
      <c r="B51" s="31">
        <f>'Daily Data'!B51-'Daily Data'!D51</f>
        <v/>
      </c>
      <c r="C51" s="32">
        <f>'Daily Data'!D51</f>
        <v/>
      </c>
      <c r="D51" s="32">
        <f>'Daily Data'!C51</f>
        <v/>
      </c>
      <c r="E51" s="32">
        <f>IF('Daily Data'!E51="","",'Daily Data'!E51)</f>
        <v/>
      </c>
      <c r="F51" s="32">
        <f>IF($E51="","",'Daily Data'!F51)</f>
        <v/>
      </c>
      <c r="G51" s="32">
        <f>IF($E51="","",'Daily Data'!G51)</f>
        <v/>
      </c>
      <c r="H51" s="31">
        <f>IF($E51="","",F51-G51)</f>
        <v/>
      </c>
      <c r="I51" s="32">
        <f>IF($E51="","",'Daily Data'!H51)</f>
        <v/>
      </c>
      <c r="J51" s="31">
        <f>IF($E51="","",E51-H51-I51)</f>
        <v/>
      </c>
      <c r="K51" s="33">
        <f>IF($E51="","",IF(A51&lt;HLP_ChangeDate,HLP_Legacy,HLP_Current))</f>
        <v/>
      </c>
      <c r="L51" s="31">
        <f>IF($E51="","",J51/(1-K51))</f>
        <v/>
      </c>
      <c r="M51" s="31">
        <f>IF($E51="","",I51/(1-K51))</f>
        <v/>
      </c>
      <c r="N51" s="31">
        <f>IF($E51="","",(B51+C51+D51)*Rate_Builder)</f>
        <v/>
      </c>
      <c r="O51" s="31">
        <f>IF($E51="","",E51*K51/(1-K51))</f>
        <v/>
      </c>
      <c r="P51" s="34">
        <f>IF(OR($E51="",B51=0),"",L51/B51*10000)</f>
        <v/>
      </c>
      <c r="Q51" s="34">
        <f>IF(OR($E51="",C51=0),"",F51/C51*10000)</f>
        <v/>
      </c>
      <c r="R51" s="34">
        <f>IF(OR($E51="",D51=0),"",'Daily Data'!I51/D51*10000)</f>
        <v/>
      </c>
    </row>
    <row r="52">
      <c r="A52" s="30" t="n">
        <v>45706</v>
      </c>
      <c r="B52" s="31">
        <f>'Daily Data'!B52-'Daily Data'!D52</f>
        <v/>
      </c>
      <c r="C52" s="32">
        <f>'Daily Data'!D52</f>
        <v/>
      </c>
      <c r="D52" s="32">
        <f>'Daily Data'!C52</f>
        <v/>
      </c>
      <c r="E52" s="32">
        <f>IF('Daily Data'!E52="","",'Daily Data'!E52)</f>
        <v/>
      </c>
      <c r="F52" s="32">
        <f>IF($E52="","",'Daily Data'!F52)</f>
        <v/>
      </c>
      <c r="G52" s="32">
        <f>IF($E52="","",'Daily Data'!G52)</f>
        <v/>
      </c>
      <c r="H52" s="31">
        <f>IF($E52="","",F52-G52)</f>
        <v/>
      </c>
      <c r="I52" s="32">
        <f>IF($E52="","",'Daily Data'!H52)</f>
        <v/>
      </c>
      <c r="J52" s="31">
        <f>IF($E52="","",E52-H52-I52)</f>
        <v/>
      </c>
      <c r="K52" s="33">
        <f>IF($E52="","",IF(A52&lt;HLP_ChangeDate,HLP_Legacy,HLP_Current))</f>
        <v/>
      </c>
      <c r="L52" s="31">
        <f>IF($E52="","",J52/(1-K52))</f>
        <v/>
      </c>
      <c r="M52" s="31">
        <f>IF($E52="","",I52/(1-K52))</f>
        <v/>
      </c>
      <c r="N52" s="31">
        <f>IF($E52="","",(B52+C52+D52)*Rate_Builder)</f>
        <v/>
      </c>
      <c r="O52" s="31">
        <f>IF($E52="","",E52*K52/(1-K52))</f>
        <v/>
      </c>
      <c r="P52" s="34">
        <f>IF(OR($E52="",B52=0),"",L52/B52*10000)</f>
        <v/>
      </c>
      <c r="Q52" s="34">
        <f>IF(OR($E52="",C52=0),"",F52/C52*10000)</f>
        <v/>
      </c>
      <c r="R52" s="34">
        <f>IF(OR($E52="",D52=0),"",'Daily Data'!I52/D52*10000)</f>
        <v/>
      </c>
    </row>
    <row r="53">
      <c r="A53" s="30" t="n">
        <v>45707</v>
      </c>
      <c r="B53" s="31">
        <f>'Daily Data'!B53-'Daily Data'!D53</f>
        <v/>
      </c>
      <c r="C53" s="32">
        <f>'Daily Data'!D53</f>
        <v/>
      </c>
      <c r="D53" s="32">
        <f>'Daily Data'!C53</f>
        <v/>
      </c>
      <c r="E53" s="32">
        <f>IF('Daily Data'!E53="","",'Daily Data'!E53)</f>
        <v/>
      </c>
      <c r="F53" s="32">
        <f>IF($E53="","",'Daily Data'!F53)</f>
        <v/>
      </c>
      <c r="G53" s="32">
        <f>IF($E53="","",'Daily Data'!G53)</f>
        <v/>
      </c>
      <c r="H53" s="31">
        <f>IF($E53="","",F53-G53)</f>
        <v/>
      </c>
      <c r="I53" s="32">
        <f>IF($E53="","",'Daily Data'!H53)</f>
        <v/>
      </c>
      <c r="J53" s="31">
        <f>IF($E53="","",E53-H53-I53)</f>
        <v/>
      </c>
      <c r="K53" s="33">
        <f>IF($E53="","",IF(A53&lt;HLP_ChangeDate,HLP_Legacy,HLP_Current))</f>
        <v/>
      </c>
      <c r="L53" s="31">
        <f>IF($E53="","",J53/(1-K53))</f>
        <v/>
      </c>
      <c r="M53" s="31">
        <f>IF($E53="","",I53/(1-K53))</f>
        <v/>
      </c>
      <c r="N53" s="31">
        <f>IF($E53="","",(B53+C53+D53)*Rate_Builder)</f>
        <v/>
      </c>
      <c r="O53" s="31">
        <f>IF($E53="","",E53*K53/(1-K53))</f>
        <v/>
      </c>
      <c r="P53" s="34">
        <f>IF(OR($E53="",B53=0),"",L53/B53*10000)</f>
        <v/>
      </c>
      <c r="Q53" s="34">
        <f>IF(OR($E53="",C53=0),"",F53/C53*10000)</f>
        <v/>
      </c>
      <c r="R53" s="34">
        <f>IF(OR($E53="",D53=0),"",'Daily Data'!I53/D53*10000)</f>
        <v/>
      </c>
    </row>
    <row r="54">
      <c r="A54" s="30" t="n">
        <v>45708</v>
      </c>
      <c r="B54" s="31">
        <f>'Daily Data'!B54-'Daily Data'!D54</f>
        <v/>
      </c>
      <c r="C54" s="32">
        <f>'Daily Data'!D54</f>
        <v/>
      </c>
      <c r="D54" s="32">
        <f>'Daily Data'!C54</f>
        <v/>
      </c>
      <c r="E54" s="32">
        <f>IF('Daily Data'!E54="","",'Daily Data'!E54)</f>
        <v/>
      </c>
      <c r="F54" s="32">
        <f>IF($E54="","",'Daily Data'!F54)</f>
        <v/>
      </c>
      <c r="G54" s="32">
        <f>IF($E54="","",'Daily Data'!G54)</f>
        <v/>
      </c>
      <c r="H54" s="31">
        <f>IF($E54="","",F54-G54)</f>
        <v/>
      </c>
      <c r="I54" s="32">
        <f>IF($E54="","",'Daily Data'!H54)</f>
        <v/>
      </c>
      <c r="J54" s="31">
        <f>IF($E54="","",E54-H54-I54)</f>
        <v/>
      </c>
      <c r="K54" s="33">
        <f>IF($E54="","",IF(A54&lt;HLP_ChangeDate,HLP_Legacy,HLP_Current))</f>
        <v/>
      </c>
      <c r="L54" s="31">
        <f>IF($E54="","",J54/(1-K54))</f>
        <v/>
      </c>
      <c r="M54" s="31">
        <f>IF($E54="","",I54/(1-K54))</f>
        <v/>
      </c>
      <c r="N54" s="31">
        <f>IF($E54="","",(B54+C54+D54)*Rate_Builder)</f>
        <v/>
      </c>
      <c r="O54" s="31">
        <f>IF($E54="","",E54*K54/(1-K54))</f>
        <v/>
      </c>
      <c r="P54" s="34">
        <f>IF(OR($E54="",B54=0),"",L54/B54*10000)</f>
        <v/>
      </c>
      <c r="Q54" s="34">
        <f>IF(OR($E54="",C54=0),"",F54/C54*10000)</f>
        <v/>
      </c>
      <c r="R54" s="34">
        <f>IF(OR($E54="",D54=0),"",'Daily Data'!I54/D54*10000)</f>
        <v/>
      </c>
    </row>
    <row r="55">
      <c r="A55" s="30" t="n">
        <v>45709</v>
      </c>
      <c r="B55" s="31">
        <f>'Daily Data'!B55-'Daily Data'!D55</f>
        <v/>
      </c>
      <c r="C55" s="32">
        <f>'Daily Data'!D55</f>
        <v/>
      </c>
      <c r="D55" s="32">
        <f>'Daily Data'!C55</f>
        <v/>
      </c>
      <c r="E55" s="32">
        <f>IF('Daily Data'!E55="","",'Daily Data'!E55)</f>
        <v/>
      </c>
      <c r="F55" s="32">
        <f>IF($E55="","",'Daily Data'!F55)</f>
        <v/>
      </c>
      <c r="G55" s="32">
        <f>IF($E55="","",'Daily Data'!G55)</f>
        <v/>
      </c>
      <c r="H55" s="31">
        <f>IF($E55="","",F55-G55)</f>
        <v/>
      </c>
      <c r="I55" s="32">
        <f>IF($E55="","",'Daily Data'!H55)</f>
        <v/>
      </c>
      <c r="J55" s="31">
        <f>IF($E55="","",E55-H55-I55)</f>
        <v/>
      </c>
      <c r="K55" s="33">
        <f>IF($E55="","",IF(A55&lt;HLP_ChangeDate,HLP_Legacy,HLP_Current))</f>
        <v/>
      </c>
      <c r="L55" s="31">
        <f>IF($E55="","",J55/(1-K55))</f>
        <v/>
      </c>
      <c r="M55" s="31">
        <f>IF($E55="","",I55/(1-K55))</f>
        <v/>
      </c>
      <c r="N55" s="31">
        <f>IF($E55="","",(B55+C55+D55)*Rate_Builder)</f>
        <v/>
      </c>
      <c r="O55" s="31">
        <f>IF($E55="","",E55*K55/(1-K55))</f>
        <v/>
      </c>
      <c r="P55" s="34">
        <f>IF(OR($E55="",B55=0),"",L55/B55*10000)</f>
        <v/>
      </c>
      <c r="Q55" s="34">
        <f>IF(OR($E55="",C55=0),"",F55/C55*10000)</f>
        <v/>
      </c>
      <c r="R55" s="34">
        <f>IF(OR($E55="",D55=0),"",'Daily Data'!I55/D55*10000)</f>
        <v/>
      </c>
    </row>
    <row r="56">
      <c r="A56" s="30" t="n">
        <v>45710</v>
      </c>
      <c r="B56" s="31">
        <f>'Daily Data'!B56-'Daily Data'!D56</f>
        <v/>
      </c>
      <c r="C56" s="32">
        <f>'Daily Data'!D56</f>
        <v/>
      </c>
      <c r="D56" s="32">
        <f>'Daily Data'!C56</f>
        <v/>
      </c>
      <c r="E56" s="32">
        <f>IF('Daily Data'!E56="","",'Daily Data'!E56)</f>
        <v/>
      </c>
      <c r="F56" s="32">
        <f>IF($E56="","",'Daily Data'!F56)</f>
        <v/>
      </c>
      <c r="G56" s="32">
        <f>IF($E56="","",'Daily Data'!G56)</f>
        <v/>
      </c>
      <c r="H56" s="31">
        <f>IF($E56="","",F56-G56)</f>
        <v/>
      </c>
      <c r="I56" s="32">
        <f>IF($E56="","",'Daily Data'!H56)</f>
        <v/>
      </c>
      <c r="J56" s="31">
        <f>IF($E56="","",E56-H56-I56)</f>
        <v/>
      </c>
      <c r="K56" s="33">
        <f>IF($E56="","",IF(A56&lt;HLP_ChangeDate,HLP_Legacy,HLP_Current))</f>
        <v/>
      </c>
      <c r="L56" s="31">
        <f>IF($E56="","",J56/(1-K56))</f>
        <v/>
      </c>
      <c r="M56" s="31">
        <f>IF($E56="","",I56/(1-K56))</f>
        <v/>
      </c>
      <c r="N56" s="31">
        <f>IF($E56="","",(B56+C56+D56)*Rate_Builder)</f>
        <v/>
      </c>
      <c r="O56" s="31">
        <f>IF($E56="","",E56*K56/(1-K56))</f>
        <v/>
      </c>
      <c r="P56" s="34">
        <f>IF(OR($E56="",B56=0),"",L56/B56*10000)</f>
        <v/>
      </c>
      <c r="Q56" s="34">
        <f>IF(OR($E56="",C56=0),"",F56/C56*10000)</f>
        <v/>
      </c>
      <c r="R56" s="34">
        <f>IF(OR($E56="",D56=0),"",'Daily Data'!I56/D56*10000)</f>
        <v/>
      </c>
    </row>
    <row r="57">
      <c r="A57" s="30" t="n">
        <v>45711</v>
      </c>
      <c r="B57" s="31">
        <f>'Daily Data'!B57-'Daily Data'!D57</f>
        <v/>
      </c>
      <c r="C57" s="32">
        <f>'Daily Data'!D57</f>
        <v/>
      </c>
      <c r="D57" s="32">
        <f>'Daily Data'!C57</f>
        <v/>
      </c>
      <c r="E57" s="32">
        <f>IF('Daily Data'!E57="","",'Daily Data'!E57)</f>
        <v/>
      </c>
      <c r="F57" s="32">
        <f>IF($E57="","",'Daily Data'!F57)</f>
        <v/>
      </c>
      <c r="G57" s="32">
        <f>IF($E57="","",'Daily Data'!G57)</f>
        <v/>
      </c>
      <c r="H57" s="31">
        <f>IF($E57="","",F57-G57)</f>
        <v/>
      </c>
      <c r="I57" s="32">
        <f>IF($E57="","",'Daily Data'!H57)</f>
        <v/>
      </c>
      <c r="J57" s="31">
        <f>IF($E57="","",E57-H57-I57)</f>
        <v/>
      </c>
      <c r="K57" s="33">
        <f>IF($E57="","",IF(A57&lt;HLP_ChangeDate,HLP_Legacy,HLP_Current))</f>
        <v/>
      </c>
      <c r="L57" s="31">
        <f>IF($E57="","",J57/(1-K57))</f>
        <v/>
      </c>
      <c r="M57" s="31">
        <f>IF($E57="","",I57/(1-K57))</f>
        <v/>
      </c>
      <c r="N57" s="31">
        <f>IF($E57="","",(B57+C57+D57)*Rate_Builder)</f>
        <v/>
      </c>
      <c r="O57" s="31">
        <f>IF($E57="","",E57*K57/(1-K57))</f>
        <v/>
      </c>
      <c r="P57" s="34">
        <f>IF(OR($E57="",B57=0),"",L57/B57*10000)</f>
        <v/>
      </c>
      <c r="Q57" s="34">
        <f>IF(OR($E57="",C57=0),"",F57/C57*10000)</f>
        <v/>
      </c>
      <c r="R57" s="34">
        <f>IF(OR($E57="",D57=0),"",'Daily Data'!I57/D57*10000)</f>
        <v/>
      </c>
    </row>
    <row r="58">
      <c r="A58" s="30" t="n">
        <v>45712</v>
      </c>
      <c r="B58" s="31">
        <f>'Daily Data'!B58-'Daily Data'!D58</f>
        <v/>
      </c>
      <c r="C58" s="32">
        <f>'Daily Data'!D58</f>
        <v/>
      </c>
      <c r="D58" s="32">
        <f>'Daily Data'!C58</f>
        <v/>
      </c>
      <c r="E58" s="32">
        <f>IF('Daily Data'!E58="","",'Daily Data'!E58)</f>
        <v/>
      </c>
      <c r="F58" s="32">
        <f>IF($E58="","",'Daily Data'!F58)</f>
        <v/>
      </c>
      <c r="G58" s="32">
        <f>IF($E58="","",'Daily Data'!G58)</f>
        <v/>
      </c>
      <c r="H58" s="31">
        <f>IF($E58="","",F58-G58)</f>
        <v/>
      </c>
      <c r="I58" s="32">
        <f>IF($E58="","",'Daily Data'!H58)</f>
        <v/>
      </c>
      <c r="J58" s="31">
        <f>IF($E58="","",E58-H58-I58)</f>
        <v/>
      </c>
      <c r="K58" s="33">
        <f>IF($E58="","",IF(A58&lt;HLP_ChangeDate,HLP_Legacy,HLP_Current))</f>
        <v/>
      </c>
      <c r="L58" s="31">
        <f>IF($E58="","",J58/(1-K58))</f>
        <v/>
      </c>
      <c r="M58" s="31">
        <f>IF($E58="","",I58/(1-K58))</f>
        <v/>
      </c>
      <c r="N58" s="31">
        <f>IF($E58="","",(B58+C58+D58)*Rate_Builder)</f>
        <v/>
      </c>
      <c r="O58" s="31">
        <f>IF($E58="","",E58*K58/(1-K58))</f>
        <v/>
      </c>
      <c r="P58" s="34">
        <f>IF(OR($E58="",B58=0),"",L58/B58*10000)</f>
        <v/>
      </c>
      <c r="Q58" s="34">
        <f>IF(OR($E58="",C58=0),"",F58/C58*10000)</f>
        <v/>
      </c>
      <c r="R58" s="34">
        <f>IF(OR($E58="",D58=0),"",'Daily Data'!I58/D58*10000)</f>
        <v/>
      </c>
    </row>
    <row r="59">
      <c r="A59" s="30" t="n">
        <v>45713</v>
      </c>
      <c r="B59" s="31">
        <f>'Daily Data'!B59-'Daily Data'!D59</f>
        <v/>
      </c>
      <c r="C59" s="32">
        <f>'Daily Data'!D59</f>
        <v/>
      </c>
      <c r="D59" s="32">
        <f>'Daily Data'!C59</f>
        <v/>
      </c>
      <c r="E59" s="32">
        <f>IF('Daily Data'!E59="","",'Daily Data'!E59)</f>
        <v/>
      </c>
      <c r="F59" s="32">
        <f>IF($E59="","",'Daily Data'!F59)</f>
        <v/>
      </c>
      <c r="G59" s="32">
        <f>IF($E59="","",'Daily Data'!G59)</f>
        <v/>
      </c>
      <c r="H59" s="31">
        <f>IF($E59="","",F59-G59)</f>
        <v/>
      </c>
      <c r="I59" s="32">
        <f>IF($E59="","",'Daily Data'!H59)</f>
        <v/>
      </c>
      <c r="J59" s="31">
        <f>IF($E59="","",E59-H59-I59)</f>
        <v/>
      </c>
      <c r="K59" s="33">
        <f>IF($E59="","",IF(A59&lt;HLP_ChangeDate,HLP_Legacy,HLP_Current))</f>
        <v/>
      </c>
      <c r="L59" s="31">
        <f>IF($E59="","",J59/(1-K59))</f>
        <v/>
      </c>
      <c r="M59" s="31">
        <f>IF($E59="","",I59/(1-K59))</f>
        <v/>
      </c>
      <c r="N59" s="31">
        <f>IF($E59="","",(B59+C59+D59)*Rate_Builder)</f>
        <v/>
      </c>
      <c r="O59" s="31">
        <f>IF($E59="","",E59*K59/(1-K59))</f>
        <v/>
      </c>
      <c r="P59" s="34">
        <f>IF(OR($E59="",B59=0),"",L59/B59*10000)</f>
        <v/>
      </c>
      <c r="Q59" s="34">
        <f>IF(OR($E59="",C59=0),"",F59/C59*10000)</f>
        <v/>
      </c>
      <c r="R59" s="34">
        <f>IF(OR($E59="",D59=0),"",'Daily Data'!I59/D59*10000)</f>
        <v/>
      </c>
    </row>
    <row r="60">
      <c r="A60" s="30" t="n">
        <v>45714</v>
      </c>
      <c r="B60" s="31">
        <f>'Daily Data'!B60-'Daily Data'!D60</f>
        <v/>
      </c>
      <c r="C60" s="32">
        <f>'Daily Data'!D60</f>
        <v/>
      </c>
      <c r="D60" s="32">
        <f>'Daily Data'!C60</f>
        <v/>
      </c>
      <c r="E60" s="32">
        <f>IF('Daily Data'!E60="","",'Daily Data'!E60)</f>
        <v/>
      </c>
      <c r="F60" s="32">
        <f>IF($E60="","",'Daily Data'!F60)</f>
        <v/>
      </c>
      <c r="G60" s="32">
        <f>IF($E60="","",'Daily Data'!G60)</f>
        <v/>
      </c>
      <c r="H60" s="31">
        <f>IF($E60="","",F60-G60)</f>
        <v/>
      </c>
      <c r="I60" s="32">
        <f>IF($E60="","",'Daily Data'!H60)</f>
        <v/>
      </c>
      <c r="J60" s="31">
        <f>IF($E60="","",E60-H60-I60)</f>
        <v/>
      </c>
      <c r="K60" s="33">
        <f>IF($E60="","",IF(A60&lt;HLP_ChangeDate,HLP_Legacy,HLP_Current))</f>
        <v/>
      </c>
      <c r="L60" s="31">
        <f>IF($E60="","",J60/(1-K60))</f>
        <v/>
      </c>
      <c r="M60" s="31">
        <f>IF($E60="","",I60/(1-K60))</f>
        <v/>
      </c>
      <c r="N60" s="31">
        <f>IF($E60="","",(B60+C60+D60)*Rate_Builder)</f>
        <v/>
      </c>
      <c r="O60" s="31">
        <f>IF($E60="","",E60*K60/(1-K60))</f>
        <v/>
      </c>
      <c r="P60" s="34">
        <f>IF(OR($E60="",B60=0),"",L60/B60*10000)</f>
        <v/>
      </c>
      <c r="Q60" s="34">
        <f>IF(OR($E60="",C60=0),"",F60/C60*10000)</f>
        <v/>
      </c>
      <c r="R60" s="34">
        <f>IF(OR($E60="",D60=0),"",'Daily Data'!I60/D60*10000)</f>
        <v/>
      </c>
    </row>
    <row r="61">
      <c r="A61" s="30" t="n">
        <v>45715</v>
      </c>
      <c r="B61" s="31">
        <f>'Daily Data'!B61-'Daily Data'!D61</f>
        <v/>
      </c>
      <c r="C61" s="32">
        <f>'Daily Data'!D61</f>
        <v/>
      </c>
      <c r="D61" s="32">
        <f>'Daily Data'!C61</f>
        <v/>
      </c>
      <c r="E61" s="32">
        <f>IF('Daily Data'!E61="","",'Daily Data'!E61)</f>
        <v/>
      </c>
      <c r="F61" s="32">
        <f>IF($E61="","",'Daily Data'!F61)</f>
        <v/>
      </c>
      <c r="G61" s="32">
        <f>IF($E61="","",'Daily Data'!G61)</f>
        <v/>
      </c>
      <c r="H61" s="31">
        <f>IF($E61="","",F61-G61)</f>
        <v/>
      </c>
      <c r="I61" s="32">
        <f>IF($E61="","",'Daily Data'!H61)</f>
        <v/>
      </c>
      <c r="J61" s="31">
        <f>IF($E61="","",E61-H61-I61)</f>
        <v/>
      </c>
      <c r="K61" s="33">
        <f>IF($E61="","",IF(A61&lt;HLP_ChangeDate,HLP_Legacy,HLP_Current))</f>
        <v/>
      </c>
      <c r="L61" s="31">
        <f>IF($E61="","",J61/(1-K61))</f>
        <v/>
      </c>
      <c r="M61" s="31">
        <f>IF($E61="","",I61/(1-K61))</f>
        <v/>
      </c>
      <c r="N61" s="31">
        <f>IF($E61="","",(B61+C61+D61)*Rate_Builder)</f>
        <v/>
      </c>
      <c r="O61" s="31">
        <f>IF($E61="","",E61*K61/(1-K61))</f>
        <v/>
      </c>
      <c r="P61" s="34">
        <f>IF(OR($E61="",B61=0),"",L61/B61*10000)</f>
        <v/>
      </c>
      <c r="Q61" s="34">
        <f>IF(OR($E61="",C61=0),"",F61/C61*10000)</f>
        <v/>
      </c>
      <c r="R61" s="34">
        <f>IF(OR($E61="",D61=0),"",'Daily Data'!I61/D61*10000)</f>
        <v/>
      </c>
    </row>
    <row r="62">
      <c r="A62" s="30" t="n">
        <v>45716</v>
      </c>
      <c r="B62" s="31">
        <f>'Daily Data'!B62-'Daily Data'!D62</f>
        <v/>
      </c>
      <c r="C62" s="32">
        <f>'Daily Data'!D62</f>
        <v/>
      </c>
      <c r="D62" s="32">
        <f>'Daily Data'!C62</f>
        <v/>
      </c>
      <c r="E62" s="32">
        <f>IF('Daily Data'!E62="","",'Daily Data'!E62)</f>
        <v/>
      </c>
      <c r="F62" s="32">
        <f>IF($E62="","",'Daily Data'!F62)</f>
        <v/>
      </c>
      <c r="G62" s="32">
        <f>IF($E62="","",'Daily Data'!G62)</f>
        <v/>
      </c>
      <c r="H62" s="31">
        <f>IF($E62="","",F62-G62)</f>
        <v/>
      </c>
      <c r="I62" s="32">
        <f>IF($E62="","",'Daily Data'!H62)</f>
        <v/>
      </c>
      <c r="J62" s="31">
        <f>IF($E62="","",E62-H62-I62)</f>
        <v/>
      </c>
      <c r="K62" s="33">
        <f>IF($E62="","",IF(A62&lt;HLP_ChangeDate,HLP_Legacy,HLP_Current))</f>
        <v/>
      </c>
      <c r="L62" s="31">
        <f>IF($E62="","",J62/(1-K62))</f>
        <v/>
      </c>
      <c r="M62" s="31">
        <f>IF($E62="","",I62/(1-K62))</f>
        <v/>
      </c>
      <c r="N62" s="31">
        <f>IF($E62="","",(B62+C62+D62)*Rate_Builder)</f>
        <v/>
      </c>
      <c r="O62" s="31">
        <f>IF($E62="","",E62*K62/(1-K62))</f>
        <v/>
      </c>
      <c r="P62" s="34">
        <f>IF(OR($E62="",B62=0),"",L62/B62*10000)</f>
        <v/>
      </c>
      <c r="Q62" s="34">
        <f>IF(OR($E62="",C62=0),"",F62/C62*10000)</f>
        <v/>
      </c>
      <c r="R62" s="34">
        <f>IF(OR($E62="",D62=0),"",'Daily Data'!I62/D62*10000)</f>
        <v/>
      </c>
    </row>
    <row r="63">
      <c r="A63" s="30" t="n">
        <v>45717</v>
      </c>
      <c r="B63" s="31">
        <f>'Daily Data'!B63-'Daily Data'!D63</f>
        <v/>
      </c>
      <c r="C63" s="32">
        <f>'Daily Data'!D63</f>
        <v/>
      </c>
      <c r="D63" s="32">
        <f>'Daily Data'!C63</f>
        <v/>
      </c>
      <c r="E63" s="32">
        <f>IF('Daily Data'!E63="","",'Daily Data'!E63)</f>
        <v/>
      </c>
      <c r="F63" s="32">
        <f>IF($E63="","",'Daily Data'!F63)</f>
        <v/>
      </c>
      <c r="G63" s="32">
        <f>IF($E63="","",'Daily Data'!G63)</f>
        <v/>
      </c>
      <c r="H63" s="31">
        <f>IF($E63="","",F63-G63)</f>
        <v/>
      </c>
      <c r="I63" s="32">
        <f>IF($E63="","",'Daily Data'!H63)</f>
        <v/>
      </c>
      <c r="J63" s="31">
        <f>IF($E63="","",E63-H63-I63)</f>
        <v/>
      </c>
      <c r="K63" s="33">
        <f>IF($E63="","",IF(A63&lt;HLP_ChangeDate,HLP_Legacy,HLP_Current))</f>
        <v/>
      </c>
      <c r="L63" s="31">
        <f>IF($E63="","",J63/(1-K63))</f>
        <v/>
      </c>
      <c r="M63" s="31">
        <f>IF($E63="","",I63/(1-K63))</f>
        <v/>
      </c>
      <c r="N63" s="31">
        <f>IF($E63="","",(B63+C63+D63)*Rate_Builder)</f>
        <v/>
      </c>
      <c r="O63" s="31">
        <f>IF($E63="","",E63*K63/(1-K63))</f>
        <v/>
      </c>
      <c r="P63" s="34">
        <f>IF(OR($E63="",B63=0),"",L63/B63*10000)</f>
        <v/>
      </c>
      <c r="Q63" s="34">
        <f>IF(OR($E63="",C63=0),"",F63/C63*10000)</f>
        <v/>
      </c>
      <c r="R63" s="34">
        <f>IF(OR($E63="",D63=0),"",'Daily Data'!I63/D63*10000)</f>
        <v/>
      </c>
    </row>
    <row r="64">
      <c r="A64" s="30" t="n">
        <v>45718</v>
      </c>
      <c r="B64" s="31">
        <f>'Daily Data'!B64-'Daily Data'!D64</f>
        <v/>
      </c>
      <c r="C64" s="32">
        <f>'Daily Data'!D64</f>
        <v/>
      </c>
      <c r="D64" s="32">
        <f>'Daily Data'!C64</f>
        <v/>
      </c>
      <c r="E64" s="32">
        <f>IF('Daily Data'!E64="","",'Daily Data'!E64)</f>
        <v/>
      </c>
      <c r="F64" s="32">
        <f>IF($E64="","",'Daily Data'!F64)</f>
        <v/>
      </c>
      <c r="G64" s="32">
        <f>IF($E64="","",'Daily Data'!G64)</f>
        <v/>
      </c>
      <c r="H64" s="31">
        <f>IF($E64="","",F64-G64)</f>
        <v/>
      </c>
      <c r="I64" s="32">
        <f>IF($E64="","",'Daily Data'!H64)</f>
        <v/>
      </c>
      <c r="J64" s="31">
        <f>IF($E64="","",E64-H64-I64)</f>
        <v/>
      </c>
      <c r="K64" s="33">
        <f>IF($E64="","",IF(A64&lt;HLP_ChangeDate,HLP_Legacy,HLP_Current))</f>
        <v/>
      </c>
      <c r="L64" s="31">
        <f>IF($E64="","",J64/(1-K64))</f>
        <v/>
      </c>
      <c r="M64" s="31">
        <f>IF($E64="","",I64/(1-K64))</f>
        <v/>
      </c>
      <c r="N64" s="31">
        <f>IF($E64="","",(B64+C64+D64)*Rate_Builder)</f>
        <v/>
      </c>
      <c r="O64" s="31">
        <f>IF($E64="","",E64*K64/(1-K64))</f>
        <v/>
      </c>
      <c r="P64" s="34">
        <f>IF(OR($E64="",B64=0),"",L64/B64*10000)</f>
        <v/>
      </c>
      <c r="Q64" s="34">
        <f>IF(OR($E64="",C64=0),"",F64/C64*10000)</f>
        <v/>
      </c>
      <c r="R64" s="34">
        <f>IF(OR($E64="",D64=0),"",'Daily Data'!I64/D64*10000)</f>
        <v/>
      </c>
    </row>
    <row r="65">
      <c r="A65" s="30" t="n">
        <v>45719</v>
      </c>
      <c r="B65" s="31">
        <f>'Daily Data'!B65-'Daily Data'!D65</f>
        <v/>
      </c>
      <c r="C65" s="32">
        <f>'Daily Data'!D65</f>
        <v/>
      </c>
      <c r="D65" s="32">
        <f>'Daily Data'!C65</f>
        <v/>
      </c>
      <c r="E65" s="32">
        <f>IF('Daily Data'!E65="","",'Daily Data'!E65)</f>
        <v/>
      </c>
      <c r="F65" s="32">
        <f>IF($E65="","",'Daily Data'!F65)</f>
        <v/>
      </c>
      <c r="G65" s="32">
        <f>IF($E65="","",'Daily Data'!G65)</f>
        <v/>
      </c>
      <c r="H65" s="31">
        <f>IF($E65="","",F65-G65)</f>
        <v/>
      </c>
      <c r="I65" s="32">
        <f>IF($E65="","",'Daily Data'!H65)</f>
        <v/>
      </c>
      <c r="J65" s="31">
        <f>IF($E65="","",E65-H65-I65)</f>
        <v/>
      </c>
      <c r="K65" s="33">
        <f>IF($E65="","",IF(A65&lt;HLP_ChangeDate,HLP_Legacy,HLP_Current))</f>
        <v/>
      </c>
      <c r="L65" s="31">
        <f>IF($E65="","",J65/(1-K65))</f>
        <v/>
      </c>
      <c r="M65" s="31">
        <f>IF($E65="","",I65/(1-K65))</f>
        <v/>
      </c>
      <c r="N65" s="31">
        <f>IF($E65="","",(B65+C65+D65)*Rate_Builder)</f>
        <v/>
      </c>
      <c r="O65" s="31">
        <f>IF($E65="","",E65*K65/(1-K65))</f>
        <v/>
      </c>
      <c r="P65" s="34">
        <f>IF(OR($E65="",B65=0),"",L65/B65*10000)</f>
        <v/>
      </c>
      <c r="Q65" s="34">
        <f>IF(OR($E65="",C65=0),"",F65/C65*10000)</f>
        <v/>
      </c>
      <c r="R65" s="34">
        <f>IF(OR($E65="",D65=0),"",'Daily Data'!I65/D65*10000)</f>
        <v/>
      </c>
    </row>
    <row r="66">
      <c r="A66" s="30" t="n">
        <v>45720</v>
      </c>
      <c r="B66" s="31">
        <f>'Daily Data'!B66-'Daily Data'!D66</f>
        <v/>
      </c>
      <c r="C66" s="32">
        <f>'Daily Data'!D66</f>
        <v/>
      </c>
      <c r="D66" s="32">
        <f>'Daily Data'!C66</f>
        <v/>
      </c>
      <c r="E66" s="32">
        <f>IF('Daily Data'!E66="","",'Daily Data'!E66)</f>
        <v/>
      </c>
      <c r="F66" s="32">
        <f>IF($E66="","",'Daily Data'!F66)</f>
        <v/>
      </c>
      <c r="G66" s="32">
        <f>IF($E66="","",'Daily Data'!G66)</f>
        <v/>
      </c>
      <c r="H66" s="31">
        <f>IF($E66="","",F66-G66)</f>
        <v/>
      </c>
      <c r="I66" s="32">
        <f>IF($E66="","",'Daily Data'!H66)</f>
        <v/>
      </c>
      <c r="J66" s="31">
        <f>IF($E66="","",E66-H66-I66)</f>
        <v/>
      </c>
      <c r="K66" s="33">
        <f>IF($E66="","",IF(A66&lt;HLP_ChangeDate,HLP_Legacy,HLP_Current))</f>
        <v/>
      </c>
      <c r="L66" s="31">
        <f>IF($E66="","",J66/(1-K66))</f>
        <v/>
      </c>
      <c r="M66" s="31">
        <f>IF($E66="","",I66/(1-K66))</f>
        <v/>
      </c>
      <c r="N66" s="31">
        <f>IF($E66="","",(B66+C66+D66)*Rate_Builder)</f>
        <v/>
      </c>
      <c r="O66" s="31">
        <f>IF($E66="","",E66*K66/(1-K66))</f>
        <v/>
      </c>
      <c r="P66" s="34">
        <f>IF(OR($E66="",B66=0),"",L66/B66*10000)</f>
        <v/>
      </c>
      <c r="Q66" s="34">
        <f>IF(OR($E66="",C66=0),"",F66/C66*10000)</f>
        <v/>
      </c>
      <c r="R66" s="34">
        <f>IF(OR($E66="",D66=0),"",'Daily Data'!I66/D66*10000)</f>
        <v/>
      </c>
    </row>
    <row r="67">
      <c r="A67" s="30" t="n">
        <v>45721</v>
      </c>
      <c r="B67" s="31">
        <f>'Daily Data'!B67-'Daily Data'!D67</f>
        <v/>
      </c>
      <c r="C67" s="32">
        <f>'Daily Data'!D67</f>
        <v/>
      </c>
      <c r="D67" s="32">
        <f>'Daily Data'!C67</f>
        <v/>
      </c>
      <c r="E67" s="32">
        <f>IF('Daily Data'!E67="","",'Daily Data'!E67)</f>
        <v/>
      </c>
      <c r="F67" s="32">
        <f>IF($E67="","",'Daily Data'!F67)</f>
        <v/>
      </c>
      <c r="G67" s="32">
        <f>IF($E67="","",'Daily Data'!G67)</f>
        <v/>
      </c>
      <c r="H67" s="31">
        <f>IF($E67="","",F67-G67)</f>
        <v/>
      </c>
      <c r="I67" s="32">
        <f>IF($E67="","",'Daily Data'!H67)</f>
        <v/>
      </c>
      <c r="J67" s="31">
        <f>IF($E67="","",E67-H67-I67)</f>
        <v/>
      </c>
      <c r="K67" s="33">
        <f>IF($E67="","",IF(A67&lt;HLP_ChangeDate,HLP_Legacy,HLP_Current))</f>
        <v/>
      </c>
      <c r="L67" s="31">
        <f>IF($E67="","",J67/(1-K67))</f>
        <v/>
      </c>
      <c r="M67" s="31">
        <f>IF($E67="","",I67/(1-K67))</f>
        <v/>
      </c>
      <c r="N67" s="31">
        <f>IF($E67="","",(B67+C67+D67)*Rate_Builder)</f>
        <v/>
      </c>
      <c r="O67" s="31">
        <f>IF($E67="","",E67*K67/(1-K67))</f>
        <v/>
      </c>
      <c r="P67" s="34">
        <f>IF(OR($E67="",B67=0),"",L67/B67*10000)</f>
        <v/>
      </c>
      <c r="Q67" s="34">
        <f>IF(OR($E67="",C67=0),"",F67/C67*10000)</f>
        <v/>
      </c>
      <c r="R67" s="34">
        <f>IF(OR($E67="",D67=0),"",'Daily Data'!I67/D67*10000)</f>
        <v/>
      </c>
    </row>
    <row r="68">
      <c r="A68" s="30" t="n">
        <v>45722</v>
      </c>
      <c r="B68" s="31">
        <f>'Daily Data'!B68-'Daily Data'!D68</f>
        <v/>
      </c>
      <c r="C68" s="32">
        <f>'Daily Data'!D68</f>
        <v/>
      </c>
      <c r="D68" s="32">
        <f>'Daily Data'!C68</f>
        <v/>
      </c>
      <c r="E68" s="32">
        <f>IF('Daily Data'!E68="","",'Daily Data'!E68)</f>
        <v/>
      </c>
      <c r="F68" s="32">
        <f>IF($E68="","",'Daily Data'!F68)</f>
        <v/>
      </c>
      <c r="G68" s="32">
        <f>IF($E68="","",'Daily Data'!G68)</f>
        <v/>
      </c>
      <c r="H68" s="31">
        <f>IF($E68="","",F68-G68)</f>
        <v/>
      </c>
      <c r="I68" s="32">
        <f>IF($E68="","",'Daily Data'!H68)</f>
        <v/>
      </c>
      <c r="J68" s="31">
        <f>IF($E68="","",E68-H68-I68)</f>
        <v/>
      </c>
      <c r="K68" s="33">
        <f>IF($E68="","",IF(A68&lt;HLP_ChangeDate,HLP_Legacy,HLP_Current))</f>
        <v/>
      </c>
      <c r="L68" s="31">
        <f>IF($E68="","",J68/(1-K68))</f>
        <v/>
      </c>
      <c r="M68" s="31">
        <f>IF($E68="","",I68/(1-K68))</f>
        <v/>
      </c>
      <c r="N68" s="31">
        <f>IF($E68="","",(B68+C68+D68)*Rate_Builder)</f>
        <v/>
      </c>
      <c r="O68" s="31">
        <f>IF($E68="","",E68*K68/(1-K68))</f>
        <v/>
      </c>
      <c r="P68" s="34">
        <f>IF(OR($E68="",B68=0),"",L68/B68*10000)</f>
        <v/>
      </c>
      <c r="Q68" s="34">
        <f>IF(OR($E68="",C68=0),"",F68/C68*10000)</f>
        <v/>
      </c>
      <c r="R68" s="34">
        <f>IF(OR($E68="",D68=0),"",'Daily Data'!I68/D68*10000)</f>
        <v/>
      </c>
    </row>
    <row r="69">
      <c r="A69" s="30" t="n">
        <v>45723</v>
      </c>
      <c r="B69" s="31">
        <f>'Daily Data'!B69-'Daily Data'!D69</f>
        <v/>
      </c>
      <c r="C69" s="32">
        <f>'Daily Data'!D69</f>
        <v/>
      </c>
      <c r="D69" s="32">
        <f>'Daily Data'!C69</f>
        <v/>
      </c>
      <c r="E69" s="32">
        <f>IF('Daily Data'!E69="","",'Daily Data'!E69)</f>
        <v/>
      </c>
      <c r="F69" s="32">
        <f>IF($E69="","",'Daily Data'!F69)</f>
        <v/>
      </c>
      <c r="G69" s="32">
        <f>IF($E69="","",'Daily Data'!G69)</f>
        <v/>
      </c>
      <c r="H69" s="31">
        <f>IF($E69="","",F69-G69)</f>
        <v/>
      </c>
      <c r="I69" s="32">
        <f>IF($E69="","",'Daily Data'!H69)</f>
        <v/>
      </c>
      <c r="J69" s="31">
        <f>IF($E69="","",E69-H69-I69)</f>
        <v/>
      </c>
      <c r="K69" s="33">
        <f>IF($E69="","",IF(A69&lt;HLP_ChangeDate,HLP_Legacy,HLP_Current))</f>
        <v/>
      </c>
      <c r="L69" s="31">
        <f>IF($E69="","",J69/(1-K69))</f>
        <v/>
      </c>
      <c r="M69" s="31">
        <f>IF($E69="","",I69/(1-K69))</f>
        <v/>
      </c>
      <c r="N69" s="31">
        <f>IF($E69="","",(B69+C69+D69)*Rate_Builder)</f>
        <v/>
      </c>
      <c r="O69" s="31">
        <f>IF($E69="","",E69*K69/(1-K69))</f>
        <v/>
      </c>
      <c r="P69" s="34">
        <f>IF(OR($E69="",B69=0),"",L69/B69*10000)</f>
        <v/>
      </c>
      <c r="Q69" s="34">
        <f>IF(OR($E69="",C69=0),"",F69/C69*10000)</f>
        <v/>
      </c>
      <c r="R69" s="34">
        <f>IF(OR($E69="",D69=0),"",'Daily Data'!I69/D69*10000)</f>
        <v/>
      </c>
    </row>
    <row r="70">
      <c r="A70" s="30" t="n">
        <v>45724</v>
      </c>
      <c r="B70" s="31">
        <f>'Daily Data'!B70-'Daily Data'!D70</f>
        <v/>
      </c>
      <c r="C70" s="32">
        <f>'Daily Data'!D70</f>
        <v/>
      </c>
      <c r="D70" s="32">
        <f>'Daily Data'!C70</f>
        <v/>
      </c>
      <c r="E70" s="32">
        <f>IF('Daily Data'!E70="","",'Daily Data'!E70)</f>
        <v/>
      </c>
      <c r="F70" s="32">
        <f>IF($E70="","",'Daily Data'!F70)</f>
        <v/>
      </c>
      <c r="G70" s="32">
        <f>IF($E70="","",'Daily Data'!G70)</f>
        <v/>
      </c>
      <c r="H70" s="31">
        <f>IF($E70="","",F70-G70)</f>
        <v/>
      </c>
      <c r="I70" s="32">
        <f>IF($E70="","",'Daily Data'!H70)</f>
        <v/>
      </c>
      <c r="J70" s="31">
        <f>IF($E70="","",E70-H70-I70)</f>
        <v/>
      </c>
      <c r="K70" s="33">
        <f>IF($E70="","",IF(A70&lt;HLP_ChangeDate,HLP_Legacy,HLP_Current))</f>
        <v/>
      </c>
      <c r="L70" s="31">
        <f>IF($E70="","",J70/(1-K70))</f>
        <v/>
      </c>
      <c r="M70" s="31">
        <f>IF($E70="","",I70/(1-K70))</f>
        <v/>
      </c>
      <c r="N70" s="31">
        <f>IF($E70="","",(B70+C70+D70)*Rate_Builder)</f>
        <v/>
      </c>
      <c r="O70" s="31">
        <f>IF($E70="","",E70*K70/(1-K70))</f>
        <v/>
      </c>
      <c r="P70" s="34">
        <f>IF(OR($E70="",B70=0),"",L70/B70*10000)</f>
        <v/>
      </c>
      <c r="Q70" s="34">
        <f>IF(OR($E70="",C70=0),"",F70/C70*10000)</f>
        <v/>
      </c>
      <c r="R70" s="34">
        <f>IF(OR($E70="",D70=0),"",'Daily Data'!I70/D70*10000)</f>
        <v/>
      </c>
    </row>
    <row r="71">
      <c r="A71" s="30" t="n">
        <v>45725</v>
      </c>
      <c r="B71" s="31">
        <f>'Daily Data'!B71-'Daily Data'!D71</f>
        <v/>
      </c>
      <c r="C71" s="32">
        <f>'Daily Data'!D71</f>
        <v/>
      </c>
      <c r="D71" s="32">
        <f>'Daily Data'!C71</f>
        <v/>
      </c>
      <c r="E71" s="32">
        <f>IF('Daily Data'!E71="","",'Daily Data'!E71)</f>
        <v/>
      </c>
      <c r="F71" s="32">
        <f>IF($E71="","",'Daily Data'!F71)</f>
        <v/>
      </c>
      <c r="G71" s="32">
        <f>IF($E71="","",'Daily Data'!G71)</f>
        <v/>
      </c>
      <c r="H71" s="31">
        <f>IF($E71="","",F71-G71)</f>
        <v/>
      </c>
      <c r="I71" s="32">
        <f>IF($E71="","",'Daily Data'!H71)</f>
        <v/>
      </c>
      <c r="J71" s="31">
        <f>IF($E71="","",E71-H71-I71)</f>
        <v/>
      </c>
      <c r="K71" s="33">
        <f>IF($E71="","",IF(A71&lt;HLP_ChangeDate,HLP_Legacy,HLP_Current))</f>
        <v/>
      </c>
      <c r="L71" s="31">
        <f>IF($E71="","",J71/(1-K71))</f>
        <v/>
      </c>
      <c r="M71" s="31">
        <f>IF($E71="","",I71/(1-K71))</f>
        <v/>
      </c>
      <c r="N71" s="31">
        <f>IF($E71="","",(B71+C71+D71)*Rate_Builder)</f>
        <v/>
      </c>
      <c r="O71" s="31">
        <f>IF($E71="","",E71*K71/(1-K71))</f>
        <v/>
      </c>
      <c r="P71" s="34">
        <f>IF(OR($E71="",B71=0),"",L71/B71*10000)</f>
        <v/>
      </c>
      <c r="Q71" s="34">
        <f>IF(OR($E71="",C71=0),"",F71/C71*10000)</f>
        <v/>
      </c>
      <c r="R71" s="34">
        <f>IF(OR($E71="",D71=0),"",'Daily Data'!I71/D71*10000)</f>
        <v/>
      </c>
    </row>
    <row r="72">
      <c r="A72" s="30" t="n">
        <v>45726</v>
      </c>
      <c r="B72" s="31">
        <f>'Daily Data'!B72-'Daily Data'!D72</f>
        <v/>
      </c>
      <c r="C72" s="32">
        <f>'Daily Data'!D72</f>
        <v/>
      </c>
      <c r="D72" s="32">
        <f>'Daily Data'!C72</f>
        <v/>
      </c>
      <c r="E72" s="32">
        <f>IF('Daily Data'!E72="","",'Daily Data'!E72)</f>
        <v/>
      </c>
      <c r="F72" s="32">
        <f>IF($E72="","",'Daily Data'!F72)</f>
        <v/>
      </c>
      <c r="G72" s="32">
        <f>IF($E72="","",'Daily Data'!G72)</f>
        <v/>
      </c>
      <c r="H72" s="31">
        <f>IF($E72="","",F72-G72)</f>
        <v/>
      </c>
      <c r="I72" s="32">
        <f>IF($E72="","",'Daily Data'!H72)</f>
        <v/>
      </c>
      <c r="J72" s="31">
        <f>IF($E72="","",E72-H72-I72)</f>
        <v/>
      </c>
      <c r="K72" s="33">
        <f>IF($E72="","",IF(A72&lt;HLP_ChangeDate,HLP_Legacy,HLP_Current))</f>
        <v/>
      </c>
      <c r="L72" s="31">
        <f>IF($E72="","",J72/(1-K72))</f>
        <v/>
      </c>
      <c r="M72" s="31">
        <f>IF($E72="","",I72/(1-K72))</f>
        <v/>
      </c>
      <c r="N72" s="31">
        <f>IF($E72="","",(B72+C72+D72)*Rate_Builder)</f>
        <v/>
      </c>
      <c r="O72" s="31">
        <f>IF($E72="","",E72*K72/(1-K72))</f>
        <v/>
      </c>
      <c r="P72" s="34">
        <f>IF(OR($E72="",B72=0),"",L72/B72*10000)</f>
        <v/>
      </c>
      <c r="Q72" s="34">
        <f>IF(OR($E72="",C72=0),"",F72/C72*10000)</f>
        <v/>
      </c>
      <c r="R72" s="34">
        <f>IF(OR($E72="",D72=0),"",'Daily Data'!I72/D72*10000)</f>
        <v/>
      </c>
    </row>
    <row r="73">
      <c r="A73" s="30" t="n">
        <v>45727</v>
      </c>
      <c r="B73" s="31">
        <f>'Daily Data'!B73-'Daily Data'!D73</f>
        <v/>
      </c>
      <c r="C73" s="32">
        <f>'Daily Data'!D73</f>
        <v/>
      </c>
      <c r="D73" s="32">
        <f>'Daily Data'!C73</f>
        <v/>
      </c>
      <c r="E73" s="32">
        <f>IF('Daily Data'!E73="","",'Daily Data'!E73)</f>
        <v/>
      </c>
      <c r="F73" s="32">
        <f>IF($E73="","",'Daily Data'!F73)</f>
        <v/>
      </c>
      <c r="G73" s="32">
        <f>IF($E73="","",'Daily Data'!G73)</f>
        <v/>
      </c>
      <c r="H73" s="31">
        <f>IF($E73="","",F73-G73)</f>
        <v/>
      </c>
      <c r="I73" s="32">
        <f>IF($E73="","",'Daily Data'!H73)</f>
        <v/>
      </c>
      <c r="J73" s="31">
        <f>IF($E73="","",E73-H73-I73)</f>
        <v/>
      </c>
      <c r="K73" s="33">
        <f>IF($E73="","",IF(A73&lt;HLP_ChangeDate,HLP_Legacy,HLP_Current))</f>
        <v/>
      </c>
      <c r="L73" s="31">
        <f>IF($E73="","",J73/(1-K73))</f>
        <v/>
      </c>
      <c r="M73" s="31">
        <f>IF($E73="","",I73/(1-K73))</f>
        <v/>
      </c>
      <c r="N73" s="31">
        <f>IF($E73="","",(B73+C73+D73)*Rate_Builder)</f>
        <v/>
      </c>
      <c r="O73" s="31">
        <f>IF($E73="","",E73*K73/(1-K73))</f>
        <v/>
      </c>
      <c r="P73" s="34">
        <f>IF(OR($E73="",B73=0),"",L73/B73*10000)</f>
        <v/>
      </c>
      <c r="Q73" s="34">
        <f>IF(OR($E73="",C73=0),"",F73/C73*10000)</f>
        <v/>
      </c>
      <c r="R73" s="34">
        <f>IF(OR($E73="",D73=0),"",'Daily Data'!I73/D73*10000)</f>
        <v/>
      </c>
    </row>
    <row r="74">
      <c r="A74" s="30" t="n">
        <v>45728</v>
      </c>
      <c r="B74" s="31">
        <f>'Daily Data'!B74-'Daily Data'!D74</f>
        <v/>
      </c>
      <c r="C74" s="32">
        <f>'Daily Data'!D74</f>
        <v/>
      </c>
      <c r="D74" s="32">
        <f>'Daily Data'!C74</f>
        <v/>
      </c>
      <c r="E74" s="32">
        <f>IF('Daily Data'!E74="","",'Daily Data'!E74)</f>
        <v/>
      </c>
      <c r="F74" s="32">
        <f>IF($E74="","",'Daily Data'!F74)</f>
        <v/>
      </c>
      <c r="G74" s="32">
        <f>IF($E74="","",'Daily Data'!G74)</f>
        <v/>
      </c>
      <c r="H74" s="31">
        <f>IF($E74="","",F74-G74)</f>
        <v/>
      </c>
      <c r="I74" s="32">
        <f>IF($E74="","",'Daily Data'!H74)</f>
        <v/>
      </c>
      <c r="J74" s="31">
        <f>IF($E74="","",E74-H74-I74)</f>
        <v/>
      </c>
      <c r="K74" s="33">
        <f>IF($E74="","",IF(A74&lt;HLP_ChangeDate,HLP_Legacy,HLP_Current))</f>
        <v/>
      </c>
      <c r="L74" s="31">
        <f>IF($E74="","",J74/(1-K74))</f>
        <v/>
      </c>
      <c r="M74" s="31">
        <f>IF($E74="","",I74/(1-K74))</f>
        <v/>
      </c>
      <c r="N74" s="31">
        <f>IF($E74="","",(B74+C74+D74)*Rate_Builder)</f>
        <v/>
      </c>
      <c r="O74" s="31">
        <f>IF($E74="","",E74*K74/(1-K74))</f>
        <v/>
      </c>
      <c r="P74" s="34">
        <f>IF(OR($E74="",B74=0),"",L74/B74*10000)</f>
        <v/>
      </c>
      <c r="Q74" s="34">
        <f>IF(OR($E74="",C74=0),"",F74/C74*10000)</f>
        <v/>
      </c>
      <c r="R74" s="34">
        <f>IF(OR($E74="",D74=0),"",'Daily Data'!I74/D74*10000)</f>
        <v/>
      </c>
    </row>
    <row r="75">
      <c r="A75" s="30" t="n">
        <v>45729</v>
      </c>
      <c r="B75" s="31">
        <f>'Daily Data'!B75-'Daily Data'!D75</f>
        <v/>
      </c>
      <c r="C75" s="32">
        <f>'Daily Data'!D75</f>
        <v/>
      </c>
      <c r="D75" s="32">
        <f>'Daily Data'!C75</f>
        <v/>
      </c>
      <c r="E75" s="32">
        <f>IF('Daily Data'!E75="","",'Daily Data'!E75)</f>
        <v/>
      </c>
      <c r="F75" s="32">
        <f>IF($E75="","",'Daily Data'!F75)</f>
        <v/>
      </c>
      <c r="G75" s="32">
        <f>IF($E75="","",'Daily Data'!G75)</f>
        <v/>
      </c>
      <c r="H75" s="31">
        <f>IF($E75="","",F75-G75)</f>
        <v/>
      </c>
      <c r="I75" s="32">
        <f>IF($E75="","",'Daily Data'!H75)</f>
        <v/>
      </c>
      <c r="J75" s="31">
        <f>IF($E75="","",E75-H75-I75)</f>
        <v/>
      </c>
      <c r="K75" s="33">
        <f>IF($E75="","",IF(A75&lt;HLP_ChangeDate,HLP_Legacy,HLP_Current))</f>
        <v/>
      </c>
      <c r="L75" s="31">
        <f>IF($E75="","",J75/(1-K75))</f>
        <v/>
      </c>
      <c r="M75" s="31">
        <f>IF($E75="","",I75/(1-K75))</f>
        <v/>
      </c>
      <c r="N75" s="31">
        <f>IF($E75="","",(B75+C75+D75)*Rate_Builder)</f>
        <v/>
      </c>
      <c r="O75" s="31">
        <f>IF($E75="","",E75*K75/(1-K75))</f>
        <v/>
      </c>
      <c r="P75" s="34">
        <f>IF(OR($E75="",B75=0),"",L75/B75*10000)</f>
        <v/>
      </c>
      <c r="Q75" s="34">
        <f>IF(OR($E75="",C75=0),"",F75/C75*10000)</f>
        <v/>
      </c>
      <c r="R75" s="34">
        <f>IF(OR($E75="",D75=0),"",'Daily Data'!I75/D75*10000)</f>
        <v/>
      </c>
    </row>
    <row r="76">
      <c r="A76" s="30" t="n">
        <v>45730</v>
      </c>
      <c r="B76" s="31">
        <f>'Daily Data'!B76-'Daily Data'!D76</f>
        <v/>
      </c>
      <c r="C76" s="32">
        <f>'Daily Data'!D76</f>
        <v/>
      </c>
      <c r="D76" s="32">
        <f>'Daily Data'!C76</f>
        <v/>
      </c>
      <c r="E76" s="32">
        <f>IF('Daily Data'!E76="","",'Daily Data'!E76)</f>
        <v/>
      </c>
      <c r="F76" s="32">
        <f>IF($E76="","",'Daily Data'!F76)</f>
        <v/>
      </c>
      <c r="G76" s="32">
        <f>IF($E76="","",'Daily Data'!G76)</f>
        <v/>
      </c>
      <c r="H76" s="31">
        <f>IF($E76="","",F76-G76)</f>
        <v/>
      </c>
      <c r="I76" s="32">
        <f>IF($E76="","",'Daily Data'!H76)</f>
        <v/>
      </c>
      <c r="J76" s="31">
        <f>IF($E76="","",E76-H76-I76)</f>
        <v/>
      </c>
      <c r="K76" s="33">
        <f>IF($E76="","",IF(A76&lt;HLP_ChangeDate,HLP_Legacy,HLP_Current))</f>
        <v/>
      </c>
      <c r="L76" s="31">
        <f>IF($E76="","",J76/(1-K76))</f>
        <v/>
      </c>
      <c r="M76" s="31">
        <f>IF($E76="","",I76/(1-K76))</f>
        <v/>
      </c>
      <c r="N76" s="31">
        <f>IF($E76="","",(B76+C76+D76)*Rate_Builder)</f>
        <v/>
      </c>
      <c r="O76" s="31">
        <f>IF($E76="","",E76*K76/(1-K76))</f>
        <v/>
      </c>
      <c r="P76" s="34">
        <f>IF(OR($E76="",B76=0),"",L76/B76*10000)</f>
        <v/>
      </c>
      <c r="Q76" s="34">
        <f>IF(OR($E76="",C76=0),"",F76/C76*10000)</f>
        <v/>
      </c>
      <c r="R76" s="34">
        <f>IF(OR($E76="",D76=0),"",'Daily Data'!I76/D76*10000)</f>
        <v/>
      </c>
    </row>
    <row r="77">
      <c r="A77" s="30" t="n">
        <v>45731</v>
      </c>
      <c r="B77" s="31">
        <f>'Daily Data'!B77-'Daily Data'!D77</f>
        <v/>
      </c>
      <c r="C77" s="32">
        <f>'Daily Data'!D77</f>
        <v/>
      </c>
      <c r="D77" s="32">
        <f>'Daily Data'!C77</f>
        <v/>
      </c>
      <c r="E77" s="32">
        <f>IF('Daily Data'!E77="","",'Daily Data'!E77)</f>
        <v/>
      </c>
      <c r="F77" s="32">
        <f>IF($E77="","",'Daily Data'!F77)</f>
        <v/>
      </c>
      <c r="G77" s="32">
        <f>IF($E77="","",'Daily Data'!G77)</f>
        <v/>
      </c>
      <c r="H77" s="31">
        <f>IF($E77="","",F77-G77)</f>
        <v/>
      </c>
      <c r="I77" s="32">
        <f>IF($E77="","",'Daily Data'!H77)</f>
        <v/>
      </c>
      <c r="J77" s="31">
        <f>IF($E77="","",E77-H77-I77)</f>
        <v/>
      </c>
      <c r="K77" s="33">
        <f>IF($E77="","",IF(A77&lt;HLP_ChangeDate,HLP_Legacy,HLP_Current))</f>
        <v/>
      </c>
      <c r="L77" s="31">
        <f>IF($E77="","",J77/(1-K77))</f>
        <v/>
      </c>
      <c r="M77" s="31">
        <f>IF($E77="","",I77/(1-K77))</f>
        <v/>
      </c>
      <c r="N77" s="31">
        <f>IF($E77="","",(B77+C77+D77)*Rate_Builder)</f>
        <v/>
      </c>
      <c r="O77" s="31">
        <f>IF($E77="","",E77*K77/(1-K77))</f>
        <v/>
      </c>
      <c r="P77" s="34">
        <f>IF(OR($E77="",B77=0),"",L77/B77*10000)</f>
        <v/>
      </c>
      <c r="Q77" s="34">
        <f>IF(OR($E77="",C77=0),"",F77/C77*10000)</f>
        <v/>
      </c>
      <c r="R77" s="34">
        <f>IF(OR($E77="",D77=0),"",'Daily Data'!I77/D77*10000)</f>
        <v/>
      </c>
    </row>
    <row r="78">
      <c r="A78" s="30" t="n">
        <v>45732</v>
      </c>
      <c r="B78" s="31">
        <f>'Daily Data'!B78-'Daily Data'!D78</f>
        <v/>
      </c>
      <c r="C78" s="32">
        <f>'Daily Data'!D78</f>
        <v/>
      </c>
      <c r="D78" s="32">
        <f>'Daily Data'!C78</f>
        <v/>
      </c>
      <c r="E78" s="32">
        <f>IF('Daily Data'!E78="","",'Daily Data'!E78)</f>
        <v/>
      </c>
      <c r="F78" s="32">
        <f>IF($E78="","",'Daily Data'!F78)</f>
        <v/>
      </c>
      <c r="G78" s="32">
        <f>IF($E78="","",'Daily Data'!G78)</f>
        <v/>
      </c>
      <c r="H78" s="31">
        <f>IF($E78="","",F78-G78)</f>
        <v/>
      </c>
      <c r="I78" s="32">
        <f>IF($E78="","",'Daily Data'!H78)</f>
        <v/>
      </c>
      <c r="J78" s="31">
        <f>IF($E78="","",E78-H78-I78)</f>
        <v/>
      </c>
      <c r="K78" s="33">
        <f>IF($E78="","",IF(A78&lt;HLP_ChangeDate,HLP_Legacy,HLP_Current))</f>
        <v/>
      </c>
      <c r="L78" s="31">
        <f>IF($E78="","",J78/(1-K78))</f>
        <v/>
      </c>
      <c r="M78" s="31">
        <f>IF($E78="","",I78/(1-K78))</f>
        <v/>
      </c>
      <c r="N78" s="31">
        <f>IF($E78="","",(B78+C78+D78)*Rate_Builder)</f>
        <v/>
      </c>
      <c r="O78" s="31">
        <f>IF($E78="","",E78*K78/(1-K78))</f>
        <v/>
      </c>
      <c r="P78" s="34">
        <f>IF(OR($E78="",B78=0),"",L78/B78*10000)</f>
        <v/>
      </c>
      <c r="Q78" s="34">
        <f>IF(OR($E78="",C78=0),"",F78/C78*10000)</f>
        <v/>
      </c>
      <c r="R78" s="34">
        <f>IF(OR($E78="",D78=0),"",'Daily Data'!I78/D78*10000)</f>
        <v/>
      </c>
    </row>
    <row r="79">
      <c r="A79" s="30" t="n">
        <v>45733</v>
      </c>
      <c r="B79" s="31">
        <f>'Daily Data'!B79-'Daily Data'!D79</f>
        <v/>
      </c>
      <c r="C79" s="32">
        <f>'Daily Data'!D79</f>
        <v/>
      </c>
      <c r="D79" s="32">
        <f>'Daily Data'!C79</f>
        <v/>
      </c>
      <c r="E79" s="32">
        <f>IF('Daily Data'!E79="","",'Daily Data'!E79)</f>
        <v/>
      </c>
      <c r="F79" s="32">
        <f>IF($E79="","",'Daily Data'!F79)</f>
        <v/>
      </c>
      <c r="G79" s="32">
        <f>IF($E79="","",'Daily Data'!G79)</f>
        <v/>
      </c>
      <c r="H79" s="31">
        <f>IF($E79="","",F79-G79)</f>
        <v/>
      </c>
      <c r="I79" s="32">
        <f>IF($E79="","",'Daily Data'!H79)</f>
        <v/>
      </c>
      <c r="J79" s="31">
        <f>IF($E79="","",E79-H79-I79)</f>
        <v/>
      </c>
      <c r="K79" s="33">
        <f>IF($E79="","",IF(A79&lt;HLP_ChangeDate,HLP_Legacy,HLP_Current))</f>
        <v/>
      </c>
      <c r="L79" s="31">
        <f>IF($E79="","",J79/(1-K79))</f>
        <v/>
      </c>
      <c r="M79" s="31">
        <f>IF($E79="","",I79/(1-K79))</f>
        <v/>
      </c>
      <c r="N79" s="31">
        <f>IF($E79="","",(B79+C79+D79)*Rate_Builder)</f>
        <v/>
      </c>
      <c r="O79" s="31">
        <f>IF($E79="","",E79*K79/(1-K79))</f>
        <v/>
      </c>
      <c r="P79" s="34">
        <f>IF(OR($E79="",B79=0),"",L79/B79*10000)</f>
        <v/>
      </c>
      <c r="Q79" s="34">
        <f>IF(OR($E79="",C79=0),"",F79/C79*10000)</f>
        <v/>
      </c>
      <c r="R79" s="34">
        <f>IF(OR($E79="",D79=0),"",'Daily Data'!I79/D79*10000)</f>
        <v/>
      </c>
    </row>
    <row r="80">
      <c r="A80" s="30" t="n">
        <v>45734</v>
      </c>
      <c r="B80" s="31">
        <f>'Daily Data'!B80-'Daily Data'!D80</f>
        <v/>
      </c>
      <c r="C80" s="32">
        <f>'Daily Data'!D80</f>
        <v/>
      </c>
      <c r="D80" s="32">
        <f>'Daily Data'!C80</f>
        <v/>
      </c>
      <c r="E80" s="32">
        <f>IF('Daily Data'!E80="","",'Daily Data'!E80)</f>
        <v/>
      </c>
      <c r="F80" s="32">
        <f>IF($E80="","",'Daily Data'!F80)</f>
        <v/>
      </c>
      <c r="G80" s="32">
        <f>IF($E80="","",'Daily Data'!G80)</f>
        <v/>
      </c>
      <c r="H80" s="31">
        <f>IF($E80="","",F80-G80)</f>
        <v/>
      </c>
      <c r="I80" s="32">
        <f>IF($E80="","",'Daily Data'!H80)</f>
        <v/>
      </c>
      <c r="J80" s="31">
        <f>IF($E80="","",E80-H80-I80)</f>
        <v/>
      </c>
      <c r="K80" s="33">
        <f>IF($E80="","",IF(A80&lt;HLP_ChangeDate,HLP_Legacy,HLP_Current))</f>
        <v/>
      </c>
      <c r="L80" s="31">
        <f>IF($E80="","",J80/(1-K80))</f>
        <v/>
      </c>
      <c r="M80" s="31">
        <f>IF($E80="","",I80/(1-K80))</f>
        <v/>
      </c>
      <c r="N80" s="31">
        <f>IF($E80="","",(B80+C80+D80)*Rate_Builder)</f>
        <v/>
      </c>
      <c r="O80" s="31">
        <f>IF($E80="","",E80*K80/(1-K80))</f>
        <v/>
      </c>
      <c r="P80" s="34">
        <f>IF(OR($E80="",B80=0),"",L80/B80*10000)</f>
        <v/>
      </c>
      <c r="Q80" s="34">
        <f>IF(OR($E80="",C80=0),"",F80/C80*10000)</f>
        <v/>
      </c>
      <c r="R80" s="34">
        <f>IF(OR($E80="",D80=0),"",'Daily Data'!I80/D80*10000)</f>
        <v/>
      </c>
    </row>
    <row r="81">
      <c r="A81" s="30" t="n">
        <v>45735</v>
      </c>
      <c r="B81" s="31">
        <f>'Daily Data'!B81-'Daily Data'!D81</f>
        <v/>
      </c>
      <c r="C81" s="32">
        <f>'Daily Data'!D81</f>
        <v/>
      </c>
      <c r="D81" s="32">
        <f>'Daily Data'!C81</f>
        <v/>
      </c>
      <c r="E81" s="32">
        <f>IF('Daily Data'!E81="","",'Daily Data'!E81)</f>
        <v/>
      </c>
      <c r="F81" s="32">
        <f>IF($E81="","",'Daily Data'!F81)</f>
        <v/>
      </c>
      <c r="G81" s="32">
        <f>IF($E81="","",'Daily Data'!G81)</f>
        <v/>
      </c>
      <c r="H81" s="31">
        <f>IF($E81="","",F81-G81)</f>
        <v/>
      </c>
      <c r="I81" s="32">
        <f>IF($E81="","",'Daily Data'!H81)</f>
        <v/>
      </c>
      <c r="J81" s="31">
        <f>IF($E81="","",E81-H81-I81)</f>
        <v/>
      </c>
      <c r="K81" s="33">
        <f>IF($E81="","",IF(A81&lt;HLP_ChangeDate,HLP_Legacy,HLP_Current))</f>
        <v/>
      </c>
      <c r="L81" s="31">
        <f>IF($E81="","",J81/(1-K81))</f>
        <v/>
      </c>
      <c r="M81" s="31">
        <f>IF($E81="","",I81/(1-K81))</f>
        <v/>
      </c>
      <c r="N81" s="31">
        <f>IF($E81="","",(B81+C81+D81)*Rate_Builder)</f>
        <v/>
      </c>
      <c r="O81" s="31">
        <f>IF($E81="","",E81*K81/(1-K81))</f>
        <v/>
      </c>
      <c r="P81" s="34">
        <f>IF(OR($E81="",B81=0),"",L81/B81*10000)</f>
        <v/>
      </c>
      <c r="Q81" s="34">
        <f>IF(OR($E81="",C81=0),"",F81/C81*10000)</f>
        <v/>
      </c>
      <c r="R81" s="34">
        <f>IF(OR($E81="",D81=0),"",'Daily Data'!I81/D81*10000)</f>
        <v/>
      </c>
    </row>
    <row r="82">
      <c r="A82" s="30" t="n">
        <v>45736</v>
      </c>
      <c r="B82" s="31">
        <f>'Daily Data'!B82-'Daily Data'!D82</f>
        <v/>
      </c>
      <c r="C82" s="32">
        <f>'Daily Data'!D82</f>
        <v/>
      </c>
      <c r="D82" s="32">
        <f>'Daily Data'!C82</f>
        <v/>
      </c>
      <c r="E82" s="32">
        <f>IF('Daily Data'!E82="","",'Daily Data'!E82)</f>
        <v/>
      </c>
      <c r="F82" s="32">
        <f>IF($E82="","",'Daily Data'!F82)</f>
        <v/>
      </c>
      <c r="G82" s="32">
        <f>IF($E82="","",'Daily Data'!G82)</f>
        <v/>
      </c>
      <c r="H82" s="31">
        <f>IF($E82="","",F82-G82)</f>
        <v/>
      </c>
      <c r="I82" s="32">
        <f>IF($E82="","",'Daily Data'!H82)</f>
        <v/>
      </c>
      <c r="J82" s="31">
        <f>IF($E82="","",E82-H82-I82)</f>
        <v/>
      </c>
      <c r="K82" s="33">
        <f>IF($E82="","",IF(A82&lt;HLP_ChangeDate,HLP_Legacy,HLP_Current))</f>
        <v/>
      </c>
      <c r="L82" s="31">
        <f>IF($E82="","",J82/(1-K82))</f>
        <v/>
      </c>
      <c r="M82" s="31">
        <f>IF($E82="","",I82/(1-K82))</f>
        <v/>
      </c>
      <c r="N82" s="31">
        <f>IF($E82="","",(B82+C82+D82)*Rate_Builder)</f>
        <v/>
      </c>
      <c r="O82" s="31">
        <f>IF($E82="","",E82*K82/(1-K82))</f>
        <v/>
      </c>
      <c r="P82" s="34">
        <f>IF(OR($E82="",B82=0),"",L82/B82*10000)</f>
        <v/>
      </c>
      <c r="Q82" s="34">
        <f>IF(OR($E82="",C82=0),"",F82/C82*10000)</f>
        <v/>
      </c>
      <c r="R82" s="34">
        <f>IF(OR($E82="",D82=0),"",'Daily Data'!I82/D82*10000)</f>
        <v/>
      </c>
    </row>
    <row r="83">
      <c r="A83" s="30" t="n">
        <v>45737</v>
      </c>
      <c r="B83" s="31">
        <f>'Daily Data'!B83-'Daily Data'!D83</f>
        <v/>
      </c>
      <c r="C83" s="32">
        <f>'Daily Data'!D83</f>
        <v/>
      </c>
      <c r="D83" s="32">
        <f>'Daily Data'!C83</f>
        <v/>
      </c>
      <c r="E83" s="32">
        <f>IF('Daily Data'!E83="","",'Daily Data'!E83)</f>
        <v/>
      </c>
      <c r="F83" s="32">
        <f>IF($E83="","",'Daily Data'!F83)</f>
        <v/>
      </c>
      <c r="G83" s="32">
        <f>IF($E83="","",'Daily Data'!G83)</f>
        <v/>
      </c>
      <c r="H83" s="31">
        <f>IF($E83="","",F83-G83)</f>
        <v/>
      </c>
      <c r="I83" s="32">
        <f>IF($E83="","",'Daily Data'!H83)</f>
        <v/>
      </c>
      <c r="J83" s="31">
        <f>IF($E83="","",E83-H83-I83)</f>
        <v/>
      </c>
      <c r="K83" s="33">
        <f>IF($E83="","",IF(A83&lt;HLP_ChangeDate,HLP_Legacy,HLP_Current))</f>
        <v/>
      </c>
      <c r="L83" s="31">
        <f>IF($E83="","",J83/(1-K83))</f>
        <v/>
      </c>
      <c r="M83" s="31">
        <f>IF($E83="","",I83/(1-K83))</f>
        <v/>
      </c>
      <c r="N83" s="31">
        <f>IF($E83="","",(B83+C83+D83)*Rate_Builder)</f>
        <v/>
      </c>
      <c r="O83" s="31">
        <f>IF($E83="","",E83*K83/(1-K83))</f>
        <v/>
      </c>
      <c r="P83" s="34">
        <f>IF(OR($E83="",B83=0),"",L83/B83*10000)</f>
        <v/>
      </c>
      <c r="Q83" s="34">
        <f>IF(OR($E83="",C83=0),"",F83/C83*10000)</f>
        <v/>
      </c>
      <c r="R83" s="34">
        <f>IF(OR($E83="",D83=0),"",'Daily Data'!I83/D83*10000)</f>
        <v/>
      </c>
    </row>
    <row r="84">
      <c r="A84" s="30" t="n">
        <v>45738</v>
      </c>
      <c r="B84" s="31">
        <f>'Daily Data'!B84-'Daily Data'!D84</f>
        <v/>
      </c>
      <c r="C84" s="32">
        <f>'Daily Data'!D84</f>
        <v/>
      </c>
      <c r="D84" s="32">
        <f>'Daily Data'!C84</f>
        <v/>
      </c>
      <c r="E84" s="32">
        <f>IF('Daily Data'!E84="","",'Daily Data'!E84)</f>
        <v/>
      </c>
      <c r="F84" s="32">
        <f>IF($E84="","",'Daily Data'!F84)</f>
        <v/>
      </c>
      <c r="G84" s="32">
        <f>IF($E84="","",'Daily Data'!G84)</f>
        <v/>
      </c>
      <c r="H84" s="31">
        <f>IF($E84="","",F84-G84)</f>
        <v/>
      </c>
      <c r="I84" s="32">
        <f>IF($E84="","",'Daily Data'!H84)</f>
        <v/>
      </c>
      <c r="J84" s="31">
        <f>IF($E84="","",E84-H84-I84)</f>
        <v/>
      </c>
      <c r="K84" s="33">
        <f>IF($E84="","",IF(A84&lt;HLP_ChangeDate,HLP_Legacy,HLP_Current))</f>
        <v/>
      </c>
      <c r="L84" s="31">
        <f>IF($E84="","",J84/(1-K84))</f>
        <v/>
      </c>
      <c r="M84" s="31">
        <f>IF($E84="","",I84/(1-K84))</f>
        <v/>
      </c>
      <c r="N84" s="31">
        <f>IF($E84="","",(B84+C84+D84)*Rate_Builder)</f>
        <v/>
      </c>
      <c r="O84" s="31">
        <f>IF($E84="","",E84*K84/(1-K84))</f>
        <v/>
      </c>
      <c r="P84" s="34">
        <f>IF(OR($E84="",B84=0),"",L84/B84*10000)</f>
        <v/>
      </c>
      <c r="Q84" s="34">
        <f>IF(OR($E84="",C84=0),"",F84/C84*10000)</f>
        <v/>
      </c>
      <c r="R84" s="34">
        <f>IF(OR($E84="",D84=0),"",'Daily Data'!I84/D84*10000)</f>
        <v/>
      </c>
    </row>
    <row r="85">
      <c r="A85" s="30" t="n">
        <v>45739</v>
      </c>
      <c r="B85" s="31">
        <f>'Daily Data'!B85-'Daily Data'!D85</f>
        <v/>
      </c>
      <c r="C85" s="32">
        <f>'Daily Data'!D85</f>
        <v/>
      </c>
      <c r="D85" s="32">
        <f>'Daily Data'!C85</f>
        <v/>
      </c>
      <c r="E85" s="32">
        <f>IF('Daily Data'!E85="","",'Daily Data'!E85)</f>
        <v/>
      </c>
      <c r="F85" s="32">
        <f>IF($E85="","",'Daily Data'!F85)</f>
        <v/>
      </c>
      <c r="G85" s="32">
        <f>IF($E85="","",'Daily Data'!G85)</f>
        <v/>
      </c>
      <c r="H85" s="31">
        <f>IF($E85="","",F85-G85)</f>
        <v/>
      </c>
      <c r="I85" s="32">
        <f>IF($E85="","",'Daily Data'!H85)</f>
        <v/>
      </c>
      <c r="J85" s="31">
        <f>IF($E85="","",E85-H85-I85)</f>
        <v/>
      </c>
      <c r="K85" s="33">
        <f>IF($E85="","",IF(A85&lt;HLP_ChangeDate,HLP_Legacy,HLP_Current))</f>
        <v/>
      </c>
      <c r="L85" s="31">
        <f>IF($E85="","",J85/(1-K85))</f>
        <v/>
      </c>
      <c r="M85" s="31">
        <f>IF($E85="","",I85/(1-K85))</f>
        <v/>
      </c>
      <c r="N85" s="31">
        <f>IF($E85="","",(B85+C85+D85)*Rate_Builder)</f>
        <v/>
      </c>
      <c r="O85" s="31">
        <f>IF($E85="","",E85*K85/(1-K85))</f>
        <v/>
      </c>
      <c r="P85" s="34">
        <f>IF(OR($E85="",B85=0),"",L85/B85*10000)</f>
        <v/>
      </c>
      <c r="Q85" s="34">
        <f>IF(OR($E85="",C85=0),"",F85/C85*10000)</f>
        <v/>
      </c>
      <c r="R85" s="34">
        <f>IF(OR($E85="",D85=0),"",'Daily Data'!I85/D85*10000)</f>
        <v/>
      </c>
    </row>
    <row r="86">
      <c r="A86" s="30" t="n">
        <v>45740</v>
      </c>
      <c r="B86" s="31">
        <f>'Daily Data'!B86-'Daily Data'!D86</f>
        <v/>
      </c>
      <c r="C86" s="32">
        <f>'Daily Data'!D86</f>
        <v/>
      </c>
      <c r="D86" s="32">
        <f>'Daily Data'!C86</f>
        <v/>
      </c>
      <c r="E86" s="32">
        <f>IF('Daily Data'!E86="","",'Daily Data'!E86)</f>
        <v/>
      </c>
      <c r="F86" s="32">
        <f>IF($E86="","",'Daily Data'!F86)</f>
        <v/>
      </c>
      <c r="G86" s="32">
        <f>IF($E86="","",'Daily Data'!G86)</f>
        <v/>
      </c>
      <c r="H86" s="31">
        <f>IF($E86="","",F86-G86)</f>
        <v/>
      </c>
      <c r="I86" s="32">
        <f>IF($E86="","",'Daily Data'!H86)</f>
        <v/>
      </c>
      <c r="J86" s="31">
        <f>IF($E86="","",E86-H86-I86)</f>
        <v/>
      </c>
      <c r="K86" s="33">
        <f>IF($E86="","",IF(A86&lt;HLP_ChangeDate,HLP_Legacy,HLP_Current))</f>
        <v/>
      </c>
      <c r="L86" s="31">
        <f>IF($E86="","",J86/(1-K86))</f>
        <v/>
      </c>
      <c r="M86" s="31">
        <f>IF($E86="","",I86/(1-K86))</f>
        <v/>
      </c>
      <c r="N86" s="31">
        <f>IF($E86="","",(B86+C86+D86)*Rate_Builder)</f>
        <v/>
      </c>
      <c r="O86" s="31">
        <f>IF($E86="","",E86*K86/(1-K86))</f>
        <v/>
      </c>
      <c r="P86" s="34">
        <f>IF(OR($E86="",B86=0),"",L86/B86*10000)</f>
        <v/>
      </c>
      <c r="Q86" s="34">
        <f>IF(OR($E86="",C86=0),"",F86/C86*10000)</f>
        <v/>
      </c>
      <c r="R86" s="34">
        <f>IF(OR($E86="",D86=0),"",'Daily Data'!I86/D86*10000)</f>
        <v/>
      </c>
    </row>
    <row r="87">
      <c r="A87" s="30" t="n">
        <v>45741</v>
      </c>
      <c r="B87" s="31">
        <f>'Daily Data'!B87-'Daily Data'!D87</f>
        <v/>
      </c>
      <c r="C87" s="32">
        <f>'Daily Data'!D87</f>
        <v/>
      </c>
      <c r="D87" s="32">
        <f>'Daily Data'!C87</f>
        <v/>
      </c>
      <c r="E87" s="32">
        <f>IF('Daily Data'!E87="","",'Daily Data'!E87)</f>
        <v/>
      </c>
      <c r="F87" s="32">
        <f>IF($E87="","",'Daily Data'!F87)</f>
        <v/>
      </c>
      <c r="G87" s="32">
        <f>IF($E87="","",'Daily Data'!G87)</f>
        <v/>
      </c>
      <c r="H87" s="31">
        <f>IF($E87="","",F87-G87)</f>
        <v/>
      </c>
      <c r="I87" s="32">
        <f>IF($E87="","",'Daily Data'!H87)</f>
        <v/>
      </c>
      <c r="J87" s="31">
        <f>IF($E87="","",E87-H87-I87)</f>
        <v/>
      </c>
      <c r="K87" s="33">
        <f>IF($E87="","",IF(A87&lt;HLP_ChangeDate,HLP_Legacy,HLP_Current))</f>
        <v/>
      </c>
      <c r="L87" s="31">
        <f>IF($E87="","",J87/(1-K87))</f>
        <v/>
      </c>
      <c r="M87" s="31">
        <f>IF($E87="","",I87/(1-K87))</f>
        <v/>
      </c>
      <c r="N87" s="31">
        <f>IF($E87="","",(B87+C87+D87)*Rate_Builder)</f>
        <v/>
      </c>
      <c r="O87" s="31">
        <f>IF($E87="","",E87*K87/(1-K87))</f>
        <v/>
      </c>
      <c r="P87" s="34">
        <f>IF(OR($E87="",B87=0),"",L87/B87*10000)</f>
        <v/>
      </c>
      <c r="Q87" s="34">
        <f>IF(OR($E87="",C87=0),"",F87/C87*10000)</f>
        <v/>
      </c>
      <c r="R87" s="34">
        <f>IF(OR($E87="",D87=0),"",'Daily Data'!I87/D87*10000)</f>
        <v/>
      </c>
    </row>
    <row r="88">
      <c r="A88" s="30" t="n">
        <v>45742</v>
      </c>
      <c r="B88" s="31">
        <f>'Daily Data'!B88-'Daily Data'!D88</f>
        <v/>
      </c>
      <c r="C88" s="32">
        <f>'Daily Data'!D88</f>
        <v/>
      </c>
      <c r="D88" s="32">
        <f>'Daily Data'!C88</f>
        <v/>
      </c>
      <c r="E88" s="32">
        <f>IF('Daily Data'!E88="","",'Daily Data'!E88)</f>
        <v/>
      </c>
      <c r="F88" s="32">
        <f>IF($E88="","",'Daily Data'!F88)</f>
        <v/>
      </c>
      <c r="G88" s="32">
        <f>IF($E88="","",'Daily Data'!G88)</f>
        <v/>
      </c>
      <c r="H88" s="31">
        <f>IF($E88="","",F88-G88)</f>
        <v/>
      </c>
      <c r="I88" s="32">
        <f>IF($E88="","",'Daily Data'!H88)</f>
        <v/>
      </c>
      <c r="J88" s="31">
        <f>IF($E88="","",E88-H88-I88)</f>
        <v/>
      </c>
      <c r="K88" s="33">
        <f>IF($E88="","",IF(A88&lt;HLP_ChangeDate,HLP_Legacy,HLP_Current))</f>
        <v/>
      </c>
      <c r="L88" s="31">
        <f>IF($E88="","",J88/(1-K88))</f>
        <v/>
      </c>
      <c r="M88" s="31">
        <f>IF($E88="","",I88/(1-K88))</f>
        <v/>
      </c>
      <c r="N88" s="31">
        <f>IF($E88="","",(B88+C88+D88)*Rate_Builder)</f>
        <v/>
      </c>
      <c r="O88" s="31">
        <f>IF($E88="","",E88*K88/(1-K88))</f>
        <v/>
      </c>
      <c r="P88" s="34">
        <f>IF(OR($E88="",B88=0),"",L88/B88*10000)</f>
        <v/>
      </c>
      <c r="Q88" s="34">
        <f>IF(OR($E88="",C88=0),"",F88/C88*10000)</f>
        <v/>
      </c>
      <c r="R88" s="34">
        <f>IF(OR($E88="",D88=0),"",'Daily Data'!I88/D88*10000)</f>
        <v/>
      </c>
    </row>
    <row r="89">
      <c r="A89" s="30" t="n">
        <v>45743</v>
      </c>
      <c r="B89" s="31">
        <f>'Daily Data'!B89-'Daily Data'!D89</f>
        <v/>
      </c>
      <c r="C89" s="32">
        <f>'Daily Data'!D89</f>
        <v/>
      </c>
      <c r="D89" s="32">
        <f>'Daily Data'!C89</f>
        <v/>
      </c>
      <c r="E89" s="32">
        <f>IF('Daily Data'!E89="","",'Daily Data'!E89)</f>
        <v/>
      </c>
      <c r="F89" s="32">
        <f>IF($E89="","",'Daily Data'!F89)</f>
        <v/>
      </c>
      <c r="G89" s="32">
        <f>IF($E89="","",'Daily Data'!G89)</f>
        <v/>
      </c>
      <c r="H89" s="31">
        <f>IF($E89="","",F89-G89)</f>
        <v/>
      </c>
      <c r="I89" s="32">
        <f>IF($E89="","",'Daily Data'!H89)</f>
        <v/>
      </c>
      <c r="J89" s="31">
        <f>IF($E89="","",E89-H89-I89)</f>
        <v/>
      </c>
      <c r="K89" s="33">
        <f>IF($E89="","",IF(A89&lt;HLP_ChangeDate,HLP_Legacy,HLP_Current))</f>
        <v/>
      </c>
      <c r="L89" s="31">
        <f>IF($E89="","",J89/(1-K89))</f>
        <v/>
      </c>
      <c r="M89" s="31">
        <f>IF($E89="","",I89/(1-K89))</f>
        <v/>
      </c>
      <c r="N89" s="31">
        <f>IF($E89="","",(B89+C89+D89)*Rate_Builder)</f>
        <v/>
      </c>
      <c r="O89" s="31">
        <f>IF($E89="","",E89*K89/(1-K89))</f>
        <v/>
      </c>
      <c r="P89" s="34">
        <f>IF(OR($E89="",B89=0),"",L89/B89*10000)</f>
        <v/>
      </c>
      <c r="Q89" s="34">
        <f>IF(OR($E89="",C89=0),"",F89/C89*10000)</f>
        <v/>
      </c>
      <c r="R89" s="34">
        <f>IF(OR($E89="",D89=0),"",'Daily Data'!I89/D89*10000)</f>
        <v/>
      </c>
    </row>
    <row r="90">
      <c r="A90" s="30" t="n">
        <v>45744</v>
      </c>
      <c r="B90" s="31">
        <f>'Daily Data'!B90-'Daily Data'!D90</f>
        <v/>
      </c>
      <c r="C90" s="32">
        <f>'Daily Data'!D90</f>
        <v/>
      </c>
      <c r="D90" s="32">
        <f>'Daily Data'!C90</f>
        <v/>
      </c>
      <c r="E90" s="32">
        <f>IF('Daily Data'!E90="","",'Daily Data'!E90)</f>
        <v/>
      </c>
      <c r="F90" s="32">
        <f>IF($E90="","",'Daily Data'!F90)</f>
        <v/>
      </c>
      <c r="G90" s="32">
        <f>IF($E90="","",'Daily Data'!G90)</f>
        <v/>
      </c>
      <c r="H90" s="31">
        <f>IF($E90="","",F90-G90)</f>
        <v/>
      </c>
      <c r="I90" s="32">
        <f>IF($E90="","",'Daily Data'!H90)</f>
        <v/>
      </c>
      <c r="J90" s="31">
        <f>IF($E90="","",E90-H90-I90)</f>
        <v/>
      </c>
      <c r="K90" s="33">
        <f>IF($E90="","",IF(A90&lt;HLP_ChangeDate,HLP_Legacy,HLP_Current))</f>
        <v/>
      </c>
      <c r="L90" s="31">
        <f>IF($E90="","",J90/(1-K90))</f>
        <v/>
      </c>
      <c r="M90" s="31">
        <f>IF($E90="","",I90/(1-K90))</f>
        <v/>
      </c>
      <c r="N90" s="31">
        <f>IF($E90="","",(B90+C90+D90)*Rate_Builder)</f>
        <v/>
      </c>
      <c r="O90" s="31">
        <f>IF($E90="","",E90*K90/(1-K90))</f>
        <v/>
      </c>
      <c r="P90" s="34">
        <f>IF(OR($E90="",B90=0),"",L90/B90*10000)</f>
        <v/>
      </c>
      <c r="Q90" s="34">
        <f>IF(OR($E90="",C90=0),"",F90/C90*10000)</f>
        <v/>
      </c>
      <c r="R90" s="34">
        <f>IF(OR($E90="",D90=0),"",'Daily Data'!I90/D90*10000)</f>
        <v/>
      </c>
    </row>
    <row r="91">
      <c r="A91" s="30" t="n">
        <v>45745</v>
      </c>
      <c r="B91" s="31">
        <f>'Daily Data'!B91-'Daily Data'!D91</f>
        <v/>
      </c>
      <c r="C91" s="32">
        <f>'Daily Data'!D91</f>
        <v/>
      </c>
      <c r="D91" s="32">
        <f>'Daily Data'!C91</f>
        <v/>
      </c>
      <c r="E91" s="32">
        <f>IF('Daily Data'!E91="","",'Daily Data'!E91)</f>
        <v/>
      </c>
      <c r="F91" s="32">
        <f>IF($E91="","",'Daily Data'!F91)</f>
        <v/>
      </c>
      <c r="G91" s="32">
        <f>IF($E91="","",'Daily Data'!G91)</f>
        <v/>
      </c>
      <c r="H91" s="31">
        <f>IF($E91="","",F91-G91)</f>
        <v/>
      </c>
      <c r="I91" s="32">
        <f>IF($E91="","",'Daily Data'!H91)</f>
        <v/>
      </c>
      <c r="J91" s="31">
        <f>IF($E91="","",E91-H91-I91)</f>
        <v/>
      </c>
      <c r="K91" s="33">
        <f>IF($E91="","",IF(A91&lt;HLP_ChangeDate,HLP_Legacy,HLP_Current))</f>
        <v/>
      </c>
      <c r="L91" s="31">
        <f>IF($E91="","",J91/(1-K91))</f>
        <v/>
      </c>
      <c r="M91" s="31">
        <f>IF($E91="","",I91/(1-K91))</f>
        <v/>
      </c>
      <c r="N91" s="31">
        <f>IF($E91="","",(B91+C91+D91)*Rate_Builder)</f>
        <v/>
      </c>
      <c r="O91" s="31">
        <f>IF($E91="","",E91*K91/(1-K91))</f>
        <v/>
      </c>
      <c r="P91" s="34">
        <f>IF(OR($E91="",B91=0),"",L91/B91*10000)</f>
        <v/>
      </c>
      <c r="Q91" s="34">
        <f>IF(OR($E91="",C91=0),"",F91/C91*10000)</f>
        <v/>
      </c>
      <c r="R91" s="34">
        <f>IF(OR($E91="",D91=0),"",'Daily Data'!I91/D91*10000)</f>
        <v/>
      </c>
    </row>
    <row r="92">
      <c r="A92" s="30" t="n">
        <v>45746</v>
      </c>
      <c r="B92" s="31">
        <f>'Daily Data'!B92-'Daily Data'!D92</f>
        <v/>
      </c>
      <c r="C92" s="32">
        <f>'Daily Data'!D92</f>
        <v/>
      </c>
      <c r="D92" s="32">
        <f>'Daily Data'!C92</f>
        <v/>
      </c>
      <c r="E92" s="32">
        <f>IF('Daily Data'!E92="","",'Daily Data'!E92)</f>
        <v/>
      </c>
      <c r="F92" s="32">
        <f>IF($E92="","",'Daily Data'!F92)</f>
        <v/>
      </c>
      <c r="G92" s="32">
        <f>IF($E92="","",'Daily Data'!G92)</f>
        <v/>
      </c>
      <c r="H92" s="31">
        <f>IF($E92="","",F92-G92)</f>
        <v/>
      </c>
      <c r="I92" s="32">
        <f>IF($E92="","",'Daily Data'!H92)</f>
        <v/>
      </c>
      <c r="J92" s="31">
        <f>IF($E92="","",E92-H92-I92)</f>
        <v/>
      </c>
      <c r="K92" s="33">
        <f>IF($E92="","",IF(A92&lt;HLP_ChangeDate,HLP_Legacy,HLP_Current))</f>
        <v/>
      </c>
      <c r="L92" s="31">
        <f>IF($E92="","",J92/(1-K92))</f>
        <v/>
      </c>
      <c r="M92" s="31">
        <f>IF($E92="","",I92/(1-K92))</f>
        <v/>
      </c>
      <c r="N92" s="31">
        <f>IF($E92="","",(B92+C92+D92)*Rate_Builder)</f>
        <v/>
      </c>
      <c r="O92" s="31">
        <f>IF($E92="","",E92*K92/(1-K92))</f>
        <v/>
      </c>
      <c r="P92" s="34">
        <f>IF(OR($E92="",B92=0),"",L92/B92*10000)</f>
        <v/>
      </c>
      <c r="Q92" s="34">
        <f>IF(OR($E92="",C92=0),"",F92/C92*10000)</f>
        <v/>
      </c>
      <c r="R92" s="34">
        <f>IF(OR($E92="",D92=0),"",'Daily Data'!I92/D92*10000)</f>
        <v/>
      </c>
    </row>
    <row r="93">
      <c r="A93" s="30" t="n">
        <v>45747</v>
      </c>
      <c r="B93" s="31">
        <f>'Daily Data'!B93-'Daily Data'!D93</f>
        <v/>
      </c>
      <c r="C93" s="32">
        <f>'Daily Data'!D93</f>
        <v/>
      </c>
      <c r="D93" s="32">
        <f>'Daily Data'!C93</f>
        <v/>
      </c>
      <c r="E93" s="32">
        <f>IF('Daily Data'!E93="","",'Daily Data'!E93)</f>
        <v/>
      </c>
      <c r="F93" s="32">
        <f>IF($E93="","",'Daily Data'!F93)</f>
        <v/>
      </c>
      <c r="G93" s="32">
        <f>IF($E93="","",'Daily Data'!G93)</f>
        <v/>
      </c>
      <c r="H93" s="31">
        <f>IF($E93="","",F93-G93)</f>
        <v/>
      </c>
      <c r="I93" s="32">
        <f>IF($E93="","",'Daily Data'!H93)</f>
        <v/>
      </c>
      <c r="J93" s="31">
        <f>IF($E93="","",E93-H93-I93)</f>
        <v/>
      </c>
      <c r="K93" s="33">
        <f>IF($E93="","",IF(A93&lt;HLP_ChangeDate,HLP_Legacy,HLP_Current))</f>
        <v/>
      </c>
      <c r="L93" s="31">
        <f>IF($E93="","",J93/(1-K93))</f>
        <v/>
      </c>
      <c r="M93" s="31">
        <f>IF($E93="","",I93/(1-K93))</f>
        <v/>
      </c>
      <c r="N93" s="31">
        <f>IF($E93="","",(B93+C93+D93)*Rate_Builder)</f>
        <v/>
      </c>
      <c r="O93" s="31">
        <f>IF($E93="","",E93*K93/(1-K93))</f>
        <v/>
      </c>
      <c r="P93" s="34">
        <f>IF(OR($E93="",B93=0),"",L93/B93*10000)</f>
        <v/>
      </c>
      <c r="Q93" s="34">
        <f>IF(OR($E93="",C93=0),"",F93/C93*10000)</f>
        <v/>
      </c>
      <c r="R93" s="34">
        <f>IF(OR($E93="",D93=0),"",'Daily Data'!I93/D93*10000)</f>
        <v/>
      </c>
    </row>
    <row r="94">
      <c r="A94" s="30" t="n">
        <v>45748</v>
      </c>
      <c r="B94" s="31">
        <f>'Daily Data'!B94-'Daily Data'!D94</f>
        <v/>
      </c>
      <c r="C94" s="32">
        <f>'Daily Data'!D94</f>
        <v/>
      </c>
      <c r="D94" s="32">
        <f>'Daily Data'!C94</f>
        <v/>
      </c>
      <c r="E94" s="32">
        <f>IF('Daily Data'!E94="","",'Daily Data'!E94)</f>
        <v/>
      </c>
      <c r="F94" s="32">
        <f>IF($E94="","",'Daily Data'!F94)</f>
        <v/>
      </c>
      <c r="G94" s="32">
        <f>IF($E94="","",'Daily Data'!G94)</f>
        <v/>
      </c>
      <c r="H94" s="31">
        <f>IF($E94="","",F94-G94)</f>
        <v/>
      </c>
      <c r="I94" s="32">
        <f>IF($E94="","",'Daily Data'!H94)</f>
        <v/>
      </c>
      <c r="J94" s="31">
        <f>IF($E94="","",E94-H94-I94)</f>
        <v/>
      </c>
      <c r="K94" s="33">
        <f>IF($E94="","",IF(A94&lt;HLP_ChangeDate,HLP_Legacy,HLP_Current))</f>
        <v/>
      </c>
      <c r="L94" s="31">
        <f>IF($E94="","",J94/(1-K94))</f>
        <v/>
      </c>
      <c r="M94" s="31">
        <f>IF($E94="","",I94/(1-K94))</f>
        <v/>
      </c>
      <c r="N94" s="31">
        <f>IF($E94="","",(B94+C94+D94)*Rate_Builder)</f>
        <v/>
      </c>
      <c r="O94" s="31">
        <f>IF($E94="","",E94*K94/(1-K94))</f>
        <v/>
      </c>
      <c r="P94" s="34">
        <f>IF(OR($E94="",B94=0),"",L94/B94*10000)</f>
        <v/>
      </c>
      <c r="Q94" s="34">
        <f>IF(OR($E94="",C94=0),"",F94/C94*10000)</f>
        <v/>
      </c>
      <c r="R94" s="34">
        <f>IF(OR($E94="",D94=0),"",'Daily Data'!I94/D94*10000)</f>
        <v/>
      </c>
    </row>
    <row r="95">
      <c r="A95" s="30" t="n">
        <v>45749</v>
      </c>
      <c r="B95" s="31">
        <f>'Daily Data'!B95-'Daily Data'!D95</f>
        <v/>
      </c>
      <c r="C95" s="32">
        <f>'Daily Data'!D95</f>
        <v/>
      </c>
      <c r="D95" s="32">
        <f>'Daily Data'!C95</f>
        <v/>
      </c>
      <c r="E95" s="32">
        <f>IF('Daily Data'!E95="","",'Daily Data'!E95)</f>
        <v/>
      </c>
      <c r="F95" s="32">
        <f>IF($E95="","",'Daily Data'!F95)</f>
        <v/>
      </c>
      <c r="G95" s="32">
        <f>IF($E95="","",'Daily Data'!G95)</f>
        <v/>
      </c>
      <c r="H95" s="31">
        <f>IF($E95="","",F95-G95)</f>
        <v/>
      </c>
      <c r="I95" s="32">
        <f>IF($E95="","",'Daily Data'!H95)</f>
        <v/>
      </c>
      <c r="J95" s="31">
        <f>IF($E95="","",E95-H95-I95)</f>
        <v/>
      </c>
      <c r="K95" s="33">
        <f>IF($E95="","",IF(A95&lt;HLP_ChangeDate,HLP_Legacy,HLP_Current))</f>
        <v/>
      </c>
      <c r="L95" s="31">
        <f>IF($E95="","",J95/(1-K95))</f>
        <v/>
      </c>
      <c r="M95" s="31">
        <f>IF($E95="","",I95/(1-K95))</f>
        <v/>
      </c>
      <c r="N95" s="31">
        <f>IF($E95="","",(B95+C95+D95)*Rate_Builder)</f>
        <v/>
      </c>
      <c r="O95" s="31">
        <f>IF($E95="","",E95*K95/(1-K95))</f>
        <v/>
      </c>
      <c r="P95" s="34">
        <f>IF(OR($E95="",B95=0),"",L95/B95*10000)</f>
        <v/>
      </c>
      <c r="Q95" s="34">
        <f>IF(OR($E95="",C95=0),"",F95/C95*10000)</f>
        <v/>
      </c>
      <c r="R95" s="34">
        <f>IF(OR($E95="",D95=0),"",'Daily Data'!I95/D95*10000)</f>
        <v/>
      </c>
    </row>
    <row r="96">
      <c r="A96" s="30" t="n">
        <v>45750</v>
      </c>
      <c r="B96" s="31">
        <f>'Daily Data'!B96-'Daily Data'!D96</f>
        <v/>
      </c>
      <c r="C96" s="32">
        <f>'Daily Data'!D96</f>
        <v/>
      </c>
      <c r="D96" s="32">
        <f>'Daily Data'!C96</f>
        <v/>
      </c>
      <c r="E96" s="32">
        <f>IF('Daily Data'!E96="","",'Daily Data'!E96)</f>
        <v/>
      </c>
      <c r="F96" s="32">
        <f>IF($E96="","",'Daily Data'!F96)</f>
        <v/>
      </c>
      <c r="G96" s="32">
        <f>IF($E96="","",'Daily Data'!G96)</f>
        <v/>
      </c>
      <c r="H96" s="31">
        <f>IF($E96="","",F96-G96)</f>
        <v/>
      </c>
      <c r="I96" s="32">
        <f>IF($E96="","",'Daily Data'!H96)</f>
        <v/>
      </c>
      <c r="J96" s="31">
        <f>IF($E96="","",E96-H96-I96)</f>
        <v/>
      </c>
      <c r="K96" s="33">
        <f>IF($E96="","",IF(A96&lt;HLP_ChangeDate,HLP_Legacy,HLP_Current))</f>
        <v/>
      </c>
      <c r="L96" s="31">
        <f>IF($E96="","",J96/(1-K96))</f>
        <v/>
      </c>
      <c r="M96" s="31">
        <f>IF($E96="","",I96/(1-K96))</f>
        <v/>
      </c>
      <c r="N96" s="31">
        <f>IF($E96="","",(B96+C96+D96)*Rate_Builder)</f>
        <v/>
      </c>
      <c r="O96" s="31">
        <f>IF($E96="","",E96*K96/(1-K96))</f>
        <v/>
      </c>
      <c r="P96" s="34">
        <f>IF(OR($E96="",B96=0),"",L96/B96*10000)</f>
        <v/>
      </c>
      <c r="Q96" s="34">
        <f>IF(OR($E96="",C96=0),"",F96/C96*10000)</f>
        <v/>
      </c>
      <c r="R96" s="34">
        <f>IF(OR($E96="",D96=0),"",'Daily Data'!I96/D96*10000)</f>
        <v/>
      </c>
    </row>
    <row r="97">
      <c r="A97" s="30" t="n">
        <v>45751</v>
      </c>
      <c r="B97" s="31">
        <f>'Daily Data'!B97-'Daily Data'!D97</f>
        <v/>
      </c>
      <c r="C97" s="32">
        <f>'Daily Data'!D97</f>
        <v/>
      </c>
      <c r="D97" s="32">
        <f>'Daily Data'!C97</f>
        <v/>
      </c>
      <c r="E97" s="32">
        <f>IF('Daily Data'!E97="","",'Daily Data'!E97)</f>
        <v/>
      </c>
      <c r="F97" s="32">
        <f>IF($E97="","",'Daily Data'!F97)</f>
        <v/>
      </c>
      <c r="G97" s="32">
        <f>IF($E97="","",'Daily Data'!G97)</f>
        <v/>
      </c>
      <c r="H97" s="31">
        <f>IF($E97="","",F97-G97)</f>
        <v/>
      </c>
      <c r="I97" s="32">
        <f>IF($E97="","",'Daily Data'!H97)</f>
        <v/>
      </c>
      <c r="J97" s="31">
        <f>IF($E97="","",E97-H97-I97)</f>
        <v/>
      </c>
      <c r="K97" s="33">
        <f>IF($E97="","",IF(A97&lt;HLP_ChangeDate,HLP_Legacy,HLP_Current))</f>
        <v/>
      </c>
      <c r="L97" s="31">
        <f>IF($E97="","",J97/(1-K97))</f>
        <v/>
      </c>
      <c r="M97" s="31">
        <f>IF($E97="","",I97/(1-K97))</f>
        <v/>
      </c>
      <c r="N97" s="31">
        <f>IF($E97="","",(B97+C97+D97)*Rate_Builder)</f>
        <v/>
      </c>
      <c r="O97" s="31">
        <f>IF($E97="","",E97*K97/(1-K97))</f>
        <v/>
      </c>
      <c r="P97" s="34">
        <f>IF(OR($E97="",B97=0),"",L97/B97*10000)</f>
        <v/>
      </c>
      <c r="Q97" s="34">
        <f>IF(OR($E97="",C97=0),"",F97/C97*10000)</f>
        <v/>
      </c>
      <c r="R97" s="34">
        <f>IF(OR($E97="",D97=0),"",'Daily Data'!I97/D97*10000)</f>
        <v/>
      </c>
    </row>
    <row r="98">
      <c r="A98" s="30" t="n">
        <v>45752</v>
      </c>
      <c r="B98" s="31">
        <f>'Daily Data'!B98-'Daily Data'!D98</f>
        <v/>
      </c>
      <c r="C98" s="32">
        <f>'Daily Data'!D98</f>
        <v/>
      </c>
      <c r="D98" s="32">
        <f>'Daily Data'!C98</f>
        <v/>
      </c>
      <c r="E98" s="32">
        <f>IF('Daily Data'!E98="","",'Daily Data'!E98)</f>
        <v/>
      </c>
      <c r="F98" s="32">
        <f>IF($E98="","",'Daily Data'!F98)</f>
        <v/>
      </c>
      <c r="G98" s="32">
        <f>IF($E98="","",'Daily Data'!G98)</f>
        <v/>
      </c>
      <c r="H98" s="31">
        <f>IF($E98="","",F98-G98)</f>
        <v/>
      </c>
      <c r="I98" s="32">
        <f>IF($E98="","",'Daily Data'!H98)</f>
        <v/>
      </c>
      <c r="J98" s="31">
        <f>IF($E98="","",E98-H98-I98)</f>
        <v/>
      </c>
      <c r="K98" s="33">
        <f>IF($E98="","",IF(A98&lt;HLP_ChangeDate,HLP_Legacy,HLP_Current))</f>
        <v/>
      </c>
      <c r="L98" s="31">
        <f>IF($E98="","",J98/(1-K98))</f>
        <v/>
      </c>
      <c r="M98" s="31">
        <f>IF($E98="","",I98/(1-K98))</f>
        <v/>
      </c>
      <c r="N98" s="31">
        <f>IF($E98="","",(B98+C98+D98)*Rate_Builder)</f>
        <v/>
      </c>
      <c r="O98" s="31">
        <f>IF($E98="","",E98*K98/(1-K98))</f>
        <v/>
      </c>
      <c r="P98" s="34">
        <f>IF(OR($E98="",B98=0),"",L98/B98*10000)</f>
        <v/>
      </c>
      <c r="Q98" s="34">
        <f>IF(OR($E98="",C98=0),"",F98/C98*10000)</f>
        <v/>
      </c>
      <c r="R98" s="34">
        <f>IF(OR($E98="",D98=0),"",'Daily Data'!I98/D98*10000)</f>
        <v/>
      </c>
    </row>
    <row r="99">
      <c r="A99" s="30" t="n">
        <v>45753</v>
      </c>
      <c r="B99" s="31">
        <f>'Daily Data'!B99-'Daily Data'!D99</f>
        <v/>
      </c>
      <c r="C99" s="32">
        <f>'Daily Data'!D99</f>
        <v/>
      </c>
      <c r="D99" s="32">
        <f>'Daily Data'!C99</f>
        <v/>
      </c>
      <c r="E99" s="32">
        <f>IF('Daily Data'!E99="","",'Daily Data'!E99)</f>
        <v/>
      </c>
      <c r="F99" s="32">
        <f>IF($E99="","",'Daily Data'!F99)</f>
        <v/>
      </c>
      <c r="G99" s="32">
        <f>IF($E99="","",'Daily Data'!G99)</f>
        <v/>
      </c>
      <c r="H99" s="31">
        <f>IF($E99="","",F99-G99)</f>
        <v/>
      </c>
      <c r="I99" s="32">
        <f>IF($E99="","",'Daily Data'!H99)</f>
        <v/>
      </c>
      <c r="J99" s="31">
        <f>IF($E99="","",E99-H99-I99)</f>
        <v/>
      </c>
      <c r="K99" s="33">
        <f>IF($E99="","",IF(A99&lt;HLP_ChangeDate,HLP_Legacy,HLP_Current))</f>
        <v/>
      </c>
      <c r="L99" s="31">
        <f>IF($E99="","",J99/(1-K99))</f>
        <v/>
      </c>
      <c r="M99" s="31">
        <f>IF($E99="","",I99/(1-K99))</f>
        <v/>
      </c>
      <c r="N99" s="31">
        <f>IF($E99="","",(B99+C99+D99)*Rate_Builder)</f>
        <v/>
      </c>
      <c r="O99" s="31">
        <f>IF($E99="","",E99*K99/(1-K99))</f>
        <v/>
      </c>
      <c r="P99" s="34">
        <f>IF(OR($E99="",B99=0),"",L99/B99*10000)</f>
        <v/>
      </c>
      <c r="Q99" s="34">
        <f>IF(OR($E99="",C99=0),"",F99/C99*10000)</f>
        <v/>
      </c>
      <c r="R99" s="34">
        <f>IF(OR($E99="",D99=0),"",'Daily Data'!I99/D99*10000)</f>
        <v/>
      </c>
    </row>
    <row r="100">
      <c r="A100" s="30" t="n">
        <v>45754</v>
      </c>
      <c r="B100" s="31">
        <f>'Daily Data'!B100-'Daily Data'!D100</f>
        <v/>
      </c>
      <c r="C100" s="32">
        <f>'Daily Data'!D100</f>
        <v/>
      </c>
      <c r="D100" s="32">
        <f>'Daily Data'!C100</f>
        <v/>
      </c>
      <c r="E100" s="32">
        <f>IF('Daily Data'!E100="","",'Daily Data'!E100)</f>
        <v/>
      </c>
      <c r="F100" s="32">
        <f>IF($E100="","",'Daily Data'!F100)</f>
        <v/>
      </c>
      <c r="G100" s="32">
        <f>IF($E100="","",'Daily Data'!G100)</f>
        <v/>
      </c>
      <c r="H100" s="31">
        <f>IF($E100="","",F100-G100)</f>
        <v/>
      </c>
      <c r="I100" s="32">
        <f>IF($E100="","",'Daily Data'!H100)</f>
        <v/>
      </c>
      <c r="J100" s="31">
        <f>IF($E100="","",E100-H100-I100)</f>
        <v/>
      </c>
      <c r="K100" s="33">
        <f>IF($E100="","",IF(A100&lt;HLP_ChangeDate,HLP_Legacy,HLP_Current))</f>
        <v/>
      </c>
      <c r="L100" s="31">
        <f>IF($E100="","",J100/(1-K100))</f>
        <v/>
      </c>
      <c r="M100" s="31">
        <f>IF($E100="","",I100/(1-K100))</f>
        <v/>
      </c>
      <c r="N100" s="31">
        <f>IF($E100="","",(B100+C100+D100)*Rate_Builder)</f>
        <v/>
      </c>
      <c r="O100" s="31">
        <f>IF($E100="","",E100*K100/(1-K100))</f>
        <v/>
      </c>
      <c r="P100" s="34">
        <f>IF(OR($E100="",B100=0),"",L100/B100*10000)</f>
        <v/>
      </c>
      <c r="Q100" s="34">
        <f>IF(OR($E100="",C100=0),"",F100/C100*10000)</f>
        <v/>
      </c>
      <c r="R100" s="34">
        <f>IF(OR($E100="",D100=0),"",'Daily Data'!I100/D100*10000)</f>
        <v/>
      </c>
    </row>
    <row r="101">
      <c r="A101" s="30" t="n">
        <v>45755</v>
      </c>
      <c r="B101" s="31">
        <f>'Daily Data'!B101-'Daily Data'!D101</f>
        <v/>
      </c>
      <c r="C101" s="32">
        <f>'Daily Data'!D101</f>
        <v/>
      </c>
      <c r="D101" s="32">
        <f>'Daily Data'!C101</f>
        <v/>
      </c>
      <c r="E101" s="32">
        <f>IF('Daily Data'!E101="","",'Daily Data'!E101)</f>
        <v/>
      </c>
      <c r="F101" s="32">
        <f>IF($E101="","",'Daily Data'!F101)</f>
        <v/>
      </c>
      <c r="G101" s="32">
        <f>IF($E101="","",'Daily Data'!G101)</f>
        <v/>
      </c>
      <c r="H101" s="31">
        <f>IF($E101="","",F101-G101)</f>
        <v/>
      </c>
      <c r="I101" s="32">
        <f>IF($E101="","",'Daily Data'!H101)</f>
        <v/>
      </c>
      <c r="J101" s="31">
        <f>IF($E101="","",E101-H101-I101)</f>
        <v/>
      </c>
      <c r="K101" s="33">
        <f>IF($E101="","",IF(A101&lt;HLP_ChangeDate,HLP_Legacy,HLP_Current))</f>
        <v/>
      </c>
      <c r="L101" s="31">
        <f>IF($E101="","",J101/(1-K101))</f>
        <v/>
      </c>
      <c r="M101" s="31">
        <f>IF($E101="","",I101/(1-K101))</f>
        <v/>
      </c>
      <c r="N101" s="31">
        <f>IF($E101="","",(B101+C101+D101)*Rate_Builder)</f>
        <v/>
      </c>
      <c r="O101" s="31">
        <f>IF($E101="","",E101*K101/(1-K101))</f>
        <v/>
      </c>
      <c r="P101" s="34">
        <f>IF(OR($E101="",B101=0),"",L101/B101*10000)</f>
        <v/>
      </c>
      <c r="Q101" s="34">
        <f>IF(OR($E101="",C101=0),"",F101/C101*10000)</f>
        <v/>
      </c>
      <c r="R101" s="34">
        <f>IF(OR($E101="",D101=0),"",'Daily Data'!I101/D101*10000)</f>
        <v/>
      </c>
    </row>
    <row r="102">
      <c r="A102" s="30" t="n">
        <v>45756</v>
      </c>
      <c r="B102" s="31">
        <f>'Daily Data'!B102-'Daily Data'!D102</f>
        <v/>
      </c>
      <c r="C102" s="32">
        <f>'Daily Data'!D102</f>
        <v/>
      </c>
      <c r="D102" s="32">
        <f>'Daily Data'!C102</f>
        <v/>
      </c>
      <c r="E102" s="32">
        <f>IF('Daily Data'!E102="","",'Daily Data'!E102)</f>
        <v/>
      </c>
      <c r="F102" s="32">
        <f>IF($E102="","",'Daily Data'!F102)</f>
        <v/>
      </c>
      <c r="G102" s="32">
        <f>IF($E102="","",'Daily Data'!G102)</f>
        <v/>
      </c>
      <c r="H102" s="31">
        <f>IF($E102="","",F102-G102)</f>
        <v/>
      </c>
      <c r="I102" s="32">
        <f>IF($E102="","",'Daily Data'!H102)</f>
        <v/>
      </c>
      <c r="J102" s="31">
        <f>IF($E102="","",E102-H102-I102)</f>
        <v/>
      </c>
      <c r="K102" s="33">
        <f>IF($E102="","",IF(A102&lt;HLP_ChangeDate,HLP_Legacy,HLP_Current))</f>
        <v/>
      </c>
      <c r="L102" s="31">
        <f>IF($E102="","",J102/(1-K102))</f>
        <v/>
      </c>
      <c r="M102" s="31">
        <f>IF($E102="","",I102/(1-K102))</f>
        <v/>
      </c>
      <c r="N102" s="31">
        <f>IF($E102="","",(B102+C102+D102)*Rate_Builder)</f>
        <v/>
      </c>
      <c r="O102" s="31">
        <f>IF($E102="","",E102*K102/(1-K102))</f>
        <v/>
      </c>
      <c r="P102" s="34">
        <f>IF(OR($E102="",B102=0),"",L102/B102*10000)</f>
        <v/>
      </c>
      <c r="Q102" s="34">
        <f>IF(OR($E102="",C102=0),"",F102/C102*10000)</f>
        <v/>
      </c>
      <c r="R102" s="34">
        <f>IF(OR($E102="",D102=0),"",'Daily Data'!I102/D102*10000)</f>
        <v/>
      </c>
    </row>
    <row r="103">
      <c r="A103" s="30" t="n">
        <v>45757</v>
      </c>
      <c r="B103" s="31">
        <f>'Daily Data'!B103-'Daily Data'!D103</f>
        <v/>
      </c>
      <c r="C103" s="32">
        <f>'Daily Data'!D103</f>
        <v/>
      </c>
      <c r="D103" s="32">
        <f>'Daily Data'!C103</f>
        <v/>
      </c>
      <c r="E103" s="32">
        <f>IF('Daily Data'!E103="","",'Daily Data'!E103)</f>
        <v/>
      </c>
      <c r="F103" s="32">
        <f>IF($E103="","",'Daily Data'!F103)</f>
        <v/>
      </c>
      <c r="G103" s="32">
        <f>IF($E103="","",'Daily Data'!G103)</f>
        <v/>
      </c>
      <c r="H103" s="31">
        <f>IF($E103="","",F103-G103)</f>
        <v/>
      </c>
      <c r="I103" s="32">
        <f>IF($E103="","",'Daily Data'!H103)</f>
        <v/>
      </c>
      <c r="J103" s="31">
        <f>IF($E103="","",E103-H103-I103)</f>
        <v/>
      </c>
      <c r="K103" s="33">
        <f>IF($E103="","",IF(A103&lt;HLP_ChangeDate,HLP_Legacy,HLP_Current))</f>
        <v/>
      </c>
      <c r="L103" s="31">
        <f>IF($E103="","",J103/(1-K103))</f>
        <v/>
      </c>
      <c r="M103" s="31">
        <f>IF($E103="","",I103/(1-K103))</f>
        <v/>
      </c>
      <c r="N103" s="31">
        <f>IF($E103="","",(B103+C103+D103)*Rate_Builder)</f>
        <v/>
      </c>
      <c r="O103" s="31">
        <f>IF($E103="","",E103*K103/(1-K103))</f>
        <v/>
      </c>
      <c r="P103" s="34">
        <f>IF(OR($E103="",B103=0),"",L103/B103*10000)</f>
        <v/>
      </c>
      <c r="Q103" s="34">
        <f>IF(OR($E103="",C103=0),"",F103/C103*10000)</f>
        <v/>
      </c>
      <c r="R103" s="34">
        <f>IF(OR($E103="",D103=0),"",'Daily Data'!I103/D103*10000)</f>
        <v/>
      </c>
    </row>
    <row r="104">
      <c r="A104" s="30" t="n">
        <v>45758</v>
      </c>
      <c r="B104" s="31">
        <f>'Daily Data'!B104-'Daily Data'!D104</f>
        <v/>
      </c>
      <c r="C104" s="32">
        <f>'Daily Data'!D104</f>
        <v/>
      </c>
      <c r="D104" s="32">
        <f>'Daily Data'!C104</f>
        <v/>
      </c>
      <c r="E104" s="32">
        <f>IF('Daily Data'!E104="","",'Daily Data'!E104)</f>
        <v/>
      </c>
      <c r="F104" s="32">
        <f>IF($E104="","",'Daily Data'!F104)</f>
        <v/>
      </c>
      <c r="G104" s="32">
        <f>IF($E104="","",'Daily Data'!G104)</f>
        <v/>
      </c>
      <c r="H104" s="31">
        <f>IF($E104="","",F104-G104)</f>
        <v/>
      </c>
      <c r="I104" s="32">
        <f>IF($E104="","",'Daily Data'!H104)</f>
        <v/>
      </c>
      <c r="J104" s="31">
        <f>IF($E104="","",E104-H104-I104)</f>
        <v/>
      </c>
      <c r="K104" s="33">
        <f>IF($E104="","",IF(A104&lt;HLP_ChangeDate,HLP_Legacy,HLP_Current))</f>
        <v/>
      </c>
      <c r="L104" s="31">
        <f>IF($E104="","",J104/(1-K104))</f>
        <v/>
      </c>
      <c r="M104" s="31">
        <f>IF($E104="","",I104/(1-K104))</f>
        <v/>
      </c>
      <c r="N104" s="31">
        <f>IF($E104="","",(B104+C104+D104)*Rate_Builder)</f>
        <v/>
      </c>
      <c r="O104" s="31">
        <f>IF($E104="","",E104*K104/(1-K104))</f>
        <v/>
      </c>
      <c r="P104" s="34">
        <f>IF(OR($E104="",B104=0),"",L104/B104*10000)</f>
        <v/>
      </c>
      <c r="Q104" s="34">
        <f>IF(OR($E104="",C104=0),"",F104/C104*10000)</f>
        <v/>
      </c>
      <c r="R104" s="34">
        <f>IF(OR($E104="",D104=0),"",'Daily Data'!I104/D104*10000)</f>
        <v/>
      </c>
    </row>
    <row r="105">
      <c r="A105" s="30" t="n">
        <v>45759</v>
      </c>
      <c r="B105" s="31">
        <f>'Daily Data'!B105-'Daily Data'!D105</f>
        <v/>
      </c>
      <c r="C105" s="32">
        <f>'Daily Data'!D105</f>
        <v/>
      </c>
      <c r="D105" s="32">
        <f>'Daily Data'!C105</f>
        <v/>
      </c>
      <c r="E105" s="32">
        <f>IF('Daily Data'!E105="","",'Daily Data'!E105)</f>
        <v/>
      </c>
      <c r="F105" s="32">
        <f>IF($E105="","",'Daily Data'!F105)</f>
        <v/>
      </c>
      <c r="G105" s="32">
        <f>IF($E105="","",'Daily Data'!G105)</f>
        <v/>
      </c>
      <c r="H105" s="31">
        <f>IF($E105="","",F105-G105)</f>
        <v/>
      </c>
      <c r="I105" s="32">
        <f>IF($E105="","",'Daily Data'!H105)</f>
        <v/>
      </c>
      <c r="J105" s="31">
        <f>IF($E105="","",E105-H105-I105)</f>
        <v/>
      </c>
      <c r="K105" s="33">
        <f>IF($E105="","",IF(A105&lt;HLP_ChangeDate,HLP_Legacy,HLP_Current))</f>
        <v/>
      </c>
      <c r="L105" s="31">
        <f>IF($E105="","",J105/(1-K105))</f>
        <v/>
      </c>
      <c r="M105" s="31">
        <f>IF($E105="","",I105/(1-K105))</f>
        <v/>
      </c>
      <c r="N105" s="31">
        <f>IF($E105="","",(B105+C105+D105)*Rate_Builder)</f>
        <v/>
      </c>
      <c r="O105" s="31">
        <f>IF($E105="","",E105*K105/(1-K105))</f>
        <v/>
      </c>
      <c r="P105" s="34">
        <f>IF(OR($E105="",B105=0),"",L105/B105*10000)</f>
        <v/>
      </c>
      <c r="Q105" s="34">
        <f>IF(OR($E105="",C105=0),"",F105/C105*10000)</f>
        <v/>
      </c>
      <c r="R105" s="34">
        <f>IF(OR($E105="",D105=0),"",'Daily Data'!I105/D105*10000)</f>
        <v/>
      </c>
    </row>
    <row r="106">
      <c r="A106" s="30" t="n">
        <v>45760</v>
      </c>
      <c r="B106" s="31">
        <f>'Daily Data'!B106-'Daily Data'!D106</f>
        <v/>
      </c>
      <c r="C106" s="32">
        <f>'Daily Data'!D106</f>
        <v/>
      </c>
      <c r="D106" s="32">
        <f>'Daily Data'!C106</f>
        <v/>
      </c>
      <c r="E106" s="32">
        <f>IF('Daily Data'!E106="","",'Daily Data'!E106)</f>
        <v/>
      </c>
      <c r="F106" s="32">
        <f>IF($E106="","",'Daily Data'!F106)</f>
        <v/>
      </c>
      <c r="G106" s="32">
        <f>IF($E106="","",'Daily Data'!G106)</f>
        <v/>
      </c>
      <c r="H106" s="31">
        <f>IF($E106="","",F106-G106)</f>
        <v/>
      </c>
      <c r="I106" s="32">
        <f>IF($E106="","",'Daily Data'!H106)</f>
        <v/>
      </c>
      <c r="J106" s="31">
        <f>IF($E106="","",E106-H106-I106)</f>
        <v/>
      </c>
      <c r="K106" s="33">
        <f>IF($E106="","",IF(A106&lt;HLP_ChangeDate,HLP_Legacy,HLP_Current))</f>
        <v/>
      </c>
      <c r="L106" s="31">
        <f>IF($E106="","",J106/(1-K106))</f>
        <v/>
      </c>
      <c r="M106" s="31">
        <f>IF($E106="","",I106/(1-K106))</f>
        <v/>
      </c>
      <c r="N106" s="31">
        <f>IF($E106="","",(B106+C106+D106)*Rate_Builder)</f>
        <v/>
      </c>
      <c r="O106" s="31">
        <f>IF($E106="","",E106*K106/(1-K106))</f>
        <v/>
      </c>
      <c r="P106" s="34">
        <f>IF(OR($E106="",B106=0),"",L106/B106*10000)</f>
        <v/>
      </c>
      <c r="Q106" s="34">
        <f>IF(OR($E106="",C106=0),"",F106/C106*10000)</f>
        <v/>
      </c>
      <c r="R106" s="34">
        <f>IF(OR($E106="",D106=0),"",'Daily Data'!I106/D106*10000)</f>
        <v/>
      </c>
    </row>
    <row r="107">
      <c r="A107" s="30" t="n">
        <v>45761</v>
      </c>
      <c r="B107" s="31">
        <f>'Daily Data'!B107-'Daily Data'!D107</f>
        <v/>
      </c>
      <c r="C107" s="32">
        <f>'Daily Data'!D107</f>
        <v/>
      </c>
      <c r="D107" s="32">
        <f>'Daily Data'!C107</f>
        <v/>
      </c>
      <c r="E107" s="32">
        <f>IF('Daily Data'!E107="","",'Daily Data'!E107)</f>
        <v/>
      </c>
      <c r="F107" s="32">
        <f>IF($E107="","",'Daily Data'!F107)</f>
        <v/>
      </c>
      <c r="G107" s="32">
        <f>IF($E107="","",'Daily Data'!G107)</f>
        <v/>
      </c>
      <c r="H107" s="31">
        <f>IF($E107="","",F107-G107)</f>
        <v/>
      </c>
      <c r="I107" s="32">
        <f>IF($E107="","",'Daily Data'!H107)</f>
        <v/>
      </c>
      <c r="J107" s="31">
        <f>IF($E107="","",E107-H107-I107)</f>
        <v/>
      </c>
      <c r="K107" s="33">
        <f>IF($E107="","",IF(A107&lt;HLP_ChangeDate,HLP_Legacy,HLP_Current))</f>
        <v/>
      </c>
      <c r="L107" s="31">
        <f>IF($E107="","",J107/(1-K107))</f>
        <v/>
      </c>
      <c r="M107" s="31">
        <f>IF($E107="","",I107/(1-K107))</f>
        <v/>
      </c>
      <c r="N107" s="31">
        <f>IF($E107="","",(B107+C107+D107)*Rate_Builder)</f>
        <v/>
      </c>
      <c r="O107" s="31">
        <f>IF($E107="","",E107*K107/(1-K107))</f>
        <v/>
      </c>
      <c r="P107" s="34">
        <f>IF(OR($E107="",B107=0),"",L107/B107*10000)</f>
        <v/>
      </c>
      <c r="Q107" s="34">
        <f>IF(OR($E107="",C107=0),"",F107/C107*10000)</f>
        <v/>
      </c>
      <c r="R107" s="34">
        <f>IF(OR($E107="",D107=0),"",'Daily Data'!I107/D107*10000)</f>
        <v/>
      </c>
    </row>
    <row r="108">
      <c r="A108" s="30" t="n">
        <v>45762</v>
      </c>
      <c r="B108" s="31">
        <f>'Daily Data'!B108-'Daily Data'!D108</f>
        <v/>
      </c>
      <c r="C108" s="32">
        <f>'Daily Data'!D108</f>
        <v/>
      </c>
      <c r="D108" s="32">
        <f>'Daily Data'!C108</f>
        <v/>
      </c>
      <c r="E108" s="32">
        <f>IF('Daily Data'!E108="","",'Daily Data'!E108)</f>
        <v/>
      </c>
      <c r="F108" s="32">
        <f>IF($E108="","",'Daily Data'!F108)</f>
        <v/>
      </c>
      <c r="G108" s="32">
        <f>IF($E108="","",'Daily Data'!G108)</f>
        <v/>
      </c>
      <c r="H108" s="31">
        <f>IF($E108="","",F108-G108)</f>
        <v/>
      </c>
      <c r="I108" s="32">
        <f>IF($E108="","",'Daily Data'!H108)</f>
        <v/>
      </c>
      <c r="J108" s="31">
        <f>IF($E108="","",E108-H108-I108)</f>
        <v/>
      </c>
      <c r="K108" s="33">
        <f>IF($E108="","",IF(A108&lt;HLP_ChangeDate,HLP_Legacy,HLP_Current))</f>
        <v/>
      </c>
      <c r="L108" s="31">
        <f>IF($E108="","",J108/(1-K108))</f>
        <v/>
      </c>
      <c r="M108" s="31">
        <f>IF($E108="","",I108/(1-K108))</f>
        <v/>
      </c>
      <c r="N108" s="31">
        <f>IF($E108="","",(B108+C108+D108)*Rate_Builder)</f>
        <v/>
      </c>
      <c r="O108" s="31">
        <f>IF($E108="","",E108*K108/(1-K108))</f>
        <v/>
      </c>
      <c r="P108" s="34">
        <f>IF(OR($E108="",B108=0),"",L108/B108*10000)</f>
        <v/>
      </c>
      <c r="Q108" s="34">
        <f>IF(OR($E108="",C108=0),"",F108/C108*10000)</f>
        <v/>
      </c>
      <c r="R108" s="34">
        <f>IF(OR($E108="",D108=0),"",'Daily Data'!I108/D108*10000)</f>
        <v/>
      </c>
    </row>
    <row r="109">
      <c r="A109" s="30" t="n">
        <v>45763</v>
      </c>
      <c r="B109" s="31">
        <f>'Daily Data'!B109-'Daily Data'!D109</f>
        <v/>
      </c>
      <c r="C109" s="32">
        <f>'Daily Data'!D109</f>
        <v/>
      </c>
      <c r="D109" s="32">
        <f>'Daily Data'!C109</f>
        <v/>
      </c>
      <c r="E109" s="32">
        <f>IF('Daily Data'!E109="","",'Daily Data'!E109)</f>
        <v/>
      </c>
      <c r="F109" s="32">
        <f>IF($E109="","",'Daily Data'!F109)</f>
        <v/>
      </c>
      <c r="G109" s="32">
        <f>IF($E109="","",'Daily Data'!G109)</f>
        <v/>
      </c>
      <c r="H109" s="31">
        <f>IF($E109="","",F109-G109)</f>
        <v/>
      </c>
      <c r="I109" s="32">
        <f>IF($E109="","",'Daily Data'!H109)</f>
        <v/>
      </c>
      <c r="J109" s="31">
        <f>IF($E109="","",E109-H109-I109)</f>
        <v/>
      </c>
      <c r="K109" s="33">
        <f>IF($E109="","",IF(A109&lt;HLP_ChangeDate,HLP_Legacy,HLP_Current))</f>
        <v/>
      </c>
      <c r="L109" s="31">
        <f>IF($E109="","",J109/(1-K109))</f>
        <v/>
      </c>
      <c r="M109" s="31">
        <f>IF($E109="","",I109/(1-K109))</f>
        <v/>
      </c>
      <c r="N109" s="31">
        <f>IF($E109="","",(B109+C109+D109)*Rate_Builder)</f>
        <v/>
      </c>
      <c r="O109" s="31">
        <f>IF($E109="","",E109*K109/(1-K109))</f>
        <v/>
      </c>
      <c r="P109" s="34">
        <f>IF(OR($E109="",B109=0),"",L109/B109*10000)</f>
        <v/>
      </c>
      <c r="Q109" s="34">
        <f>IF(OR($E109="",C109=0),"",F109/C109*10000)</f>
        <v/>
      </c>
      <c r="R109" s="34">
        <f>IF(OR($E109="",D109=0),"",'Daily Data'!I109/D109*10000)</f>
        <v/>
      </c>
    </row>
    <row r="110">
      <c r="A110" s="30" t="n">
        <v>45764</v>
      </c>
      <c r="B110" s="31">
        <f>'Daily Data'!B110-'Daily Data'!D110</f>
        <v/>
      </c>
      <c r="C110" s="32">
        <f>'Daily Data'!D110</f>
        <v/>
      </c>
      <c r="D110" s="32">
        <f>'Daily Data'!C110</f>
        <v/>
      </c>
      <c r="E110" s="32">
        <f>IF('Daily Data'!E110="","",'Daily Data'!E110)</f>
        <v/>
      </c>
      <c r="F110" s="32">
        <f>IF($E110="","",'Daily Data'!F110)</f>
        <v/>
      </c>
      <c r="G110" s="32">
        <f>IF($E110="","",'Daily Data'!G110)</f>
        <v/>
      </c>
      <c r="H110" s="31">
        <f>IF($E110="","",F110-G110)</f>
        <v/>
      </c>
      <c r="I110" s="32">
        <f>IF($E110="","",'Daily Data'!H110)</f>
        <v/>
      </c>
      <c r="J110" s="31">
        <f>IF($E110="","",E110-H110-I110)</f>
        <v/>
      </c>
      <c r="K110" s="33">
        <f>IF($E110="","",IF(A110&lt;HLP_ChangeDate,HLP_Legacy,HLP_Current))</f>
        <v/>
      </c>
      <c r="L110" s="31">
        <f>IF($E110="","",J110/(1-K110))</f>
        <v/>
      </c>
      <c r="M110" s="31">
        <f>IF($E110="","",I110/(1-K110))</f>
        <v/>
      </c>
      <c r="N110" s="31">
        <f>IF($E110="","",(B110+C110+D110)*Rate_Builder)</f>
        <v/>
      </c>
      <c r="O110" s="31">
        <f>IF($E110="","",E110*K110/(1-K110))</f>
        <v/>
      </c>
      <c r="P110" s="34">
        <f>IF(OR($E110="",B110=0),"",L110/B110*10000)</f>
        <v/>
      </c>
      <c r="Q110" s="34">
        <f>IF(OR($E110="",C110=0),"",F110/C110*10000)</f>
        <v/>
      </c>
      <c r="R110" s="34">
        <f>IF(OR($E110="",D110=0),"",'Daily Data'!I110/D110*10000)</f>
        <v/>
      </c>
    </row>
    <row r="111">
      <c r="A111" s="30" t="n">
        <v>45765</v>
      </c>
      <c r="B111" s="31">
        <f>'Daily Data'!B111-'Daily Data'!D111</f>
        <v/>
      </c>
      <c r="C111" s="32">
        <f>'Daily Data'!D111</f>
        <v/>
      </c>
      <c r="D111" s="32">
        <f>'Daily Data'!C111</f>
        <v/>
      </c>
      <c r="E111" s="32">
        <f>IF('Daily Data'!E111="","",'Daily Data'!E111)</f>
        <v/>
      </c>
      <c r="F111" s="32">
        <f>IF($E111="","",'Daily Data'!F111)</f>
        <v/>
      </c>
      <c r="G111" s="32">
        <f>IF($E111="","",'Daily Data'!G111)</f>
        <v/>
      </c>
      <c r="H111" s="31">
        <f>IF($E111="","",F111-G111)</f>
        <v/>
      </c>
      <c r="I111" s="32">
        <f>IF($E111="","",'Daily Data'!H111)</f>
        <v/>
      </c>
      <c r="J111" s="31">
        <f>IF($E111="","",E111-H111-I111)</f>
        <v/>
      </c>
      <c r="K111" s="33">
        <f>IF($E111="","",IF(A111&lt;HLP_ChangeDate,HLP_Legacy,HLP_Current))</f>
        <v/>
      </c>
      <c r="L111" s="31">
        <f>IF($E111="","",J111/(1-K111))</f>
        <v/>
      </c>
      <c r="M111" s="31">
        <f>IF($E111="","",I111/(1-K111))</f>
        <v/>
      </c>
      <c r="N111" s="31">
        <f>IF($E111="","",(B111+C111+D111)*Rate_Builder)</f>
        <v/>
      </c>
      <c r="O111" s="31">
        <f>IF($E111="","",E111*K111/(1-K111))</f>
        <v/>
      </c>
      <c r="P111" s="34">
        <f>IF(OR($E111="",B111=0),"",L111/B111*10000)</f>
        <v/>
      </c>
      <c r="Q111" s="34">
        <f>IF(OR($E111="",C111=0),"",F111/C111*10000)</f>
        <v/>
      </c>
      <c r="R111" s="34">
        <f>IF(OR($E111="",D111=0),"",'Daily Data'!I111/D111*10000)</f>
        <v/>
      </c>
    </row>
    <row r="112">
      <c r="A112" s="30" t="n">
        <v>45766</v>
      </c>
      <c r="B112" s="31">
        <f>'Daily Data'!B112-'Daily Data'!D112</f>
        <v/>
      </c>
      <c r="C112" s="32">
        <f>'Daily Data'!D112</f>
        <v/>
      </c>
      <c r="D112" s="32">
        <f>'Daily Data'!C112</f>
        <v/>
      </c>
      <c r="E112" s="32">
        <f>IF('Daily Data'!E112="","",'Daily Data'!E112)</f>
        <v/>
      </c>
      <c r="F112" s="32">
        <f>IF($E112="","",'Daily Data'!F112)</f>
        <v/>
      </c>
      <c r="G112" s="32">
        <f>IF($E112="","",'Daily Data'!G112)</f>
        <v/>
      </c>
      <c r="H112" s="31">
        <f>IF($E112="","",F112-G112)</f>
        <v/>
      </c>
      <c r="I112" s="32">
        <f>IF($E112="","",'Daily Data'!H112)</f>
        <v/>
      </c>
      <c r="J112" s="31">
        <f>IF($E112="","",E112-H112-I112)</f>
        <v/>
      </c>
      <c r="K112" s="33">
        <f>IF($E112="","",IF(A112&lt;HLP_ChangeDate,HLP_Legacy,HLP_Current))</f>
        <v/>
      </c>
      <c r="L112" s="31">
        <f>IF($E112="","",J112/(1-K112))</f>
        <v/>
      </c>
      <c r="M112" s="31">
        <f>IF($E112="","",I112/(1-K112))</f>
        <v/>
      </c>
      <c r="N112" s="31">
        <f>IF($E112="","",(B112+C112+D112)*Rate_Builder)</f>
        <v/>
      </c>
      <c r="O112" s="31">
        <f>IF($E112="","",E112*K112/(1-K112))</f>
        <v/>
      </c>
      <c r="P112" s="34">
        <f>IF(OR($E112="",B112=0),"",L112/B112*10000)</f>
        <v/>
      </c>
      <c r="Q112" s="34">
        <f>IF(OR($E112="",C112=0),"",F112/C112*10000)</f>
        <v/>
      </c>
      <c r="R112" s="34">
        <f>IF(OR($E112="",D112=0),"",'Daily Data'!I112/D112*10000)</f>
        <v/>
      </c>
    </row>
    <row r="113">
      <c r="A113" s="30" t="n">
        <v>45767</v>
      </c>
      <c r="B113" s="31">
        <f>'Daily Data'!B113-'Daily Data'!D113</f>
        <v/>
      </c>
      <c r="C113" s="32">
        <f>'Daily Data'!D113</f>
        <v/>
      </c>
      <c r="D113" s="32">
        <f>'Daily Data'!C113</f>
        <v/>
      </c>
      <c r="E113" s="32">
        <f>IF('Daily Data'!E113="","",'Daily Data'!E113)</f>
        <v/>
      </c>
      <c r="F113" s="32">
        <f>IF($E113="","",'Daily Data'!F113)</f>
        <v/>
      </c>
      <c r="G113" s="32">
        <f>IF($E113="","",'Daily Data'!G113)</f>
        <v/>
      </c>
      <c r="H113" s="31">
        <f>IF($E113="","",F113-G113)</f>
        <v/>
      </c>
      <c r="I113" s="32">
        <f>IF($E113="","",'Daily Data'!H113)</f>
        <v/>
      </c>
      <c r="J113" s="31">
        <f>IF($E113="","",E113-H113-I113)</f>
        <v/>
      </c>
      <c r="K113" s="33">
        <f>IF($E113="","",IF(A113&lt;HLP_ChangeDate,HLP_Legacy,HLP_Current))</f>
        <v/>
      </c>
      <c r="L113" s="31">
        <f>IF($E113="","",J113/(1-K113))</f>
        <v/>
      </c>
      <c r="M113" s="31">
        <f>IF($E113="","",I113/(1-K113))</f>
        <v/>
      </c>
      <c r="N113" s="31">
        <f>IF($E113="","",(B113+C113+D113)*Rate_Builder)</f>
        <v/>
      </c>
      <c r="O113" s="31">
        <f>IF($E113="","",E113*K113/(1-K113))</f>
        <v/>
      </c>
      <c r="P113" s="34">
        <f>IF(OR($E113="",B113=0),"",L113/B113*10000)</f>
        <v/>
      </c>
      <c r="Q113" s="34">
        <f>IF(OR($E113="",C113=0),"",F113/C113*10000)</f>
        <v/>
      </c>
      <c r="R113" s="34">
        <f>IF(OR($E113="",D113=0),"",'Daily Data'!I113/D113*10000)</f>
        <v/>
      </c>
    </row>
    <row r="114">
      <c r="A114" s="30" t="n">
        <v>45768</v>
      </c>
      <c r="B114" s="31">
        <f>'Daily Data'!B114-'Daily Data'!D114</f>
        <v/>
      </c>
      <c r="C114" s="32">
        <f>'Daily Data'!D114</f>
        <v/>
      </c>
      <c r="D114" s="32">
        <f>'Daily Data'!C114</f>
        <v/>
      </c>
      <c r="E114" s="32">
        <f>IF('Daily Data'!E114="","",'Daily Data'!E114)</f>
        <v/>
      </c>
      <c r="F114" s="32">
        <f>IF($E114="","",'Daily Data'!F114)</f>
        <v/>
      </c>
      <c r="G114" s="32">
        <f>IF($E114="","",'Daily Data'!G114)</f>
        <v/>
      </c>
      <c r="H114" s="31">
        <f>IF($E114="","",F114-G114)</f>
        <v/>
      </c>
      <c r="I114" s="32">
        <f>IF($E114="","",'Daily Data'!H114)</f>
        <v/>
      </c>
      <c r="J114" s="31">
        <f>IF($E114="","",E114-H114-I114)</f>
        <v/>
      </c>
      <c r="K114" s="33">
        <f>IF($E114="","",IF(A114&lt;HLP_ChangeDate,HLP_Legacy,HLP_Current))</f>
        <v/>
      </c>
      <c r="L114" s="31">
        <f>IF($E114="","",J114/(1-K114))</f>
        <v/>
      </c>
      <c r="M114" s="31">
        <f>IF($E114="","",I114/(1-K114))</f>
        <v/>
      </c>
      <c r="N114" s="31">
        <f>IF($E114="","",(B114+C114+D114)*Rate_Builder)</f>
        <v/>
      </c>
      <c r="O114" s="31">
        <f>IF($E114="","",E114*K114/(1-K114))</f>
        <v/>
      </c>
      <c r="P114" s="34">
        <f>IF(OR($E114="",B114=0),"",L114/B114*10000)</f>
        <v/>
      </c>
      <c r="Q114" s="34">
        <f>IF(OR($E114="",C114=0),"",F114/C114*10000)</f>
        <v/>
      </c>
      <c r="R114" s="34">
        <f>IF(OR($E114="",D114=0),"",'Daily Data'!I114/D114*10000)</f>
        <v/>
      </c>
    </row>
    <row r="115">
      <c r="A115" s="30" t="n">
        <v>45769</v>
      </c>
      <c r="B115" s="31">
        <f>'Daily Data'!B115-'Daily Data'!D115</f>
        <v/>
      </c>
      <c r="C115" s="32">
        <f>'Daily Data'!D115</f>
        <v/>
      </c>
      <c r="D115" s="32">
        <f>'Daily Data'!C115</f>
        <v/>
      </c>
      <c r="E115" s="32">
        <f>IF('Daily Data'!E115="","",'Daily Data'!E115)</f>
        <v/>
      </c>
      <c r="F115" s="32">
        <f>IF($E115="","",'Daily Data'!F115)</f>
        <v/>
      </c>
      <c r="G115" s="32">
        <f>IF($E115="","",'Daily Data'!G115)</f>
        <v/>
      </c>
      <c r="H115" s="31">
        <f>IF($E115="","",F115-G115)</f>
        <v/>
      </c>
      <c r="I115" s="32">
        <f>IF($E115="","",'Daily Data'!H115)</f>
        <v/>
      </c>
      <c r="J115" s="31">
        <f>IF($E115="","",E115-H115-I115)</f>
        <v/>
      </c>
      <c r="K115" s="33">
        <f>IF($E115="","",IF(A115&lt;HLP_ChangeDate,HLP_Legacy,HLP_Current))</f>
        <v/>
      </c>
      <c r="L115" s="31">
        <f>IF($E115="","",J115/(1-K115))</f>
        <v/>
      </c>
      <c r="M115" s="31">
        <f>IF($E115="","",I115/(1-K115))</f>
        <v/>
      </c>
      <c r="N115" s="31">
        <f>IF($E115="","",(B115+C115+D115)*Rate_Builder)</f>
        <v/>
      </c>
      <c r="O115" s="31">
        <f>IF($E115="","",E115*K115/(1-K115))</f>
        <v/>
      </c>
      <c r="P115" s="34">
        <f>IF(OR($E115="",B115=0),"",L115/B115*10000)</f>
        <v/>
      </c>
      <c r="Q115" s="34">
        <f>IF(OR($E115="",C115=0),"",F115/C115*10000)</f>
        <v/>
      </c>
      <c r="R115" s="34">
        <f>IF(OR($E115="",D115=0),"",'Daily Data'!I115/D115*10000)</f>
        <v/>
      </c>
    </row>
    <row r="116">
      <c r="A116" s="30" t="n">
        <v>45770</v>
      </c>
      <c r="B116" s="31">
        <f>'Daily Data'!B116-'Daily Data'!D116</f>
        <v/>
      </c>
      <c r="C116" s="32">
        <f>'Daily Data'!D116</f>
        <v/>
      </c>
      <c r="D116" s="32">
        <f>'Daily Data'!C116</f>
        <v/>
      </c>
      <c r="E116" s="32">
        <f>IF('Daily Data'!E116="","",'Daily Data'!E116)</f>
        <v/>
      </c>
      <c r="F116" s="32">
        <f>IF($E116="","",'Daily Data'!F116)</f>
        <v/>
      </c>
      <c r="G116" s="32">
        <f>IF($E116="","",'Daily Data'!G116)</f>
        <v/>
      </c>
      <c r="H116" s="31">
        <f>IF($E116="","",F116-G116)</f>
        <v/>
      </c>
      <c r="I116" s="32">
        <f>IF($E116="","",'Daily Data'!H116)</f>
        <v/>
      </c>
      <c r="J116" s="31">
        <f>IF($E116="","",E116-H116-I116)</f>
        <v/>
      </c>
      <c r="K116" s="33">
        <f>IF($E116="","",IF(A116&lt;HLP_ChangeDate,HLP_Legacy,HLP_Current))</f>
        <v/>
      </c>
      <c r="L116" s="31">
        <f>IF($E116="","",J116/(1-K116))</f>
        <v/>
      </c>
      <c r="M116" s="31">
        <f>IF($E116="","",I116/(1-K116))</f>
        <v/>
      </c>
      <c r="N116" s="31">
        <f>IF($E116="","",(B116+C116+D116)*Rate_Builder)</f>
        <v/>
      </c>
      <c r="O116" s="31">
        <f>IF($E116="","",E116*K116/(1-K116))</f>
        <v/>
      </c>
      <c r="P116" s="34">
        <f>IF(OR($E116="",B116=0),"",L116/B116*10000)</f>
        <v/>
      </c>
      <c r="Q116" s="34">
        <f>IF(OR($E116="",C116=0),"",F116/C116*10000)</f>
        <v/>
      </c>
      <c r="R116" s="34">
        <f>IF(OR($E116="",D116=0),"",'Daily Data'!I116/D116*10000)</f>
        <v/>
      </c>
    </row>
    <row r="117">
      <c r="A117" s="30" t="n">
        <v>45771</v>
      </c>
      <c r="B117" s="31">
        <f>'Daily Data'!B117-'Daily Data'!D117</f>
        <v/>
      </c>
      <c r="C117" s="32">
        <f>'Daily Data'!D117</f>
        <v/>
      </c>
      <c r="D117" s="32">
        <f>'Daily Data'!C117</f>
        <v/>
      </c>
      <c r="E117" s="32">
        <f>IF('Daily Data'!E117="","",'Daily Data'!E117)</f>
        <v/>
      </c>
      <c r="F117" s="32">
        <f>IF($E117="","",'Daily Data'!F117)</f>
        <v/>
      </c>
      <c r="G117" s="32">
        <f>IF($E117="","",'Daily Data'!G117)</f>
        <v/>
      </c>
      <c r="H117" s="31">
        <f>IF($E117="","",F117-G117)</f>
        <v/>
      </c>
      <c r="I117" s="32">
        <f>IF($E117="","",'Daily Data'!H117)</f>
        <v/>
      </c>
      <c r="J117" s="31">
        <f>IF($E117="","",E117-H117-I117)</f>
        <v/>
      </c>
      <c r="K117" s="33">
        <f>IF($E117="","",IF(A117&lt;HLP_ChangeDate,HLP_Legacy,HLP_Current))</f>
        <v/>
      </c>
      <c r="L117" s="31">
        <f>IF($E117="","",J117/(1-K117))</f>
        <v/>
      </c>
      <c r="M117" s="31">
        <f>IF($E117="","",I117/(1-K117))</f>
        <v/>
      </c>
      <c r="N117" s="31">
        <f>IF($E117="","",(B117+C117+D117)*Rate_Builder)</f>
        <v/>
      </c>
      <c r="O117" s="31">
        <f>IF($E117="","",E117*K117/(1-K117))</f>
        <v/>
      </c>
      <c r="P117" s="34">
        <f>IF(OR($E117="",B117=0),"",L117/B117*10000)</f>
        <v/>
      </c>
      <c r="Q117" s="34">
        <f>IF(OR($E117="",C117=0),"",F117/C117*10000)</f>
        <v/>
      </c>
      <c r="R117" s="34">
        <f>IF(OR($E117="",D117=0),"",'Daily Data'!I117/D117*10000)</f>
        <v/>
      </c>
    </row>
    <row r="118">
      <c r="A118" s="30" t="n">
        <v>45772</v>
      </c>
      <c r="B118" s="31">
        <f>'Daily Data'!B118-'Daily Data'!D118</f>
        <v/>
      </c>
      <c r="C118" s="32">
        <f>'Daily Data'!D118</f>
        <v/>
      </c>
      <c r="D118" s="32">
        <f>'Daily Data'!C118</f>
        <v/>
      </c>
      <c r="E118" s="32">
        <f>IF('Daily Data'!E118="","",'Daily Data'!E118)</f>
        <v/>
      </c>
      <c r="F118" s="32">
        <f>IF($E118="","",'Daily Data'!F118)</f>
        <v/>
      </c>
      <c r="G118" s="32">
        <f>IF($E118="","",'Daily Data'!G118)</f>
        <v/>
      </c>
      <c r="H118" s="31">
        <f>IF($E118="","",F118-G118)</f>
        <v/>
      </c>
      <c r="I118" s="32">
        <f>IF($E118="","",'Daily Data'!H118)</f>
        <v/>
      </c>
      <c r="J118" s="31">
        <f>IF($E118="","",E118-H118-I118)</f>
        <v/>
      </c>
      <c r="K118" s="33">
        <f>IF($E118="","",IF(A118&lt;HLP_ChangeDate,HLP_Legacy,HLP_Current))</f>
        <v/>
      </c>
      <c r="L118" s="31">
        <f>IF($E118="","",J118/(1-K118))</f>
        <v/>
      </c>
      <c r="M118" s="31">
        <f>IF($E118="","",I118/(1-K118))</f>
        <v/>
      </c>
      <c r="N118" s="31">
        <f>IF($E118="","",(B118+C118+D118)*Rate_Builder)</f>
        <v/>
      </c>
      <c r="O118" s="31">
        <f>IF($E118="","",E118*K118/(1-K118))</f>
        <v/>
      </c>
      <c r="P118" s="34">
        <f>IF(OR($E118="",B118=0),"",L118/B118*10000)</f>
        <v/>
      </c>
      <c r="Q118" s="34">
        <f>IF(OR($E118="",C118=0),"",F118/C118*10000)</f>
        <v/>
      </c>
      <c r="R118" s="34">
        <f>IF(OR($E118="",D118=0),"",'Daily Data'!I118/D118*10000)</f>
        <v/>
      </c>
    </row>
    <row r="119">
      <c r="A119" s="30" t="n">
        <v>45773</v>
      </c>
      <c r="B119" s="31">
        <f>'Daily Data'!B119-'Daily Data'!D119</f>
        <v/>
      </c>
      <c r="C119" s="32">
        <f>'Daily Data'!D119</f>
        <v/>
      </c>
      <c r="D119" s="32">
        <f>'Daily Data'!C119</f>
        <v/>
      </c>
      <c r="E119" s="32">
        <f>IF('Daily Data'!E119="","",'Daily Data'!E119)</f>
        <v/>
      </c>
      <c r="F119" s="32">
        <f>IF($E119="","",'Daily Data'!F119)</f>
        <v/>
      </c>
      <c r="G119" s="32">
        <f>IF($E119="","",'Daily Data'!G119)</f>
        <v/>
      </c>
      <c r="H119" s="31">
        <f>IF($E119="","",F119-G119)</f>
        <v/>
      </c>
      <c r="I119" s="32">
        <f>IF($E119="","",'Daily Data'!H119)</f>
        <v/>
      </c>
      <c r="J119" s="31">
        <f>IF($E119="","",E119-H119-I119)</f>
        <v/>
      </c>
      <c r="K119" s="33">
        <f>IF($E119="","",IF(A119&lt;HLP_ChangeDate,HLP_Legacy,HLP_Current))</f>
        <v/>
      </c>
      <c r="L119" s="31">
        <f>IF($E119="","",J119/(1-K119))</f>
        <v/>
      </c>
      <c r="M119" s="31">
        <f>IF($E119="","",I119/(1-K119))</f>
        <v/>
      </c>
      <c r="N119" s="31">
        <f>IF($E119="","",(B119+C119+D119)*Rate_Builder)</f>
        <v/>
      </c>
      <c r="O119" s="31">
        <f>IF($E119="","",E119*K119/(1-K119))</f>
        <v/>
      </c>
      <c r="P119" s="34">
        <f>IF(OR($E119="",B119=0),"",L119/B119*10000)</f>
        <v/>
      </c>
      <c r="Q119" s="34">
        <f>IF(OR($E119="",C119=0),"",F119/C119*10000)</f>
        <v/>
      </c>
      <c r="R119" s="34">
        <f>IF(OR($E119="",D119=0),"",'Daily Data'!I119/D119*10000)</f>
        <v/>
      </c>
    </row>
    <row r="120">
      <c r="A120" s="30" t="n">
        <v>45774</v>
      </c>
      <c r="B120" s="31">
        <f>'Daily Data'!B120-'Daily Data'!D120</f>
        <v/>
      </c>
      <c r="C120" s="32">
        <f>'Daily Data'!D120</f>
        <v/>
      </c>
      <c r="D120" s="32">
        <f>'Daily Data'!C120</f>
        <v/>
      </c>
      <c r="E120" s="32">
        <f>IF('Daily Data'!E120="","",'Daily Data'!E120)</f>
        <v/>
      </c>
      <c r="F120" s="32">
        <f>IF($E120="","",'Daily Data'!F120)</f>
        <v/>
      </c>
      <c r="G120" s="32">
        <f>IF($E120="","",'Daily Data'!G120)</f>
        <v/>
      </c>
      <c r="H120" s="31">
        <f>IF($E120="","",F120-G120)</f>
        <v/>
      </c>
      <c r="I120" s="32">
        <f>IF($E120="","",'Daily Data'!H120)</f>
        <v/>
      </c>
      <c r="J120" s="31">
        <f>IF($E120="","",E120-H120-I120)</f>
        <v/>
      </c>
      <c r="K120" s="33">
        <f>IF($E120="","",IF(A120&lt;HLP_ChangeDate,HLP_Legacy,HLP_Current))</f>
        <v/>
      </c>
      <c r="L120" s="31">
        <f>IF($E120="","",J120/(1-K120))</f>
        <v/>
      </c>
      <c r="M120" s="31">
        <f>IF($E120="","",I120/(1-K120))</f>
        <v/>
      </c>
      <c r="N120" s="31">
        <f>IF($E120="","",(B120+C120+D120)*Rate_Builder)</f>
        <v/>
      </c>
      <c r="O120" s="31">
        <f>IF($E120="","",E120*K120/(1-K120))</f>
        <v/>
      </c>
      <c r="P120" s="34">
        <f>IF(OR($E120="",B120=0),"",L120/B120*10000)</f>
        <v/>
      </c>
      <c r="Q120" s="34">
        <f>IF(OR($E120="",C120=0),"",F120/C120*10000)</f>
        <v/>
      </c>
      <c r="R120" s="34">
        <f>IF(OR($E120="",D120=0),"",'Daily Data'!I120/D120*10000)</f>
        <v/>
      </c>
    </row>
    <row r="121">
      <c r="A121" s="30" t="n">
        <v>45775</v>
      </c>
      <c r="B121" s="31">
        <f>'Daily Data'!B121-'Daily Data'!D121</f>
        <v/>
      </c>
      <c r="C121" s="32">
        <f>'Daily Data'!D121</f>
        <v/>
      </c>
      <c r="D121" s="32">
        <f>'Daily Data'!C121</f>
        <v/>
      </c>
      <c r="E121" s="32">
        <f>IF('Daily Data'!E121="","",'Daily Data'!E121)</f>
        <v/>
      </c>
      <c r="F121" s="32">
        <f>IF($E121="","",'Daily Data'!F121)</f>
        <v/>
      </c>
      <c r="G121" s="32">
        <f>IF($E121="","",'Daily Data'!G121)</f>
        <v/>
      </c>
      <c r="H121" s="31">
        <f>IF($E121="","",F121-G121)</f>
        <v/>
      </c>
      <c r="I121" s="32">
        <f>IF($E121="","",'Daily Data'!H121)</f>
        <v/>
      </c>
      <c r="J121" s="31">
        <f>IF($E121="","",E121-H121-I121)</f>
        <v/>
      </c>
      <c r="K121" s="33">
        <f>IF($E121="","",IF(A121&lt;HLP_ChangeDate,HLP_Legacy,HLP_Current))</f>
        <v/>
      </c>
      <c r="L121" s="31">
        <f>IF($E121="","",J121/(1-K121))</f>
        <v/>
      </c>
      <c r="M121" s="31">
        <f>IF($E121="","",I121/(1-K121))</f>
        <v/>
      </c>
      <c r="N121" s="31">
        <f>IF($E121="","",(B121+C121+D121)*Rate_Builder)</f>
        <v/>
      </c>
      <c r="O121" s="31">
        <f>IF($E121="","",E121*K121/(1-K121))</f>
        <v/>
      </c>
      <c r="P121" s="34">
        <f>IF(OR($E121="",B121=0),"",L121/B121*10000)</f>
        <v/>
      </c>
      <c r="Q121" s="34">
        <f>IF(OR($E121="",C121=0),"",F121/C121*10000)</f>
        <v/>
      </c>
      <c r="R121" s="34">
        <f>IF(OR($E121="",D121=0),"",'Daily Data'!I121/D121*10000)</f>
        <v/>
      </c>
    </row>
    <row r="122">
      <c r="A122" s="30" t="n">
        <v>45776</v>
      </c>
      <c r="B122" s="31">
        <f>'Daily Data'!B122-'Daily Data'!D122</f>
        <v/>
      </c>
      <c r="C122" s="32">
        <f>'Daily Data'!D122</f>
        <v/>
      </c>
      <c r="D122" s="32">
        <f>'Daily Data'!C122</f>
        <v/>
      </c>
      <c r="E122" s="32">
        <f>IF('Daily Data'!E122="","",'Daily Data'!E122)</f>
        <v/>
      </c>
      <c r="F122" s="32">
        <f>IF($E122="","",'Daily Data'!F122)</f>
        <v/>
      </c>
      <c r="G122" s="32">
        <f>IF($E122="","",'Daily Data'!G122)</f>
        <v/>
      </c>
      <c r="H122" s="31">
        <f>IF($E122="","",F122-G122)</f>
        <v/>
      </c>
      <c r="I122" s="32">
        <f>IF($E122="","",'Daily Data'!H122)</f>
        <v/>
      </c>
      <c r="J122" s="31">
        <f>IF($E122="","",E122-H122-I122)</f>
        <v/>
      </c>
      <c r="K122" s="33">
        <f>IF($E122="","",IF(A122&lt;HLP_ChangeDate,HLP_Legacy,HLP_Current))</f>
        <v/>
      </c>
      <c r="L122" s="31">
        <f>IF($E122="","",J122/(1-K122))</f>
        <v/>
      </c>
      <c r="M122" s="31">
        <f>IF($E122="","",I122/(1-K122))</f>
        <v/>
      </c>
      <c r="N122" s="31">
        <f>IF($E122="","",(B122+C122+D122)*Rate_Builder)</f>
        <v/>
      </c>
      <c r="O122" s="31">
        <f>IF($E122="","",E122*K122/(1-K122))</f>
        <v/>
      </c>
      <c r="P122" s="34">
        <f>IF(OR($E122="",B122=0),"",L122/B122*10000)</f>
        <v/>
      </c>
      <c r="Q122" s="34">
        <f>IF(OR($E122="",C122=0),"",F122/C122*10000)</f>
        <v/>
      </c>
      <c r="R122" s="34">
        <f>IF(OR($E122="",D122=0),"",'Daily Data'!I122/D122*10000)</f>
        <v/>
      </c>
    </row>
    <row r="123">
      <c r="A123" s="30" t="n">
        <v>45777</v>
      </c>
      <c r="B123" s="31">
        <f>'Daily Data'!B123-'Daily Data'!D123</f>
        <v/>
      </c>
      <c r="C123" s="32">
        <f>'Daily Data'!D123</f>
        <v/>
      </c>
      <c r="D123" s="32">
        <f>'Daily Data'!C123</f>
        <v/>
      </c>
      <c r="E123" s="32">
        <f>IF('Daily Data'!E123="","",'Daily Data'!E123)</f>
        <v/>
      </c>
      <c r="F123" s="32">
        <f>IF($E123="","",'Daily Data'!F123)</f>
        <v/>
      </c>
      <c r="G123" s="32">
        <f>IF($E123="","",'Daily Data'!G123)</f>
        <v/>
      </c>
      <c r="H123" s="31">
        <f>IF($E123="","",F123-G123)</f>
        <v/>
      </c>
      <c r="I123" s="32">
        <f>IF($E123="","",'Daily Data'!H123)</f>
        <v/>
      </c>
      <c r="J123" s="31">
        <f>IF($E123="","",E123-H123-I123)</f>
        <v/>
      </c>
      <c r="K123" s="33">
        <f>IF($E123="","",IF(A123&lt;HLP_ChangeDate,HLP_Legacy,HLP_Current))</f>
        <v/>
      </c>
      <c r="L123" s="31">
        <f>IF($E123="","",J123/(1-K123))</f>
        <v/>
      </c>
      <c r="M123" s="31">
        <f>IF($E123="","",I123/(1-K123))</f>
        <v/>
      </c>
      <c r="N123" s="31">
        <f>IF($E123="","",(B123+C123+D123)*Rate_Builder)</f>
        <v/>
      </c>
      <c r="O123" s="31">
        <f>IF($E123="","",E123*K123/(1-K123))</f>
        <v/>
      </c>
      <c r="P123" s="34">
        <f>IF(OR($E123="",B123=0),"",L123/B123*10000)</f>
        <v/>
      </c>
      <c r="Q123" s="34">
        <f>IF(OR($E123="",C123=0),"",F123/C123*10000)</f>
        <v/>
      </c>
      <c r="R123" s="34">
        <f>IF(OR($E123="",D123=0),"",'Daily Data'!I123/D123*10000)</f>
        <v/>
      </c>
    </row>
    <row r="124">
      <c r="A124" s="30" t="n">
        <v>45778</v>
      </c>
      <c r="B124" s="31">
        <f>'Daily Data'!B124-'Daily Data'!D124</f>
        <v/>
      </c>
      <c r="C124" s="32">
        <f>'Daily Data'!D124</f>
        <v/>
      </c>
      <c r="D124" s="32">
        <f>'Daily Data'!C124</f>
        <v/>
      </c>
      <c r="E124" s="32">
        <f>IF('Daily Data'!E124="","",'Daily Data'!E124)</f>
        <v/>
      </c>
      <c r="F124" s="32">
        <f>IF($E124="","",'Daily Data'!F124)</f>
        <v/>
      </c>
      <c r="G124" s="32">
        <f>IF($E124="","",'Daily Data'!G124)</f>
        <v/>
      </c>
      <c r="H124" s="31">
        <f>IF($E124="","",F124-G124)</f>
        <v/>
      </c>
      <c r="I124" s="32">
        <f>IF($E124="","",'Daily Data'!H124)</f>
        <v/>
      </c>
      <c r="J124" s="31">
        <f>IF($E124="","",E124-H124-I124)</f>
        <v/>
      </c>
      <c r="K124" s="33">
        <f>IF($E124="","",IF(A124&lt;HLP_ChangeDate,HLP_Legacy,HLP_Current))</f>
        <v/>
      </c>
      <c r="L124" s="31">
        <f>IF($E124="","",J124/(1-K124))</f>
        <v/>
      </c>
      <c r="M124" s="31">
        <f>IF($E124="","",I124/(1-K124))</f>
        <v/>
      </c>
      <c r="N124" s="31">
        <f>IF($E124="","",(B124+C124+D124)*Rate_Builder)</f>
        <v/>
      </c>
      <c r="O124" s="31">
        <f>IF($E124="","",E124*K124/(1-K124))</f>
        <v/>
      </c>
      <c r="P124" s="34">
        <f>IF(OR($E124="",B124=0),"",L124/B124*10000)</f>
        <v/>
      </c>
      <c r="Q124" s="34">
        <f>IF(OR($E124="",C124=0),"",F124/C124*10000)</f>
        <v/>
      </c>
      <c r="R124" s="34">
        <f>IF(OR($E124="",D124=0),"",'Daily Data'!I124/D124*10000)</f>
        <v/>
      </c>
    </row>
    <row r="125">
      <c r="A125" s="30" t="n">
        <v>45779</v>
      </c>
      <c r="B125" s="31">
        <f>'Daily Data'!B125-'Daily Data'!D125</f>
        <v/>
      </c>
      <c r="C125" s="32">
        <f>'Daily Data'!D125</f>
        <v/>
      </c>
      <c r="D125" s="32">
        <f>'Daily Data'!C125</f>
        <v/>
      </c>
      <c r="E125" s="32">
        <f>IF('Daily Data'!E125="","",'Daily Data'!E125)</f>
        <v/>
      </c>
      <c r="F125" s="32">
        <f>IF($E125="","",'Daily Data'!F125)</f>
        <v/>
      </c>
      <c r="G125" s="32">
        <f>IF($E125="","",'Daily Data'!G125)</f>
        <v/>
      </c>
      <c r="H125" s="31">
        <f>IF($E125="","",F125-G125)</f>
        <v/>
      </c>
      <c r="I125" s="32">
        <f>IF($E125="","",'Daily Data'!H125)</f>
        <v/>
      </c>
      <c r="J125" s="31">
        <f>IF($E125="","",E125-H125-I125)</f>
        <v/>
      </c>
      <c r="K125" s="33">
        <f>IF($E125="","",IF(A125&lt;HLP_ChangeDate,HLP_Legacy,HLP_Current))</f>
        <v/>
      </c>
      <c r="L125" s="31">
        <f>IF($E125="","",J125/(1-K125))</f>
        <v/>
      </c>
      <c r="M125" s="31">
        <f>IF($E125="","",I125/(1-K125))</f>
        <v/>
      </c>
      <c r="N125" s="31">
        <f>IF($E125="","",(B125+C125+D125)*Rate_Builder)</f>
        <v/>
      </c>
      <c r="O125" s="31">
        <f>IF($E125="","",E125*K125/(1-K125))</f>
        <v/>
      </c>
      <c r="P125" s="34">
        <f>IF(OR($E125="",B125=0),"",L125/B125*10000)</f>
        <v/>
      </c>
      <c r="Q125" s="34">
        <f>IF(OR($E125="",C125=0),"",F125/C125*10000)</f>
        <v/>
      </c>
      <c r="R125" s="34">
        <f>IF(OR($E125="",D125=0),"",'Daily Data'!I125/D125*10000)</f>
        <v/>
      </c>
    </row>
    <row r="126">
      <c r="A126" s="30" t="n">
        <v>45780</v>
      </c>
      <c r="B126" s="31">
        <f>'Daily Data'!B126-'Daily Data'!D126</f>
        <v/>
      </c>
      <c r="C126" s="32">
        <f>'Daily Data'!D126</f>
        <v/>
      </c>
      <c r="D126" s="32">
        <f>'Daily Data'!C126</f>
        <v/>
      </c>
      <c r="E126" s="32">
        <f>IF('Daily Data'!E126="","",'Daily Data'!E126)</f>
        <v/>
      </c>
      <c r="F126" s="32">
        <f>IF($E126="","",'Daily Data'!F126)</f>
        <v/>
      </c>
      <c r="G126" s="32">
        <f>IF($E126="","",'Daily Data'!G126)</f>
        <v/>
      </c>
      <c r="H126" s="31">
        <f>IF($E126="","",F126-G126)</f>
        <v/>
      </c>
      <c r="I126" s="32">
        <f>IF($E126="","",'Daily Data'!H126)</f>
        <v/>
      </c>
      <c r="J126" s="31">
        <f>IF($E126="","",E126-H126-I126)</f>
        <v/>
      </c>
      <c r="K126" s="33">
        <f>IF($E126="","",IF(A126&lt;HLP_ChangeDate,HLP_Legacy,HLP_Current))</f>
        <v/>
      </c>
      <c r="L126" s="31">
        <f>IF($E126="","",J126/(1-K126))</f>
        <v/>
      </c>
      <c r="M126" s="31">
        <f>IF($E126="","",I126/(1-K126))</f>
        <v/>
      </c>
      <c r="N126" s="31">
        <f>IF($E126="","",(B126+C126+D126)*Rate_Builder)</f>
        <v/>
      </c>
      <c r="O126" s="31">
        <f>IF($E126="","",E126*K126/(1-K126))</f>
        <v/>
      </c>
      <c r="P126" s="34">
        <f>IF(OR($E126="",B126=0),"",L126/B126*10000)</f>
        <v/>
      </c>
      <c r="Q126" s="34">
        <f>IF(OR($E126="",C126=0),"",F126/C126*10000)</f>
        <v/>
      </c>
      <c r="R126" s="34">
        <f>IF(OR($E126="",D126=0),"",'Daily Data'!I126/D126*10000)</f>
        <v/>
      </c>
    </row>
    <row r="127">
      <c r="A127" s="30" t="n">
        <v>45781</v>
      </c>
      <c r="B127" s="31">
        <f>'Daily Data'!B127-'Daily Data'!D127</f>
        <v/>
      </c>
      <c r="C127" s="32">
        <f>'Daily Data'!D127</f>
        <v/>
      </c>
      <c r="D127" s="32">
        <f>'Daily Data'!C127</f>
        <v/>
      </c>
      <c r="E127" s="32">
        <f>IF('Daily Data'!E127="","",'Daily Data'!E127)</f>
        <v/>
      </c>
      <c r="F127" s="32">
        <f>IF($E127="","",'Daily Data'!F127)</f>
        <v/>
      </c>
      <c r="G127" s="32">
        <f>IF($E127="","",'Daily Data'!G127)</f>
        <v/>
      </c>
      <c r="H127" s="31">
        <f>IF($E127="","",F127-G127)</f>
        <v/>
      </c>
      <c r="I127" s="32">
        <f>IF($E127="","",'Daily Data'!H127)</f>
        <v/>
      </c>
      <c r="J127" s="31">
        <f>IF($E127="","",E127-H127-I127)</f>
        <v/>
      </c>
      <c r="K127" s="33">
        <f>IF($E127="","",IF(A127&lt;HLP_ChangeDate,HLP_Legacy,HLP_Current))</f>
        <v/>
      </c>
      <c r="L127" s="31">
        <f>IF($E127="","",J127/(1-K127))</f>
        <v/>
      </c>
      <c r="M127" s="31">
        <f>IF($E127="","",I127/(1-K127))</f>
        <v/>
      </c>
      <c r="N127" s="31">
        <f>IF($E127="","",(B127+C127+D127)*Rate_Builder)</f>
        <v/>
      </c>
      <c r="O127" s="31">
        <f>IF($E127="","",E127*K127/(1-K127))</f>
        <v/>
      </c>
      <c r="P127" s="34">
        <f>IF(OR($E127="",B127=0),"",L127/B127*10000)</f>
        <v/>
      </c>
      <c r="Q127" s="34">
        <f>IF(OR($E127="",C127=0),"",F127/C127*10000)</f>
        <v/>
      </c>
      <c r="R127" s="34">
        <f>IF(OR($E127="",D127=0),"",'Daily Data'!I127/D127*10000)</f>
        <v/>
      </c>
    </row>
    <row r="128">
      <c r="A128" s="30" t="n">
        <v>45782</v>
      </c>
      <c r="B128" s="31">
        <f>'Daily Data'!B128-'Daily Data'!D128</f>
        <v/>
      </c>
      <c r="C128" s="32">
        <f>'Daily Data'!D128</f>
        <v/>
      </c>
      <c r="D128" s="32">
        <f>'Daily Data'!C128</f>
        <v/>
      </c>
      <c r="E128" s="32">
        <f>IF('Daily Data'!E128="","",'Daily Data'!E128)</f>
        <v/>
      </c>
      <c r="F128" s="32">
        <f>IF($E128="","",'Daily Data'!F128)</f>
        <v/>
      </c>
      <c r="G128" s="32">
        <f>IF($E128="","",'Daily Data'!G128)</f>
        <v/>
      </c>
      <c r="H128" s="31">
        <f>IF($E128="","",F128-G128)</f>
        <v/>
      </c>
      <c r="I128" s="32">
        <f>IF($E128="","",'Daily Data'!H128)</f>
        <v/>
      </c>
      <c r="J128" s="31">
        <f>IF($E128="","",E128-H128-I128)</f>
        <v/>
      </c>
      <c r="K128" s="33">
        <f>IF($E128="","",IF(A128&lt;HLP_ChangeDate,HLP_Legacy,HLP_Current))</f>
        <v/>
      </c>
      <c r="L128" s="31">
        <f>IF($E128="","",J128/(1-K128))</f>
        <v/>
      </c>
      <c r="M128" s="31">
        <f>IF($E128="","",I128/(1-K128))</f>
        <v/>
      </c>
      <c r="N128" s="31">
        <f>IF($E128="","",(B128+C128+D128)*Rate_Builder)</f>
        <v/>
      </c>
      <c r="O128" s="31">
        <f>IF($E128="","",E128*K128/(1-K128))</f>
        <v/>
      </c>
      <c r="P128" s="34">
        <f>IF(OR($E128="",B128=0),"",L128/B128*10000)</f>
        <v/>
      </c>
      <c r="Q128" s="34">
        <f>IF(OR($E128="",C128=0),"",F128/C128*10000)</f>
        <v/>
      </c>
      <c r="R128" s="34">
        <f>IF(OR($E128="",D128=0),"",'Daily Data'!I128/D128*10000)</f>
        <v/>
      </c>
    </row>
    <row r="129">
      <c r="A129" s="30" t="n">
        <v>45783</v>
      </c>
      <c r="B129" s="31">
        <f>'Daily Data'!B129-'Daily Data'!D129</f>
        <v/>
      </c>
      <c r="C129" s="32">
        <f>'Daily Data'!D129</f>
        <v/>
      </c>
      <c r="D129" s="32">
        <f>'Daily Data'!C129</f>
        <v/>
      </c>
      <c r="E129" s="32">
        <f>IF('Daily Data'!E129="","",'Daily Data'!E129)</f>
        <v/>
      </c>
      <c r="F129" s="32">
        <f>IF($E129="","",'Daily Data'!F129)</f>
        <v/>
      </c>
      <c r="G129" s="32">
        <f>IF($E129="","",'Daily Data'!G129)</f>
        <v/>
      </c>
      <c r="H129" s="31">
        <f>IF($E129="","",F129-G129)</f>
        <v/>
      </c>
      <c r="I129" s="32">
        <f>IF($E129="","",'Daily Data'!H129)</f>
        <v/>
      </c>
      <c r="J129" s="31">
        <f>IF($E129="","",E129-H129-I129)</f>
        <v/>
      </c>
      <c r="K129" s="33">
        <f>IF($E129="","",IF(A129&lt;HLP_ChangeDate,HLP_Legacy,HLP_Current))</f>
        <v/>
      </c>
      <c r="L129" s="31">
        <f>IF($E129="","",J129/(1-K129))</f>
        <v/>
      </c>
      <c r="M129" s="31">
        <f>IF($E129="","",I129/(1-K129))</f>
        <v/>
      </c>
      <c r="N129" s="31">
        <f>IF($E129="","",(B129+C129+D129)*Rate_Builder)</f>
        <v/>
      </c>
      <c r="O129" s="31">
        <f>IF($E129="","",E129*K129/(1-K129))</f>
        <v/>
      </c>
      <c r="P129" s="34">
        <f>IF(OR($E129="",B129=0),"",L129/B129*10000)</f>
        <v/>
      </c>
      <c r="Q129" s="34">
        <f>IF(OR($E129="",C129=0),"",F129/C129*10000)</f>
        <v/>
      </c>
      <c r="R129" s="34">
        <f>IF(OR($E129="",D129=0),"",'Daily Data'!I129/D129*10000)</f>
        <v/>
      </c>
    </row>
    <row r="130">
      <c r="A130" s="30" t="n">
        <v>45784</v>
      </c>
      <c r="B130" s="31">
        <f>'Daily Data'!B130-'Daily Data'!D130</f>
        <v/>
      </c>
      <c r="C130" s="32">
        <f>'Daily Data'!D130</f>
        <v/>
      </c>
      <c r="D130" s="32">
        <f>'Daily Data'!C130</f>
        <v/>
      </c>
      <c r="E130" s="32">
        <f>IF('Daily Data'!E130="","",'Daily Data'!E130)</f>
        <v/>
      </c>
      <c r="F130" s="32">
        <f>IF($E130="","",'Daily Data'!F130)</f>
        <v/>
      </c>
      <c r="G130" s="32">
        <f>IF($E130="","",'Daily Data'!G130)</f>
        <v/>
      </c>
      <c r="H130" s="31">
        <f>IF($E130="","",F130-G130)</f>
        <v/>
      </c>
      <c r="I130" s="32">
        <f>IF($E130="","",'Daily Data'!H130)</f>
        <v/>
      </c>
      <c r="J130" s="31">
        <f>IF($E130="","",E130-H130-I130)</f>
        <v/>
      </c>
      <c r="K130" s="33">
        <f>IF($E130="","",IF(A130&lt;HLP_ChangeDate,HLP_Legacy,HLP_Current))</f>
        <v/>
      </c>
      <c r="L130" s="31">
        <f>IF($E130="","",J130/(1-K130))</f>
        <v/>
      </c>
      <c r="M130" s="31">
        <f>IF($E130="","",I130/(1-K130))</f>
        <v/>
      </c>
      <c r="N130" s="31">
        <f>IF($E130="","",(B130+C130+D130)*Rate_Builder)</f>
        <v/>
      </c>
      <c r="O130" s="31">
        <f>IF($E130="","",E130*K130/(1-K130))</f>
        <v/>
      </c>
      <c r="P130" s="34">
        <f>IF(OR($E130="",B130=0),"",L130/B130*10000)</f>
        <v/>
      </c>
      <c r="Q130" s="34">
        <f>IF(OR($E130="",C130=0),"",F130/C130*10000)</f>
        <v/>
      </c>
      <c r="R130" s="34">
        <f>IF(OR($E130="",D130=0),"",'Daily Data'!I130/D130*10000)</f>
        <v/>
      </c>
    </row>
    <row r="131">
      <c r="A131" s="30" t="n">
        <v>45785</v>
      </c>
      <c r="B131" s="31">
        <f>'Daily Data'!B131-'Daily Data'!D131</f>
        <v/>
      </c>
      <c r="C131" s="32">
        <f>'Daily Data'!D131</f>
        <v/>
      </c>
      <c r="D131" s="32">
        <f>'Daily Data'!C131</f>
        <v/>
      </c>
      <c r="E131" s="32">
        <f>IF('Daily Data'!E131="","",'Daily Data'!E131)</f>
        <v/>
      </c>
      <c r="F131" s="32">
        <f>IF($E131="","",'Daily Data'!F131)</f>
        <v/>
      </c>
      <c r="G131" s="32">
        <f>IF($E131="","",'Daily Data'!G131)</f>
        <v/>
      </c>
      <c r="H131" s="31">
        <f>IF($E131="","",F131-G131)</f>
        <v/>
      </c>
      <c r="I131" s="32">
        <f>IF($E131="","",'Daily Data'!H131)</f>
        <v/>
      </c>
      <c r="J131" s="31">
        <f>IF($E131="","",E131-H131-I131)</f>
        <v/>
      </c>
      <c r="K131" s="33">
        <f>IF($E131="","",IF(A131&lt;HLP_ChangeDate,HLP_Legacy,HLP_Current))</f>
        <v/>
      </c>
      <c r="L131" s="31">
        <f>IF($E131="","",J131/(1-K131))</f>
        <v/>
      </c>
      <c r="M131" s="31">
        <f>IF($E131="","",I131/(1-K131))</f>
        <v/>
      </c>
      <c r="N131" s="31">
        <f>IF($E131="","",(B131+C131+D131)*Rate_Builder)</f>
        <v/>
      </c>
      <c r="O131" s="31">
        <f>IF($E131="","",E131*K131/(1-K131))</f>
        <v/>
      </c>
      <c r="P131" s="34">
        <f>IF(OR($E131="",B131=0),"",L131/B131*10000)</f>
        <v/>
      </c>
      <c r="Q131" s="34">
        <f>IF(OR($E131="",C131=0),"",F131/C131*10000)</f>
        <v/>
      </c>
      <c r="R131" s="34">
        <f>IF(OR($E131="",D131=0),"",'Daily Data'!I131/D131*10000)</f>
        <v/>
      </c>
    </row>
    <row r="132">
      <c r="A132" s="30" t="n">
        <v>45786</v>
      </c>
      <c r="B132" s="31">
        <f>'Daily Data'!B132-'Daily Data'!D132</f>
        <v/>
      </c>
      <c r="C132" s="32">
        <f>'Daily Data'!D132</f>
        <v/>
      </c>
      <c r="D132" s="32">
        <f>'Daily Data'!C132</f>
        <v/>
      </c>
      <c r="E132" s="32">
        <f>IF('Daily Data'!E132="","",'Daily Data'!E132)</f>
        <v/>
      </c>
      <c r="F132" s="32">
        <f>IF($E132="","",'Daily Data'!F132)</f>
        <v/>
      </c>
      <c r="G132" s="32">
        <f>IF($E132="","",'Daily Data'!G132)</f>
        <v/>
      </c>
      <c r="H132" s="31">
        <f>IF($E132="","",F132-G132)</f>
        <v/>
      </c>
      <c r="I132" s="32">
        <f>IF($E132="","",'Daily Data'!H132)</f>
        <v/>
      </c>
      <c r="J132" s="31">
        <f>IF($E132="","",E132-H132-I132)</f>
        <v/>
      </c>
      <c r="K132" s="33">
        <f>IF($E132="","",IF(A132&lt;HLP_ChangeDate,HLP_Legacy,HLP_Current))</f>
        <v/>
      </c>
      <c r="L132" s="31">
        <f>IF($E132="","",J132/(1-K132))</f>
        <v/>
      </c>
      <c r="M132" s="31">
        <f>IF($E132="","",I132/(1-K132))</f>
        <v/>
      </c>
      <c r="N132" s="31">
        <f>IF($E132="","",(B132+C132+D132)*Rate_Builder)</f>
        <v/>
      </c>
      <c r="O132" s="31">
        <f>IF($E132="","",E132*K132/(1-K132))</f>
        <v/>
      </c>
      <c r="P132" s="34">
        <f>IF(OR($E132="",B132=0),"",L132/B132*10000)</f>
        <v/>
      </c>
      <c r="Q132" s="34">
        <f>IF(OR($E132="",C132=0),"",F132/C132*10000)</f>
        <v/>
      </c>
      <c r="R132" s="34">
        <f>IF(OR($E132="",D132=0),"",'Daily Data'!I132/D132*10000)</f>
        <v/>
      </c>
    </row>
    <row r="133">
      <c r="A133" s="30" t="n">
        <v>45787</v>
      </c>
      <c r="B133" s="31">
        <f>'Daily Data'!B133-'Daily Data'!D133</f>
        <v/>
      </c>
      <c r="C133" s="32">
        <f>'Daily Data'!D133</f>
        <v/>
      </c>
      <c r="D133" s="32">
        <f>'Daily Data'!C133</f>
        <v/>
      </c>
      <c r="E133" s="32">
        <f>IF('Daily Data'!E133="","",'Daily Data'!E133)</f>
        <v/>
      </c>
      <c r="F133" s="32">
        <f>IF($E133="","",'Daily Data'!F133)</f>
        <v/>
      </c>
      <c r="G133" s="32">
        <f>IF($E133="","",'Daily Data'!G133)</f>
        <v/>
      </c>
      <c r="H133" s="31">
        <f>IF($E133="","",F133-G133)</f>
        <v/>
      </c>
      <c r="I133" s="32">
        <f>IF($E133="","",'Daily Data'!H133)</f>
        <v/>
      </c>
      <c r="J133" s="31">
        <f>IF($E133="","",E133-H133-I133)</f>
        <v/>
      </c>
      <c r="K133" s="33">
        <f>IF($E133="","",IF(A133&lt;HLP_ChangeDate,HLP_Legacy,HLP_Current))</f>
        <v/>
      </c>
      <c r="L133" s="31">
        <f>IF($E133="","",J133/(1-K133))</f>
        <v/>
      </c>
      <c r="M133" s="31">
        <f>IF($E133="","",I133/(1-K133))</f>
        <v/>
      </c>
      <c r="N133" s="31">
        <f>IF($E133="","",(B133+C133+D133)*Rate_Builder)</f>
        <v/>
      </c>
      <c r="O133" s="31">
        <f>IF($E133="","",E133*K133/(1-K133))</f>
        <v/>
      </c>
      <c r="P133" s="34">
        <f>IF(OR($E133="",B133=0),"",L133/B133*10000)</f>
        <v/>
      </c>
      <c r="Q133" s="34">
        <f>IF(OR($E133="",C133=0),"",F133/C133*10000)</f>
        <v/>
      </c>
      <c r="R133" s="34">
        <f>IF(OR($E133="",D133=0),"",'Daily Data'!I133/D133*10000)</f>
        <v/>
      </c>
    </row>
    <row r="134">
      <c r="A134" s="30" t="n">
        <v>45788</v>
      </c>
      <c r="B134" s="31">
        <f>'Daily Data'!B134-'Daily Data'!D134</f>
        <v/>
      </c>
      <c r="C134" s="32">
        <f>'Daily Data'!D134</f>
        <v/>
      </c>
      <c r="D134" s="32">
        <f>'Daily Data'!C134</f>
        <v/>
      </c>
      <c r="E134" s="32">
        <f>IF('Daily Data'!E134="","",'Daily Data'!E134)</f>
        <v/>
      </c>
      <c r="F134" s="32">
        <f>IF($E134="","",'Daily Data'!F134)</f>
        <v/>
      </c>
      <c r="G134" s="32">
        <f>IF($E134="","",'Daily Data'!G134)</f>
        <v/>
      </c>
      <c r="H134" s="31">
        <f>IF($E134="","",F134-G134)</f>
        <v/>
      </c>
      <c r="I134" s="32">
        <f>IF($E134="","",'Daily Data'!H134)</f>
        <v/>
      </c>
      <c r="J134" s="31">
        <f>IF($E134="","",E134-H134-I134)</f>
        <v/>
      </c>
      <c r="K134" s="33">
        <f>IF($E134="","",IF(A134&lt;HLP_ChangeDate,HLP_Legacy,HLP_Current))</f>
        <v/>
      </c>
      <c r="L134" s="31">
        <f>IF($E134="","",J134/(1-K134))</f>
        <v/>
      </c>
      <c r="M134" s="31">
        <f>IF($E134="","",I134/(1-K134))</f>
        <v/>
      </c>
      <c r="N134" s="31">
        <f>IF($E134="","",(B134+C134+D134)*Rate_Builder)</f>
        <v/>
      </c>
      <c r="O134" s="31">
        <f>IF($E134="","",E134*K134/(1-K134))</f>
        <v/>
      </c>
      <c r="P134" s="34">
        <f>IF(OR($E134="",B134=0),"",L134/B134*10000)</f>
        <v/>
      </c>
      <c r="Q134" s="34">
        <f>IF(OR($E134="",C134=0),"",F134/C134*10000)</f>
        <v/>
      </c>
      <c r="R134" s="34">
        <f>IF(OR($E134="",D134=0),"",'Daily Data'!I134/D134*10000)</f>
        <v/>
      </c>
    </row>
    <row r="135">
      <c r="A135" s="30" t="n">
        <v>45789</v>
      </c>
      <c r="B135" s="31">
        <f>'Daily Data'!B135-'Daily Data'!D135</f>
        <v/>
      </c>
      <c r="C135" s="32">
        <f>'Daily Data'!D135</f>
        <v/>
      </c>
      <c r="D135" s="32">
        <f>'Daily Data'!C135</f>
        <v/>
      </c>
      <c r="E135" s="32">
        <f>IF('Daily Data'!E135="","",'Daily Data'!E135)</f>
        <v/>
      </c>
      <c r="F135" s="32">
        <f>IF($E135="","",'Daily Data'!F135)</f>
        <v/>
      </c>
      <c r="G135" s="32">
        <f>IF($E135="","",'Daily Data'!G135)</f>
        <v/>
      </c>
      <c r="H135" s="31">
        <f>IF($E135="","",F135-G135)</f>
        <v/>
      </c>
      <c r="I135" s="32">
        <f>IF($E135="","",'Daily Data'!H135)</f>
        <v/>
      </c>
      <c r="J135" s="31">
        <f>IF($E135="","",E135-H135-I135)</f>
        <v/>
      </c>
      <c r="K135" s="33">
        <f>IF($E135="","",IF(A135&lt;HLP_ChangeDate,HLP_Legacy,HLP_Current))</f>
        <v/>
      </c>
      <c r="L135" s="31">
        <f>IF($E135="","",J135/(1-K135))</f>
        <v/>
      </c>
      <c r="M135" s="31">
        <f>IF($E135="","",I135/(1-K135))</f>
        <v/>
      </c>
      <c r="N135" s="31">
        <f>IF($E135="","",(B135+C135+D135)*Rate_Builder)</f>
        <v/>
      </c>
      <c r="O135" s="31">
        <f>IF($E135="","",E135*K135/(1-K135))</f>
        <v/>
      </c>
      <c r="P135" s="34">
        <f>IF(OR($E135="",B135=0),"",L135/B135*10000)</f>
        <v/>
      </c>
      <c r="Q135" s="34">
        <f>IF(OR($E135="",C135=0),"",F135/C135*10000)</f>
        <v/>
      </c>
      <c r="R135" s="34">
        <f>IF(OR($E135="",D135=0),"",'Daily Data'!I135/D135*10000)</f>
        <v/>
      </c>
    </row>
    <row r="136">
      <c r="A136" s="30" t="n">
        <v>45790</v>
      </c>
      <c r="B136" s="31">
        <f>'Daily Data'!B136-'Daily Data'!D136</f>
        <v/>
      </c>
      <c r="C136" s="32">
        <f>'Daily Data'!D136</f>
        <v/>
      </c>
      <c r="D136" s="32">
        <f>'Daily Data'!C136</f>
        <v/>
      </c>
      <c r="E136" s="32">
        <f>IF('Daily Data'!E136="","",'Daily Data'!E136)</f>
        <v/>
      </c>
      <c r="F136" s="32">
        <f>IF($E136="","",'Daily Data'!F136)</f>
        <v/>
      </c>
      <c r="G136" s="32">
        <f>IF($E136="","",'Daily Data'!G136)</f>
        <v/>
      </c>
      <c r="H136" s="31">
        <f>IF($E136="","",F136-G136)</f>
        <v/>
      </c>
      <c r="I136" s="32">
        <f>IF($E136="","",'Daily Data'!H136)</f>
        <v/>
      </c>
      <c r="J136" s="31">
        <f>IF($E136="","",E136-H136-I136)</f>
        <v/>
      </c>
      <c r="K136" s="33">
        <f>IF($E136="","",IF(A136&lt;HLP_ChangeDate,HLP_Legacy,HLP_Current))</f>
        <v/>
      </c>
      <c r="L136" s="31">
        <f>IF($E136="","",J136/(1-K136))</f>
        <v/>
      </c>
      <c r="M136" s="31">
        <f>IF($E136="","",I136/(1-K136))</f>
        <v/>
      </c>
      <c r="N136" s="31">
        <f>IF($E136="","",(B136+C136+D136)*Rate_Builder)</f>
        <v/>
      </c>
      <c r="O136" s="31">
        <f>IF($E136="","",E136*K136/(1-K136))</f>
        <v/>
      </c>
      <c r="P136" s="34">
        <f>IF(OR($E136="",B136=0),"",L136/B136*10000)</f>
        <v/>
      </c>
      <c r="Q136" s="34">
        <f>IF(OR($E136="",C136=0),"",F136/C136*10000)</f>
        <v/>
      </c>
      <c r="R136" s="34">
        <f>IF(OR($E136="",D136=0),"",'Daily Data'!I136/D136*10000)</f>
        <v/>
      </c>
    </row>
    <row r="137">
      <c r="A137" s="30" t="n">
        <v>45791</v>
      </c>
      <c r="B137" s="31">
        <f>'Daily Data'!B137-'Daily Data'!D137</f>
        <v/>
      </c>
      <c r="C137" s="32">
        <f>'Daily Data'!D137</f>
        <v/>
      </c>
      <c r="D137" s="32">
        <f>'Daily Data'!C137</f>
        <v/>
      </c>
      <c r="E137" s="32">
        <f>IF('Daily Data'!E137="","",'Daily Data'!E137)</f>
        <v/>
      </c>
      <c r="F137" s="32">
        <f>IF($E137="","",'Daily Data'!F137)</f>
        <v/>
      </c>
      <c r="G137" s="32">
        <f>IF($E137="","",'Daily Data'!G137)</f>
        <v/>
      </c>
      <c r="H137" s="31">
        <f>IF($E137="","",F137-G137)</f>
        <v/>
      </c>
      <c r="I137" s="32">
        <f>IF($E137="","",'Daily Data'!H137)</f>
        <v/>
      </c>
      <c r="J137" s="31">
        <f>IF($E137="","",E137-H137-I137)</f>
        <v/>
      </c>
      <c r="K137" s="33">
        <f>IF($E137="","",IF(A137&lt;HLP_ChangeDate,HLP_Legacy,HLP_Current))</f>
        <v/>
      </c>
      <c r="L137" s="31">
        <f>IF($E137="","",J137/(1-K137))</f>
        <v/>
      </c>
      <c r="M137" s="31">
        <f>IF($E137="","",I137/(1-K137))</f>
        <v/>
      </c>
      <c r="N137" s="31">
        <f>IF($E137="","",(B137+C137+D137)*Rate_Builder)</f>
        <v/>
      </c>
      <c r="O137" s="31">
        <f>IF($E137="","",E137*K137/(1-K137))</f>
        <v/>
      </c>
      <c r="P137" s="34">
        <f>IF(OR($E137="",B137=0),"",L137/B137*10000)</f>
        <v/>
      </c>
      <c r="Q137" s="34">
        <f>IF(OR($E137="",C137=0),"",F137/C137*10000)</f>
        <v/>
      </c>
      <c r="R137" s="34">
        <f>IF(OR($E137="",D137=0),"",'Daily Data'!I137/D137*10000)</f>
        <v/>
      </c>
    </row>
    <row r="138">
      <c r="A138" s="30" t="n">
        <v>45792</v>
      </c>
      <c r="B138" s="31">
        <f>'Daily Data'!B138-'Daily Data'!D138</f>
        <v/>
      </c>
      <c r="C138" s="32">
        <f>'Daily Data'!D138</f>
        <v/>
      </c>
      <c r="D138" s="32">
        <f>'Daily Data'!C138</f>
        <v/>
      </c>
      <c r="E138" s="32">
        <f>IF('Daily Data'!E138="","",'Daily Data'!E138)</f>
        <v/>
      </c>
      <c r="F138" s="32">
        <f>IF($E138="","",'Daily Data'!F138)</f>
        <v/>
      </c>
      <c r="G138" s="32">
        <f>IF($E138="","",'Daily Data'!G138)</f>
        <v/>
      </c>
      <c r="H138" s="31">
        <f>IF($E138="","",F138-G138)</f>
        <v/>
      </c>
      <c r="I138" s="32">
        <f>IF($E138="","",'Daily Data'!H138)</f>
        <v/>
      </c>
      <c r="J138" s="31">
        <f>IF($E138="","",E138-H138-I138)</f>
        <v/>
      </c>
      <c r="K138" s="33">
        <f>IF($E138="","",IF(A138&lt;HLP_ChangeDate,HLP_Legacy,HLP_Current))</f>
        <v/>
      </c>
      <c r="L138" s="31">
        <f>IF($E138="","",J138/(1-K138))</f>
        <v/>
      </c>
      <c r="M138" s="31">
        <f>IF($E138="","",I138/(1-K138))</f>
        <v/>
      </c>
      <c r="N138" s="31">
        <f>IF($E138="","",(B138+C138+D138)*Rate_Builder)</f>
        <v/>
      </c>
      <c r="O138" s="31">
        <f>IF($E138="","",E138*K138/(1-K138))</f>
        <v/>
      </c>
      <c r="P138" s="34">
        <f>IF(OR($E138="",B138=0),"",L138/B138*10000)</f>
        <v/>
      </c>
      <c r="Q138" s="34">
        <f>IF(OR($E138="",C138=0),"",F138/C138*10000)</f>
        <v/>
      </c>
      <c r="R138" s="34">
        <f>IF(OR($E138="",D138=0),"",'Daily Data'!I138/D138*10000)</f>
        <v/>
      </c>
    </row>
    <row r="139">
      <c r="A139" s="30" t="n">
        <v>45793</v>
      </c>
      <c r="B139" s="31">
        <f>'Daily Data'!B139-'Daily Data'!D139</f>
        <v/>
      </c>
      <c r="C139" s="32">
        <f>'Daily Data'!D139</f>
        <v/>
      </c>
      <c r="D139" s="32">
        <f>'Daily Data'!C139</f>
        <v/>
      </c>
      <c r="E139" s="32">
        <f>IF('Daily Data'!E139="","",'Daily Data'!E139)</f>
        <v/>
      </c>
      <c r="F139" s="32">
        <f>IF($E139="","",'Daily Data'!F139)</f>
        <v/>
      </c>
      <c r="G139" s="32">
        <f>IF($E139="","",'Daily Data'!G139)</f>
        <v/>
      </c>
      <c r="H139" s="31">
        <f>IF($E139="","",F139-G139)</f>
        <v/>
      </c>
      <c r="I139" s="32">
        <f>IF($E139="","",'Daily Data'!H139)</f>
        <v/>
      </c>
      <c r="J139" s="31">
        <f>IF($E139="","",E139-H139-I139)</f>
        <v/>
      </c>
      <c r="K139" s="33">
        <f>IF($E139="","",IF(A139&lt;HLP_ChangeDate,HLP_Legacy,HLP_Current))</f>
        <v/>
      </c>
      <c r="L139" s="31">
        <f>IF($E139="","",J139/(1-K139))</f>
        <v/>
      </c>
      <c r="M139" s="31">
        <f>IF($E139="","",I139/(1-K139))</f>
        <v/>
      </c>
      <c r="N139" s="31">
        <f>IF($E139="","",(B139+C139+D139)*Rate_Builder)</f>
        <v/>
      </c>
      <c r="O139" s="31">
        <f>IF($E139="","",E139*K139/(1-K139))</f>
        <v/>
      </c>
      <c r="P139" s="34">
        <f>IF(OR($E139="",B139=0),"",L139/B139*10000)</f>
        <v/>
      </c>
      <c r="Q139" s="34">
        <f>IF(OR($E139="",C139=0),"",F139/C139*10000)</f>
        <v/>
      </c>
      <c r="R139" s="34">
        <f>IF(OR($E139="",D139=0),"",'Daily Data'!I139/D139*10000)</f>
        <v/>
      </c>
    </row>
    <row r="140">
      <c r="A140" s="30" t="n">
        <v>45794</v>
      </c>
      <c r="B140" s="31">
        <f>'Daily Data'!B140-'Daily Data'!D140</f>
        <v/>
      </c>
      <c r="C140" s="32">
        <f>'Daily Data'!D140</f>
        <v/>
      </c>
      <c r="D140" s="32">
        <f>'Daily Data'!C140</f>
        <v/>
      </c>
      <c r="E140" s="32">
        <f>IF('Daily Data'!E140="","",'Daily Data'!E140)</f>
        <v/>
      </c>
      <c r="F140" s="32">
        <f>IF($E140="","",'Daily Data'!F140)</f>
        <v/>
      </c>
      <c r="G140" s="32">
        <f>IF($E140="","",'Daily Data'!G140)</f>
        <v/>
      </c>
      <c r="H140" s="31">
        <f>IF($E140="","",F140-G140)</f>
        <v/>
      </c>
      <c r="I140" s="32">
        <f>IF($E140="","",'Daily Data'!H140)</f>
        <v/>
      </c>
      <c r="J140" s="31">
        <f>IF($E140="","",E140-H140-I140)</f>
        <v/>
      </c>
      <c r="K140" s="33">
        <f>IF($E140="","",IF(A140&lt;HLP_ChangeDate,HLP_Legacy,HLP_Current))</f>
        <v/>
      </c>
      <c r="L140" s="31">
        <f>IF($E140="","",J140/(1-K140))</f>
        <v/>
      </c>
      <c r="M140" s="31">
        <f>IF($E140="","",I140/(1-K140))</f>
        <v/>
      </c>
      <c r="N140" s="31">
        <f>IF($E140="","",(B140+C140+D140)*Rate_Builder)</f>
        <v/>
      </c>
      <c r="O140" s="31">
        <f>IF($E140="","",E140*K140/(1-K140))</f>
        <v/>
      </c>
      <c r="P140" s="34">
        <f>IF(OR($E140="",B140=0),"",L140/B140*10000)</f>
        <v/>
      </c>
      <c r="Q140" s="34">
        <f>IF(OR($E140="",C140=0),"",F140/C140*10000)</f>
        <v/>
      </c>
      <c r="R140" s="34">
        <f>IF(OR($E140="",D140=0),"",'Daily Data'!I140/D140*10000)</f>
        <v/>
      </c>
    </row>
    <row r="141">
      <c r="A141" s="30" t="n">
        <v>45795</v>
      </c>
      <c r="B141" s="31">
        <f>'Daily Data'!B141-'Daily Data'!D141</f>
        <v/>
      </c>
      <c r="C141" s="32">
        <f>'Daily Data'!D141</f>
        <v/>
      </c>
      <c r="D141" s="32">
        <f>'Daily Data'!C141</f>
        <v/>
      </c>
      <c r="E141" s="32">
        <f>IF('Daily Data'!E141="","",'Daily Data'!E141)</f>
        <v/>
      </c>
      <c r="F141" s="32">
        <f>IF($E141="","",'Daily Data'!F141)</f>
        <v/>
      </c>
      <c r="G141" s="32">
        <f>IF($E141="","",'Daily Data'!G141)</f>
        <v/>
      </c>
      <c r="H141" s="31">
        <f>IF($E141="","",F141-G141)</f>
        <v/>
      </c>
      <c r="I141" s="32">
        <f>IF($E141="","",'Daily Data'!H141)</f>
        <v/>
      </c>
      <c r="J141" s="31">
        <f>IF($E141="","",E141-H141-I141)</f>
        <v/>
      </c>
      <c r="K141" s="33">
        <f>IF($E141="","",IF(A141&lt;HLP_ChangeDate,HLP_Legacy,HLP_Current))</f>
        <v/>
      </c>
      <c r="L141" s="31">
        <f>IF($E141="","",J141/(1-K141))</f>
        <v/>
      </c>
      <c r="M141" s="31">
        <f>IF($E141="","",I141/(1-K141))</f>
        <v/>
      </c>
      <c r="N141" s="31">
        <f>IF($E141="","",(B141+C141+D141)*Rate_Builder)</f>
        <v/>
      </c>
      <c r="O141" s="31">
        <f>IF($E141="","",E141*K141/(1-K141))</f>
        <v/>
      </c>
      <c r="P141" s="34">
        <f>IF(OR($E141="",B141=0),"",L141/B141*10000)</f>
        <v/>
      </c>
      <c r="Q141" s="34">
        <f>IF(OR($E141="",C141=0),"",F141/C141*10000)</f>
        <v/>
      </c>
      <c r="R141" s="34">
        <f>IF(OR($E141="",D141=0),"",'Daily Data'!I141/D141*10000)</f>
        <v/>
      </c>
    </row>
    <row r="142">
      <c r="A142" s="30" t="n">
        <v>45796</v>
      </c>
      <c r="B142" s="31">
        <f>'Daily Data'!B142-'Daily Data'!D142</f>
        <v/>
      </c>
      <c r="C142" s="32">
        <f>'Daily Data'!D142</f>
        <v/>
      </c>
      <c r="D142" s="32">
        <f>'Daily Data'!C142</f>
        <v/>
      </c>
      <c r="E142" s="32">
        <f>IF('Daily Data'!E142="","",'Daily Data'!E142)</f>
        <v/>
      </c>
      <c r="F142" s="32">
        <f>IF($E142="","",'Daily Data'!F142)</f>
        <v/>
      </c>
      <c r="G142" s="32">
        <f>IF($E142="","",'Daily Data'!G142)</f>
        <v/>
      </c>
      <c r="H142" s="31">
        <f>IF($E142="","",F142-G142)</f>
        <v/>
      </c>
      <c r="I142" s="32">
        <f>IF($E142="","",'Daily Data'!H142)</f>
        <v/>
      </c>
      <c r="J142" s="31">
        <f>IF($E142="","",E142-H142-I142)</f>
        <v/>
      </c>
      <c r="K142" s="33">
        <f>IF($E142="","",IF(A142&lt;HLP_ChangeDate,HLP_Legacy,HLP_Current))</f>
        <v/>
      </c>
      <c r="L142" s="31">
        <f>IF($E142="","",J142/(1-K142))</f>
        <v/>
      </c>
      <c r="M142" s="31">
        <f>IF($E142="","",I142/(1-K142))</f>
        <v/>
      </c>
      <c r="N142" s="31">
        <f>IF($E142="","",(B142+C142+D142)*Rate_Builder)</f>
        <v/>
      </c>
      <c r="O142" s="31">
        <f>IF($E142="","",E142*K142/(1-K142))</f>
        <v/>
      </c>
      <c r="P142" s="34">
        <f>IF(OR($E142="",B142=0),"",L142/B142*10000)</f>
        <v/>
      </c>
      <c r="Q142" s="34">
        <f>IF(OR($E142="",C142=0),"",F142/C142*10000)</f>
        <v/>
      </c>
      <c r="R142" s="34">
        <f>IF(OR($E142="",D142=0),"",'Daily Data'!I142/D142*10000)</f>
        <v/>
      </c>
    </row>
    <row r="143">
      <c r="A143" s="30" t="n">
        <v>45797</v>
      </c>
      <c r="B143" s="31">
        <f>'Daily Data'!B143-'Daily Data'!D143</f>
        <v/>
      </c>
      <c r="C143" s="32">
        <f>'Daily Data'!D143</f>
        <v/>
      </c>
      <c r="D143" s="32">
        <f>'Daily Data'!C143</f>
        <v/>
      </c>
      <c r="E143" s="32">
        <f>IF('Daily Data'!E143="","",'Daily Data'!E143)</f>
        <v/>
      </c>
      <c r="F143" s="32">
        <f>IF($E143="","",'Daily Data'!F143)</f>
        <v/>
      </c>
      <c r="G143" s="32">
        <f>IF($E143="","",'Daily Data'!G143)</f>
        <v/>
      </c>
      <c r="H143" s="31">
        <f>IF($E143="","",F143-G143)</f>
        <v/>
      </c>
      <c r="I143" s="32">
        <f>IF($E143="","",'Daily Data'!H143)</f>
        <v/>
      </c>
      <c r="J143" s="31">
        <f>IF($E143="","",E143-H143-I143)</f>
        <v/>
      </c>
      <c r="K143" s="33">
        <f>IF($E143="","",IF(A143&lt;HLP_ChangeDate,HLP_Legacy,HLP_Current))</f>
        <v/>
      </c>
      <c r="L143" s="31">
        <f>IF($E143="","",J143/(1-K143))</f>
        <v/>
      </c>
      <c r="M143" s="31">
        <f>IF($E143="","",I143/(1-K143))</f>
        <v/>
      </c>
      <c r="N143" s="31">
        <f>IF($E143="","",(B143+C143+D143)*Rate_Builder)</f>
        <v/>
      </c>
      <c r="O143" s="31">
        <f>IF($E143="","",E143*K143/(1-K143))</f>
        <v/>
      </c>
      <c r="P143" s="34">
        <f>IF(OR($E143="",B143=0),"",L143/B143*10000)</f>
        <v/>
      </c>
      <c r="Q143" s="34">
        <f>IF(OR($E143="",C143=0),"",F143/C143*10000)</f>
        <v/>
      </c>
      <c r="R143" s="34">
        <f>IF(OR($E143="",D143=0),"",'Daily Data'!I143/D143*10000)</f>
        <v/>
      </c>
    </row>
    <row r="144">
      <c r="A144" s="30" t="n">
        <v>45798</v>
      </c>
      <c r="B144" s="31">
        <f>'Daily Data'!B144-'Daily Data'!D144</f>
        <v/>
      </c>
      <c r="C144" s="32">
        <f>'Daily Data'!D144</f>
        <v/>
      </c>
      <c r="D144" s="32">
        <f>'Daily Data'!C144</f>
        <v/>
      </c>
      <c r="E144" s="32">
        <f>IF('Daily Data'!E144="","",'Daily Data'!E144)</f>
        <v/>
      </c>
      <c r="F144" s="32">
        <f>IF($E144="","",'Daily Data'!F144)</f>
        <v/>
      </c>
      <c r="G144" s="32">
        <f>IF($E144="","",'Daily Data'!G144)</f>
        <v/>
      </c>
      <c r="H144" s="31">
        <f>IF($E144="","",F144-G144)</f>
        <v/>
      </c>
      <c r="I144" s="32">
        <f>IF($E144="","",'Daily Data'!H144)</f>
        <v/>
      </c>
      <c r="J144" s="31">
        <f>IF($E144="","",E144-H144-I144)</f>
        <v/>
      </c>
      <c r="K144" s="33">
        <f>IF($E144="","",IF(A144&lt;HLP_ChangeDate,HLP_Legacy,HLP_Current))</f>
        <v/>
      </c>
      <c r="L144" s="31">
        <f>IF($E144="","",J144/(1-K144))</f>
        <v/>
      </c>
      <c r="M144" s="31">
        <f>IF($E144="","",I144/(1-K144))</f>
        <v/>
      </c>
      <c r="N144" s="31">
        <f>IF($E144="","",(B144+C144+D144)*Rate_Builder)</f>
        <v/>
      </c>
      <c r="O144" s="31">
        <f>IF($E144="","",E144*K144/(1-K144))</f>
        <v/>
      </c>
      <c r="P144" s="34">
        <f>IF(OR($E144="",B144=0),"",L144/B144*10000)</f>
        <v/>
      </c>
      <c r="Q144" s="34">
        <f>IF(OR($E144="",C144=0),"",F144/C144*10000)</f>
        <v/>
      </c>
      <c r="R144" s="34">
        <f>IF(OR($E144="",D144=0),"",'Daily Data'!I144/D144*10000)</f>
        <v/>
      </c>
    </row>
    <row r="145">
      <c r="A145" s="30" t="n">
        <v>45799</v>
      </c>
      <c r="B145" s="31">
        <f>'Daily Data'!B145-'Daily Data'!D145</f>
        <v/>
      </c>
      <c r="C145" s="32">
        <f>'Daily Data'!D145</f>
        <v/>
      </c>
      <c r="D145" s="32">
        <f>'Daily Data'!C145</f>
        <v/>
      </c>
      <c r="E145" s="32">
        <f>IF('Daily Data'!E145="","",'Daily Data'!E145)</f>
        <v/>
      </c>
      <c r="F145" s="32">
        <f>IF($E145="","",'Daily Data'!F145)</f>
        <v/>
      </c>
      <c r="G145" s="32">
        <f>IF($E145="","",'Daily Data'!G145)</f>
        <v/>
      </c>
      <c r="H145" s="31">
        <f>IF($E145="","",F145-G145)</f>
        <v/>
      </c>
      <c r="I145" s="32">
        <f>IF($E145="","",'Daily Data'!H145)</f>
        <v/>
      </c>
      <c r="J145" s="31">
        <f>IF($E145="","",E145-H145-I145)</f>
        <v/>
      </c>
      <c r="K145" s="33">
        <f>IF($E145="","",IF(A145&lt;HLP_ChangeDate,HLP_Legacy,HLP_Current))</f>
        <v/>
      </c>
      <c r="L145" s="31">
        <f>IF($E145="","",J145/(1-K145))</f>
        <v/>
      </c>
      <c r="M145" s="31">
        <f>IF($E145="","",I145/(1-K145))</f>
        <v/>
      </c>
      <c r="N145" s="31">
        <f>IF($E145="","",(B145+C145+D145)*Rate_Builder)</f>
        <v/>
      </c>
      <c r="O145" s="31">
        <f>IF($E145="","",E145*K145/(1-K145))</f>
        <v/>
      </c>
      <c r="P145" s="34">
        <f>IF(OR($E145="",B145=0),"",L145/B145*10000)</f>
        <v/>
      </c>
      <c r="Q145" s="34">
        <f>IF(OR($E145="",C145=0),"",F145/C145*10000)</f>
        <v/>
      </c>
      <c r="R145" s="34">
        <f>IF(OR($E145="",D145=0),"",'Daily Data'!I145/D145*10000)</f>
        <v/>
      </c>
    </row>
    <row r="146">
      <c r="A146" s="30" t="n">
        <v>45800</v>
      </c>
      <c r="B146" s="31">
        <f>'Daily Data'!B146-'Daily Data'!D146</f>
        <v/>
      </c>
      <c r="C146" s="32">
        <f>'Daily Data'!D146</f>
        <v/>
      </c>
      <c r="D146" s="32">
        <f>'Daily Data'!C146</f>
        <v/>
      </c>
      <c r="E146" s="32">
        <f>IF('Daily Data'!E146="","",'Daily Data'!E146)</f>
        <v/>
      </c>
      <c r="F146" s="32">
        <f>IF($E146="","",'Daily Data'!F146)</f>
        <v/>
      </c>
      <c r="G146" s="32">
        <f>IF($E146="","",'Daily Data'!G146)</f>
        <v/>
      </c>
      <c r="H146" s="31">
        <f>IF($E146="","",F146-G146)</f>
        <v/>
      </c>
      <c r="I146" s="32">
        <f>IF($E146="","",'Daily Data'!H146)</f>
        <v/>
      </c>
      <c r="J146" s="31">
        <f>IF($E146="","",E146-H146-I146)</f>
        <v/>
      </c>
      <c r="K146" s="33">
        <f>IF($E146="","",IF(A146&lt;HLP_ChangeDate,HLP_Legacy,HLP_Current))</f>
        <v/>
      </c>
      <c r="L146" s="31">
        <f>IF($E146="","",J146/(1-K146))</f>
        <v/>
      </c>
      <c r="M146" s="31">
        <f>IF($E146="","",I146/(1-K146))</f>
        <v/>
      </c>
      <c r="N146" s="31">
        <f>IF($E146="","",(B146+C146+D146)*Rate_Builder)</f>
        <v/>
      </c>
      <c r="O146" s="31">
        <f>IF($E146="","",E146*K146/(1-K146))</f>
        <v/>
      </c>
      <c r="P146" s="34">
        <f>IF(OR($E146="",B146=0),"",L146/B146*10000)</f>
        <v/>
      </c>
      <c r="Q146" s="34">
        <f>IF(OR($E146="",C146=0),"",F146/C146*10000)</f>
        <v/>
      </c>
      <c r="R146" s="34">
        <f>IF(OR($E146="",D146=0),"",'Daily Data'!I146/D146*10000)</f>
        <v/>
      </c>
    </row>
    <row r="147">
      <c r="A147" s="30" t="n">
        <v>45801</v>
      </c>
      <c r="B147" s="31">
        <f>'Daily Data'!B147-'Daily Data'!D147</f>
        <v/>
      </c>
      <c r="C147" s="32">
        <f>'Daily Data'!D147</f>
        <v/>
      </c>
      <c r="D147" s="32">
        <f>'Daily Data'!C147</f>
        <v/>
      </c>
      <c r="E147" s="32">
        <f>IF('Daily Data'!E147="","",'Daily Data'!E147)</f>
        <v/>
      </c>
      <c r="F147" s="32">
        <f>IF($E147="","",'Daily Data'!F147)</f>
        <v/>
      </c>
      <c r="G147" s="32">
        <f>IF($E147="","",'Daily Data'!G147)</f>
        <v/>
      </c>
      <c r="H147" s="31">
        <f>IF($E147="","",F147-G147)</f>
        <v/>
      </c>
      <c r="I147" s="32">
        <f>IF($E147="","",'Daily Data'!H147)</f>
        <v/>
      </c>
      <c r="J147" s="31">
        <f>IF($E147="","",E147-H147-I147)</f>
        <v/>
      </c>
      <c r="K147" s="33">
        <f>IF($E147="","",IF(A147&lt;HLP_ChangeDate,HLP_Legacy,HLP_Current))</f>
        <v/>
      </c>
      <c r="L147" s="31">
        <f>IF($E147="","",J147/(1-K147))</f>
        <v/>
      </c>
      <c r="M147" s="31">
        <f>IF($E147="","",I147/(1-K147))</f>
        <v/>
      </c>
      <c r="N147" s="31">
        <f>IF($E147="","",(B147+C147+D147)*Rate_Builder)</f>
        <v/>
      </c>
      <c r="O147" s="31">
        <f>IF($E147="","",E147*K147/(1-K147))</f>
        <v/>
      </c>
      <c r="P147" s="34">
        <f>IF(OR($E147="",B147=0),"",L147/B147*10000)</f>
        <v/>
      </c>
      <c r="Q147" s="34">
        <f>IF(OR($E147="",C147=0),"",F147/C147*10000)</f>
        <v/>
      </c>
      <c r="R147" s="34">
        <f>IF(OR($E147="",D147=0),"",'Daily Data'!I147/D147*10000)</f>
        <v/>
      </c>
    </row>
    <row r="148">
      <c r="A148" s="30" t="n">
        <v>45802</v>
      </c>
      <c r="B148" s="31">
        <f>'Daily Data'!B148-'Daily Data'!D148</f>
        <v/>
      </c>
      <c r="C148" s="32">
        <f>'Daily Data'!D148</f>
        <v/>
      </c>
      <c r="D148" s="32">
        <f>'Daily Data'!C148</f>
        <v/>
      </c>
      <c r="E148" s="32">
        <f>IF('Daily Data'!E148="","",'Daily Data'!E148)</f>
        <v/>
      </c>
      <c r="F148" s="32">
        <f>IF($E148="","",'Daily Data'!F148)</f>
        <v/>
      </c>
      <c r="G148" s="32">
        <f>IF($E148="","",'Daily Data'!G148)</f>
        <v/>
      </c>
      <c r="H148" s="31">
        <f>IF($E148="","",F148-G148)</f>
        <v/>
      </c>
      <c r="I148" s="32">
        <f>IF($E148="","",'Daily Data'!H148)</f>
        <v/>
      </c>
      <c r="J148" s="31">
        <f>IF($E148="","",E148-H148-I148)</f>
        <v/>
      </c>
      <c r="K148" s="33">
        <f>IF($E148="","",IF(A148&lt;HLP_ChangeDate,HLP_Legacy,HLP_Current))</f>
        <v/>
      </c>
      <c r="L148" s="31">
        <f>IF($E148="","",J148/(1-K148))</f>
        <v/>
      </c>
      <c r="M148" s="31">
        <f>IF($E148="","",I148/(1-K148))</f>
        <v/>
      </c>
      <c r="N148" s="31">
        <f>IF($E148="","",(B148+C148+D148)*Rate_Builder)</f>
        <v/>
      </c>
      <c r="O148" s="31">
        <f>IF($E148="","",E148*K148/(1-K148))</f>
        <v/>
      </c>
      <c r="P148" s="34">
        <f>IF(OR($E148="",B148=0),"",L148/B148*10000)</f>
        <v/>
      </c>
      <c r="Q148" s="34">
        <f>IF(OR($E148="",C148=0),"",F148/C148*10000)</f>
        <v/>
      </c>
      <c r="R148" s="34">
        <f>IF(OR($E148="",D148=0),"",'Daily Data'!I148/D148*10000)</f>
        <v/>
      </c>
    </row>
    <row r="149">
      <c r="A149" s="30" t="n">
        <v>45803</v>
      </c>
      <c r="B149" s="31">
        <f>'Daily Data'!B149-'Daily Data'!D149</f>
        <v/>
      </c>
      <c r="C149" s="32">
        <f>'Daily Data'!D149</f>
        <v/>
      </c>
      <c r="D149" s="32">
        <f>'Daily Data'!C149</f>
        <v/>
      </c>
      <c r="E149" s="32">
        <f>IF('Daily Data'!E149="","",'Daily Data'!E149)</f>
        <v/>
      </c>
      <c r="F149" s="32">
        <f>IF($E149="","",'Daily Data'!F149)</f>
        <v/>
      </c>
      <c r="G149" s="32">
        <f>IF($E149="","",'Daily Data'!G149)</f>
        <v/>
      </c>
      <c r="H149" s="31">
        <f>IF($E149="","",F149-G149)</f>
        <v/>
      </c>
      <c r="I149" s="32">
        <f>IF($E149="","",'Daily Data'!H149)</f>
        <v/>
      </c>
      <c r="J149" s="31">
        <f>IF($E149="","",E149-H149-I149)</f>
        <v/>
      </c>
      <c r="K149" s="33">
        <f>IF($E149="","",IF(A149&lt;HLP_ChangeDate,HLP_Legacy,HLP_Current))</f>
        <v/>
      </c>
      <c r="L149" s="31">
        <f>IF($E149="","",J149/(1-K149))</f>
        <v/>
      </c>
      <c r="M149" s="31">
        <f>IF($E149="","",I149/(1-K149))</f>
        <v/>
      </c>
      <c r="N149" s="31">
        <f>IF($E149="","",(B149+C149+D149)*Rate_Builder)</f>
        <v/>
      </c>
      <c r="O149" s="31">
        <f>IF($E149="","",E149*K149/(1-K149))</f>
        <v/>
      </c>
      <c r="P149" s="34">
        <f>IF(OR($E149="",B149=0),"",L149/B149*10000)</f>
        <v/>
      </c>
      <c r="Q149" s="34">
        <f>IF(OR($E149="",C149=0),"",F149/C149*10000)</f>
        <v/>
      </c>
      <c r="R149" s="34">
        <f>IF(OR($E149="",D149=0),"",'Daily Data'!I149/D149*10000)</f>
        <v/>
      </c>
    </row>
    <row r="150">
      <c r="A150" s="30" t="n">
        <v>45804</v>
      </c>
      <c r="B150" s="31">
        <f>'Daily Data'!B150-'Daily Data'!D150</f>
        <v/>
      </c>
      <c r="C150" s="32">
        <f>'Daily Data'!D150</f>
        <v/>
      </c>
      <c r="D150" s="32">
        <f>'Daily Data'!C150</f>
        <v/>
      </c>
      <c r="E150" s="32">
        <f>IF('Daily Data'!E150="","",'Daily Data'!E150)</f>
        <v/>
      </c>
      <c r="F150" s="32">
        <f>IF($E150="","",'Daily Data'!F150)</f>
        <v/>
      </c>
      <c r="G150" s="32">
        <f>IF($E150="","",'Daily Data'!G150)</f>
        <v/>
      </c>
      <c r="H150" s="31">
        <f>IF($E150="","",F150-G150)</f>
        <v/>
      </c>
      <c r="I150" s="32">
        <f>IF($E150="","",'Daily Data'!H150)</f>
        <v/>
      </c>
      <c r="J150" s="31">
        <f>IF($E150="","",E150-H150-I150)</f>
        <v/>
      </c>
      <c r="K150" s="33">
        <f>IF($E150="","",IF(A150&lt;HLP_ChangeDate,HLP_Legacy,HLP_Current))</f>
        <v/>
      </c>
      <c r="L150" s="31">
        <f>IF($E150="","",J150/(1-K150))</f>
        <v/>
      </c>
      <c r="M150" s="31">
        <f>IF($E150="","",I150/(1-K150))</f>
        <v/>
      </c>
      <c r="N150" s="31">
        <f>IF($E150="","",(B150+C150+D150)*Rate_Builder)</f>
        <v/>
      </c>
      <c r="O150" s="31">
        <f>IF($E150="","",E150*K150/(1-K150))</f>
        <v/>
      </c>
      <c r="P150" s="34">
        <f>IF(OR($E150="",B150=0),"",L150/B150*10000)</f>
        <v/>
      </c>
      <c r="Q150" s="34">
        <f>IF(OR($E150="",C150=0),"",F150/C150*10000)</f>
        <v/>
      </c>
      <c r="R150" s="34">
        <f>IF(OR($E150="",D150=0),"",'Daily Data'!I150/D150*10000)</f>
        <v/>
      </c>
    </row>
    <row r="151">
      <c r="A151" s="30" t="n">
        <v>45805</v>
      </c>
      <c r="B151" s="31">
        <f>'Daily Data'!B151-'Daily Data'!D151</f>
        <v/>
      </c>
      <c r="C151" s="32">
        <f>'Daily Data'!D151</f>
        <v/>
      </c>
      <c r="D151" s="32">
        <f>'Daily Data'!C151</f>
        <v/>
      </c>
      <c r="E151" s="32">
        <f>IF('Daily Data'!E151="","",'Daily Data'!E151)</f>
        <v/>
      </c>
      <c r="F151" s="32">
        <f>IF($E151="","",'Daily Data'!F151)</f>
        <v/>
      </c>
      <c r="G151" s="32">
        <f>IF($E151="","",'Daily Data'!G151)</f>
        <v/>
      </c>
      <c r="H151" s="31">
        <f>IF($E151="","",F151-G151)</f>
        <v/>
      </c>
      <c r="I151" s="32">
        <f>IF($E151="","",'Daily Data'!H151)</f>
        <v/>
      </c>
      <c r="J151" s="31">
        <f>IF($E151="","",E151-H151-I151)</f>
        <v/>
      </c>
      <c r="K151" s="33">
        <f>IF($E151="","",IF(A151&lt;HLP_ChangeDate,HLP_Legacy,HLP_Current))</f>
        <v/>
      </c>
      <c r="L151" s="31">
        <f>IF($E151="","",J151/(1-K151))</f>
        <v/>
      </c>
      <c r="M151" s="31">
        <f>IF($E151="","",I151/(1-K151))</f>
        <v/>
      </c>
      <c r="N151" s="31">
        <f>IF($E151="","",(B151+C151+D151)*Rate_Builder)</f>
        <v/>
      </c>
      <c r="O151" s="31">
        <f>IF($E151="","",E151*K151/(1-K151))</f>
        <v/>
      </c>
      <c r="P151" s="34">
        <f>IF(OR($E151="",B151=0),"",L151/B151*10000)</f>
        <v/>
      </c>
      <c r="Q151" s="34">
        <f>IF(OR($E151="",C151=0),"",F151/C151*10000)</f>
        <v/>
      </c>
      <c r="R151" s="34">
        <f>IF(OR($E151="",D151=0),"",'Daily Data'!I151/D151*10000)</f>
        <v/>
      </c>
    </row>
    <row r="152">
      <c r="A152" s="30" t="n">
        <v>45806</v>
      </c>
      <c r="B152" s="31">
        <f>'Daily Data'!B152-'Daily Data'!D152</f>
        <v/>
      </c>
      <c r="C152" s="32">
        <f>'Daily Data'!D152</f>
        <v/>
      </c>
      <c r="D152" s="32">
        <f>'Daily Data'!C152</f>
        <v/>
      </c>
      <c r="E152" s="32">
        <f>IF('Daily Data'!E152="","",'Daily Data'!E152)</f>
        <v/>
      </c>
      <c r="F152" s="32">
        <f>IF($E152="","",'Daily Data'!F152)</f>
        <v/>
      </c>
      <c r="G152" s="32">
        <f>IF($E152="","",'Daily Data'!G152)</f>
        <v/>
      </c>
      <c r="H152" s="31">
        <f>IF($E152="","",F152-G152)</f>
        <v/>
      </c>
      <c r="I152" s="32">
        <f>IF($E152="","",'Daily Data'!H152)</f>
        <v/>
      </c>
      <c r="J152" s="31">
        <f>IF($E152="","",E152-H152-I152)</f>
        <v/>
      </c>
      <c r="K152" s="33">
        <f>IF($E152="","",IF(A152&lt;HLP_ChangeDate,HLP_Legacy,HLP_Current))</f>
        <v/>
      </c>
      <c r="L152" s="31">
        <f>IF($E152="","",J152/(1-K152))</f>
        <v/>
      </c>
      <c r="M152" s="31">
        <f>IF($E152="","",I152/(1-K152))</f>
        <v/>
      </c>
      <c r="N152" s="31">
        <f>IF($E152="","",(B152+C152+D152)*Rate_Builder)</f>
        <v/>
      </c>
      <c r="O152" s="31">
        <f>IF($E152="","",E152*K152/(1-K152))</f>
        <v/>
      </c>
      <c r="P152" s="34">
        <f>IF(OR($E152="",B152=0),"",L152/B152*10000)</f>
        <v/>
      </c>
      <c r="Q152" s="34">
        <f>IF(OR($E152="",C152=0),"",F152/C152*10000)</f>
        <v/>
      </c>
      <c r="R152" s="34">
        <f>IF(OR($E152="",D152=0),"",'Daily Data'!I152/D152*10000)</f>
        <v/>
      </c>
    </row>
    <row r="153">
      <c r="A153" s="30" t="n">
        <v>45807</v>
      </c>
      <c r="B153" s="31">
        <f>'Daily Data'!B153-'Daily Data'!D153</f>
        <v/>
      </c>
      <c r="C153" s="32">
        <f>'Daily Data'!D153</f>
        <v/>
      </c>
      <c r="D153" s="32">
        <f>'Daily Data'!C153</f>
        <v/>
      </c>
      <c r="E153" s="32">
        <f>IF('Daily Data'!E153="","",'Daily Data'!E153)</f>
        <v/>
      </c>
      <c r="F153" s="32">
        <f>IF($E153="","",'Daily Data'!F153)</f>
        <v/>
      </c>
      <c r="G153" s="32">
        <f>IF($E153="","",'Daily Data'!G153)</f>
        <v/>
      </c>
      <c r="H153" s="31">
        <f>IF($E153="","",F153-G153)</f>
        <v/>
      </c>
      <c r="I153" s="32">
        <f>IF($E153="","",'Daily Data'!H153)</f>
        <v/>
      </c>
      <c r="J153" s="31">
        <f>IF($E153="","",E153-H153-I153)</f>
        <v/>
      </c>
      <c r="K153" s="33">
        <f>IF($E153="","",IF(A153&lt;HLP_ChangeDate,HLP_Legacy,HLP_Current))</f>
        <v/>
      </c>
      <c r="L153" s="31">
        <f>IF($E153="","",J153/(1-K153))</f>
        <v/>
      </c>
      <c r="M153" s="31">
        <f>IF($E153="","",I153/(1-K153))</f>
        <v/>
      </c>
      <c r="N153" s="31">
        <f>IF($E153="","",(B153+C153+D153)*Rate_Builder)</f>
        <v/>
      </c>
      <c r="O153" s="31">
        <f>IF($E153="","",E153*K153/(1-K153))</f>
        <v/>
      </c>
      <c r="P153" s="34">
        <f>IF(OR($E153="",B153=0),"",L153/B153*10000)</f>
        <v/>
      </c>
      <c r="Q153" s="34">
        <f>IF(OR($E153="",C153=0),"",F153/C153*10000)</f>
        <v/>
      </c>
      <c r="R153" s="34">
        <f>IF(OR($E153="",D153=0),"",'Daily Data'!I153/D153*10000)</f>
        <v/>
      </c>
    </row>
    <row r="154">
      <c r="A154" s="30" t="n">
        <v>45808</v>
      </c>
      <c r="B154" s="31">
        <f>'Daily Data'!B154-'Daily Data'!D154</f>
        <v/>
      </c>
      <c r="C154" s="32">
        <f>'Daily Data'!D154</f>
        <v/>
      </c>
      <c r="D154" s="32">
        <f>'Daily Data'!C154</f>
        <v/>
      </c>
      <c r="E154" s="32">
        <f>IF('Daily Data'!E154="","",'Daily Data'!E154)</f>
        <v/>
      </c>
      <c r="F154" s="32">
        <f>IF($E154="","",'Daily Data'!F154)</f>
        <v/>
      </c>
      <c r="G154" s="32">
        <f>IF($E154="","",'Daily Data'!G154)</f>
        <v/>
      </c>
      <c r="H154" s="31">
        <f>IF($E154="","",F154-G154)</f>
        <v/>
      </c>
      <c r="I154" s="32">
        <f>IF($E154="","",'Daily Data'!H154)</f>
        <v/>
      </c>
      <c r="J154" s="31">
        <f>IF($E154="","",E154-H154-I154)</f>
        <v/>
      </c>
      <c r="K154" s="33">
        <f>IF($E154="","",IF(A154&lt;HLP_ChangeDate,HLP_Legacy,HLP_Current))</f>
        <v/>
      </c>
      <c r="L154" s="31">
        <f>IF($E154="","",J154/(1-K154))</f>
        <v/>
      </c>
      <c r="M154" s="31">
        <f>IF($E154="","",I154/(1-K154))</f>
        <v/>
      </c>
      <c r="N154" s="31">
        <f>IF($E154="","",(B154+C154+D154)*Rate_Builder)</f>
        <v/>
      </c>
      <c r="O154" s="31">
        <f>IF($E154="","",E154*K154/(1-K154))</f>
        <v/>
      </c>
      <c r="P154" s="34">
        <f>IF(OR($E154="",B154=0),"",L154/B154*10000)</f>
        <v/>
      </c>
      <c r="Q154" s="34">
        <f>IF(OR($E154="",C154=0),"",F154/C154*10000)</f>
        <v/>
      </c>
      <c r="R154" s="34">
        <f>IF(OR($E154="",D154=0),"",'Daily Data'!I154/D154*10000)</f>
        <v/>
      </c>
    </row>
    <row r="155">
      <c r="A155" s="30" t="n">
        <v>45809</v>
      </c>
      <c r="B155" s="31">
        <f>'Daily Data'!B155-'Daily Data'!D155</f>
        <v/>
      </c>
      <c r="C155" s="32">
        <f>'Daily Data'!D155</f>
        <v/>
      </c>
      <c r="D155" s="32">
        <f>'Daily Data'!C155</f>
        <v/>
      </c>
      <c r="E155" s="32">
        <f>IF('Daily Data'!E155="","",'Daily Data'!E155)</f>
        <v/>
      </c>
      <c r="F155" s="32">
        <f>IF($E155="","",'Daily Data'!F155)</f>
        <v/>
      </c>
      <c r="G155" s="32">
        <f>IF($E155="","",'Daily Data'!G155)</f>
        <v/>
      </c>
      <c r="H155" s="31">
        <f>IF($E155="","",F155-G155)</f>
        <v/>
      </c>
      <c r="I155" s="32">
        <f>IF($E155="","",'Daily Data'!H155)</f>
        <v/>
      </c>
      <c r="J155" s="31">
        <f>IF($E155="","",E155-H155-I155)</f>
        <v/>
      </c>
      <c r="K155" s="33">
        <f>IF($E155="","",IF(A155&lt;HLP_ChangeDate,HLP_Legacy,HLP_Current))</f>
        <v/>
      </c>
      <c r="L155" s="31">
        <f>IF($E155="","",J155/(1-K155))</f>
        <v/>
      </c>
      <c r="M155" s="31">
        <f>IF($E155="","",I155/(1-K155))</f>
        <v/>
      </c>
      <c r="N155" s="31">
        <f>IF($E155="","",(B155+C155+D155)*Rate_Builder)</f>
        <v/>
      </c>
      <c r="O155" s="31">
        <f>IF($E155="","",E155*K155/(1-K155))</f>
        <v/>
      </c>
      <c r="P155" s="34">
        <f>IF(OR($E155="",B155=0),"",L155/B155*10000)</f>
        <v/>
      </c>
      <c r="Q155" s="34">
        <f>IF(OR($E155="",C155=0),"",F155/C155*10000)</f>
        <v/>
      </c>
      <c r="R155" s="34">
        <f>IF(OR($E155="",D155=0),"",'Daily Data'!I155/D155*10000)</f>
        <v/>
      </c>
    </row>
    <row r="156">
      <c r="A156" s="30" t="n">
        <v>45810</v>
      </c>
      <c r="B156" s="31">
        <f>'Daily Data'!B156-'Daily Data'!D156</f>
        <v/>
      </c>
      <c r="C156" s="32">
        <f>'Daily Data'!D156</f>
        <v/>
      </c>
      <c r="D156" s="32">
        <f>'Daily Data'!C156</f>
        <v/>
      </c>
      <c r="E156" s="32">
        <f>IF('Daily Data'!E156="","",'Daily Data'!E156)</f>
        <v/>
      </c>
      <c r="F156" s="32">
        <f>IF($E156="","",'Daily Data'!F156)</f>
        <v/>
      </c>
      <c r="G156" s="32">
        <f>IF($E156="","",'Daily Data'!G156)</f>
        <v/>
      </c>
      <c r="H156" s="31">
        <f>IF($E156="","",F156-G156)</f>
        <v/>
      </c>
      <c r="I156" s="32">
        <f>IF($E156="","",'Daily Data'!H156)</f>
        <v/>
      </c>
      <c r="J156" s="31">
        <f>IF($E156="","",E156-H156-I156)</f>
        <v/>
      </c>
      <c r="K156" s="33">
        <f>IF($E156="","",IF(A156&lt;HLP_ChangeDate,HLP_Legacy,HLP_Current))</f>
        <v/>
      </c>
      <c r="L156" s="31">
        <f>IF($E156="","",J156/(1-K156))</f>
        <v/>
      </c>
      <c r="M156" s="31">
        <f>IF($E156="","",I156/(1-K156))</f>
        <v/>
      </c>
      <c r="N156" s="31">
        <f>IF($E156="","",(B156+C156+D156)*Rate_Builder)</f>
        <v/>
      </c>
      <c r="O156" s="31">
        <f>IF($E156="","",E156*K156/(1-K156))</f>
        <v/>
      </c>
      <c r="P156" s="34">
        <f>IF(OR($E156="",B156=0),"",L156/B156*10000)</f>
        <v/>
      </c>
      <c r="Q156" s="34">
        <f>IF(OR($E156="",C156=0),"",F156/C156*10000)</f>
        <v/>
      </c>
      <c r="R156" s="34">
        <f>IF(OR($E156="",D156=0),"",'Daily Data'!I156/D156*10000)</f>
        <v/>
      </c>
    </row>
    <row r="157">
      <c r="A157" s="30" t="n">
        <v>45811</v>
      </c>
      <c r="B157" s="31">
        <f>'Daily Data'!B157-'Daily Data'!D157</f>
        <v/>
      </c>
      <c r="C157" s="32">
        <f>'Daily Data'!D157</f>
        <v/>
      </c>
      <c r="D157" s="32">
        <f>'Daily Data'!C157</f>
        <v/>
      </c>
      <c r="E157" s="32">
        <f>IF('Daily Data'!E157="","",'Daily Data'!E157)</f>
        <v/>
      </c>
      <c r="F157" s="32">
        <f>IF($E157="","",'Daily Data'!F157)</f>
        <v/>
      </c>
      <c r="G157" s="32">
        <f>IF($E157="","",'Daily Data'!G157)</f>
        <v/>
      </c>
      <c r="H157" s="31">
        <f>IF($E157="","",F157-G157)</f>
        <v/>
      </c>
      <c r="I157" s="32">
        <f>IF($E157="","",'Daily Data'!H157)</f>
        <v/>
      </c>
      <c r="J157" s="31">
        <f>IF($E157="","",E157-H157-I157)</f>
        <v/>
      </c>
      <c r="K157" s="33">
        <f>IF($E157="","",IF(A157&lt;HLP_ChangeDate,HLP_Legacy,HLP_Current))</f>
        <v/>
      </c>
      <c r="L157" s="31">
        <f>IF($E157="","",J157/(1-K157))</f>
        <v/>
      </c>
      <c r="M157" s="31">
        <f>IF($E157="","",I157/(1-K157))</f>
        <v/>
      </c>
      <c r="N157" s="31">
        <f>IF($E157="","",(B157+C157+D157)*Rate_Builder)</f>
        <v/>
      </c>
      <c r="O157" s="31">
        <f>IF($E157="","",E157*K157/(1-K157))</f>
        <v/>
      </c>
      <c r="P157" s="34">
        <f>IF(OR($E157="",B157=0),"",L157/B157*10000)</f>
        <v/>
      </c>
      <c r="Q157" s="34">
        <f>IF(OR($E157="",C157=0),"",F157/C157*10000)</f>
        <v/>
      </c>
      <c r="R157" s="34">
        <f>IF(OR($E157="",D157=0),"",'Daily Data'!I157/D157*10000)</f>
        <v/>
      </c>
    </row>
    <row r="158">
      <c r="A158" s="30" t="n">
        <v>45812</v>
      </c>
      <c r="B158" s="31">
        <f>'Daily Data'!B158-'Daily Data'!D158</f>
        <v/>
      </c>
      <c r="C158" s="32">
        <f>'Daily Data'!D158</f>
        <v/>
      </c>
      <c r="D158" s="32">
        <f>'Daily Data'!C158</f>
        <v/>
      </c>
      <c r="E158" s="32">
        <f>IF('Daily Data'!E158="","",'Daily Data'!E158)</f>
        <v/>
      </c>
      <c r="F158" s="32">
        <f>IF($E158="","",'Daily Data'!F158)</f>
        <v/>
      </c>
      <c r="G158" s="32">
        <f>IF($E158="","",'Daily Data'!G158)</f>
        <v/>
      </c>
      <c r="H158" s="31">
        <f>IF($E158="","",F158-G158)</f>
        <v/>
      </c>
      <c r="I158" s="32">
        <f>IF($E158="","",'Daily Data'!H158)</f>
        <v/>
      </c>
      <c r="J158" s="31">
        <f>IF($E158="","",E158-H158-I158)</f>
        <v/>
      </c>
      <c r="K158" s="33">
        <f>IF($E158="","",IF(A158&lt;HLP_ChangeDate,HLP_Legacy,HLP_Current))</f>
        <v/>
      </c>
      <c r="L158" s="31">
        <f>IF($E158="","",J158/(1-K158))</f>
        <v/>
      </c>
      <c r="M158" s="31">
        <f>IF($E158="","",I158/(1-K158))</f>
        <v/>
      </c>
      <c r="N158" s="31">
        <f>IF($E158="","",(B158+C158+D158)*Rate_Builder)</f>
        <v/>
      </c>
      <c r="O158" s="31">
        <f>IF($E158="","",E158*K158/(1-K158))</f>
        <v/>
      </c>
      <c r="P158" s="34">
        <f>IF(OR($E158="",B158=0),"",L158/B158*10000)</f>
        <v/>
      </c>
      <c r="Q158" s="34">
        <f>IF(OR($E158="",C158=0),"",F158/C158*10000)</f>
        <v/>
      </c>
      <c r="R158" s="34">
        <f>IF(OR($E158="",D158=0),"",'Daily Data'!I158/D158*10000)</f>
        <v/>
      </c>
    </row>
    <row r="159">
      <c r="A159" s="30" t="n">
        <v>45813</v>
      </c>
      <c r="B159" s="31">
        <f>'Daily Data'!B159-'Daily Data'!D159</f>
        <v/>
      </c>
      <c r="C159" s="32">
        <f>'Daily Data'!D159</f>
        <v/>
      </c>
      <c r="D159" s="32">
        <f>'Daily Data'!C159</f>
        <v/>
      </c>
      <c r="E159" s="32">
        <f>IF('Daily Data'!E159="","",'Daily Data'!E159)</f>
        <v/>
      </c>
      <c r="F159" s="32">
        <f>IF($E159="","",'Daily Data'!F159)</f>
        <v/>
      </c>
      <c r="G159" s="32">
        <f>IF($E159="","",'Daily Data'!G159)</f>
        <v/>
      </c>
      <c r="H159" s="31">
        <f>IF($E159="","",F159-G159)</f>
        <v/>
      </c>
      <c r="I159" s="32">
        <f>IF($E159="","",'Daily Data'!H159)</f>
        <v/>
      </c>
      <c r="J159" s="31">
        <f>IF($E159="","",E159-H159-I159)</f>
        <v/>
      </c>
      <c r="K159" s="33">
        <f>IF($E159="","",IF(A159&lt;HLP_ChangeDate,HLP_Legacy,HLP_Current))</f>
        <v/>
      </c>
      <c r="L159" s="31">
        <f>IF($E159="","",J159/(1-K159))</f>
        <v/>
      </c>
      <c r="M159" s="31">
        <f>IF($E159="","",I159/(1-K159))</f>
        <v/>
      </c>
      <c r="N159" s="31">
        <f>IF($E159="","",(B159+C159+D159)*Rate_Builder)</f>
        <v/>
      </c>
      <c r="O159" s="31">
        <f>IF($E159="","",E159*K159/(1-K159))</f>
        <v/>
      </c>
      <c r="P159" s="34">
        <f>IF(OR($E159="",B159=0),"",L159/B159*10000)</f>
        <v/>
      </c>
      <c r="Q159" s="34">
        <f>IF(OR($E159="",C159=0),"",F159/C159*10000)</f>
        <v/>
      </c>
      <c r="R159" s="34">
        <f>IF(OR($E159="",D159=0),"",'Daily Data'!I159/D159*10000)</f>
        <v/>
      </c>
    </row>
    <row r="160">
      <c r="A160" s="30" t="n">
        <v>45814</v>
      </c>
      <c r="B160" s="31">
        <f>'Daily Data'!B160-'Daily Data'!D160</f>
        <v/>
      </c>
      <c r="C160" s="32">
        <f>'Daily Data'!D160</f>
        <v/>
      </c>
      <c r="D160" s="32">
        <f>'Daily Data'!C160</f>
        <v/>
      </c>
      <c r="E160" s="32">
        <f>IF('Daily Data'!E160="","",'Daily Data'!E160)</f>
        <v/>
      </c>
      <c r="F160" s="32">
        <f>IF($E160="","",'Daily Data'!F160)</f>
        <v/>
      </c>
      <c r="G160" s="32">
        <f>IF($E160="","",'Daily Data'!G160)</f>
        <v/>
      </c>
      <c r="H160" s="31">
        <f>IF($E160="","",F160-G160)</f>
        <v/>
      </c>
      <c r="I160" s="32">
        <f>IF($E160="","",'Daily Data'!H160)</f>
        <v/>
      </c>
      <c r="J160" s="31">
        <f>IF($E160="","",E160-H160-I160)</f>
        <v/>
      </c>
      <c r="K160" s="33">
        <f>IF($E160="","",IF(A160&lt;HLP_ChangeDate,HLP_Legacy,HLP_Current))</f>
        <v/>
      </c>
      <c r="L160" s="31">
        <f>IF($E160="","",J160/(1-K160))</f>
        <v/>
      </c>
      <c r="M160" s="31">
        <f>IF($E160="","",I160/(1-K160))</f>
        <v/>
      </c>
      <c r="N160" s="31">
        <f>IF($E160="","",(B160+C160+D160)*Rate_Builder)</f>
        <v/>
      </c>
      <c r="O160" s="31">
        <f>IF($E160="","",E160*K160/(1-K160))</f>
        <v/>
      </c>
      <c r="P160" s="34">
        <f>IF(OR($E160="",B160=0),"",L160/B160*10000)</f>
        <v/>
      </c>
      <c r="Q160" s="34">
        <f>IF(OR($E160="",C160=0),"",F160/C160*10000)</f>
        <v/>
      </c>
      <c r="R160" s="34">
        <f>IF(OR($E160="",D160=0),"",'Daily Data'!I160/D160*10000)</f>
        <v/>
      </c>
    </row>
    <row r="161">
      <c r="A161" s="30" t="n">
        <v>45815</v>
      </c>
      <c r="B161" s="31">
        <f>'Daily Data'!B161-'Daily Data'!D161</f>
        <v/>
      </c>
      <c r="C161" s="32">
        <f>'Daily Data'!D161</f>
        <v/>
      </c>
      <c r="D161" s="32">
        <f>'Daily Data'!C161</f>
        <v/>
      </c>
      <c r="E161" s="32">
        <f>IF('Daily Data'!E161="","",'Daily Data'!E161)</f>
        <v/>
      </c>
      <c r="F161" s="32">
        <f>IF($E161="","",'Daily Data'!F161)</f>
        <v/>
      </c>
      <c r="G161" s="32">
        <f>IF($E161="","",'Daily Data'!G161)</f>
        <v/>
      </c>
      <c r="H161" s="31">
        <f>IF($E161="","",F161-G161)</f>
        <v/>
      </c>
      <c r="I161" s="32">
        <f>IF($E161="","",'Daily Data'!H161)</f>
        <v/>
      </c>
      <c r="J161" s="31">
        <f>IF($E161="","",E161-H161-I161)</f>
        <v/>
      </c>
      <c r="K161" s="33">
        <f>IF($E161="","",IF(A161&lt;HLP_ChangeDate,HLP_Legacy,HLP_Current))</f>
        <v/>
      </c>
      <c r="L161" s="31">
        <f>IF($E161="","",J161/(1-K161))</f>
        <v/>
      </c>
      <c r="M161" s="31">
        <f>IF($E161="","",I161/(1-K161))</f>
        <v/>
      </c>
      <c r="N161" s="31">
        <f>IF($E161="","",(B161+C161+D161)*Rate_Builder)</f>
        <v/>
      </c>
      <c r="O161" s="31">
        <f>IF($E161="","",E161*K161/(1-K161))</f>
        <v/>
      </c>
      <c r="P161" s="34">
        <f>IF(OR($E161="",B161=0),"",L161/B161*10000)</f>
        <v/>
      </c>
      <c r="Q161" s="34">
        <f>IF(OR($E161="",C161=0),"",F161/C161*10000)</f>
        <v/>
      </c>
      <c r="R161" s="34">
        <f>IF(OR($E161="",D161=0),"",'Daily Data'!I161/D161*10000)</f>
        <v/>
      </c>
    </row>
    <row r="162">
      <c r="A162" s="30" t="n">
        <v>45816</v>
      </c>
      <c r="B162" s="31">
        <f>'Daily Data'!B162-'Daily Data'!D162</f>
        <v/>
      </c>
      <c r="C162" s="32">
        <f>'Daily Data'!D162</f>
        <v/>
      </c>
      <c r="D162" s="32">
        <f>'Daily Data'!C162</f>
        <v/>
      </c>
      <c r="E162" s="32">
        <f>IF('Daily Data'!E162="","",'Daily Data'!E162)</f>
        <v/>
      </c>
      <c r="F162" s="32">
        <f>IF($E162="","",'Daily Data'!F162)</f>
        <v/>
      </c>
      <c r="G162" s="32">
        <f>IF($E162="","",'Daily Data'!G162)</f>
        <v/>
      </c>
      <c r="H162" s="31">
        <f>IF($E162="","",F162-G162)</f>
        <v/>
      </c>
      <c r="I162" s="32">
        <f>IF($E162="","",'Daily Data'!H162)</f>
        <v/>
      </c>
      <c r="J162" s="31">
        <f>IF($E162="","",E162-H162-I162)</f>
        <v/>
      </c>
      <c r="K162" s="33">
        <f>IF($E162="","",IF(A162&lt;HLP_ChangeDate,HLP_Legacy,HLP_Current))</f>
        <v/>
      </c>
      <c r="L162" s="31">
        <f>IF($E162="","",J162/(1-K162))</f>
        <v/>
      </c>
      <c r="M162" s="31">
        <f>IF($E162="","",I162/(1-K162))</f>
        <v/>
      </c>
      <c r="N162" s="31">
        <f>IF($E162="","",(B162+C162+D162)*Rate_Builder)</f>
        <v/>
      </c>
      <c r="O162" s="31">
        <f>IF($E162="","",E162*K162/(1-K162))</f>
        <v/>
      </c>
      <c r="P162" s="34">
        <f>IF(OR($E162="",B162=0),"",L162/B162*10000)</f>
        <v/>
      </c>
      <c r="Q162" s="34">
        <f>IF(OR($E162="",C162=0),"",F162/C162*10000)</f>
        <v/>
      </c>
      <c r="R162" s="34">
        <f>IF(OR($E162="",D162=0),"",'Daily Data'!I162/D162*10000)</f>
        <v/>
      </c>
    </row>
    <row r="163">
      <c r="A163" s="30" t="n">
        <v>45817</v>
      </c>
      <c r="B163" s="31">
        <f>'Daily Data'!B163-'Daily Data'!D163</f>
        <v/>
      </c>
      <c r="C163" s="32">
        <f>'Daily Data'!D163</f>
        <v/>
      </c>
      <c r="D163" s="32">
        <f>'Daily Data'!C163</f>
        <v/>
      </c>
      <c r="E163" s="32">
        <f>IF('Daily Data'!E163="","",'Daily Data'!E163)</f>
        <v/>
      </c>
      <c r="F163" s="32">
        <f>IF($E163="","",'Daily Data'!F163)</f>
        <v/>
      </c>
      <c r="G163" s="32">
        <f>IF($E163="","",'Daily Data'!G163)</f>
        <v/>
      </c>
      <c r="H163" s="31">
        <f>IF($E163="","",F163-G163)</f>
        <v/>
      </c>
      <c r="I163" s="32">
        <f>IF($E163="","",'Daily Data'!H163)</f>
        <v/>
      </c>
      <c r="J163" s="31">
        <f>IF($E163="","",E163-H163-I163)</f>
        <v/>
      </c>
      <c r="K163" s="33">
        <f>IF($E163="","",IF(A163&lt;HLP_ChangeDate,HLP_Legacy,HLP_Current))</f>
        <v/>
      </c>
      <c r="L163" s="31">
        <f>IF($E163="","",J163/(1-K163))</f>
        <v/>
      </c>
      <c r="M163" s="31">
        <f>IF($E163="","",I163/(1-K163))</f>
        <v/>
      </c>
      <c r="N163" s="31">
        <f>IF($E163="","",(B163+C163+D163)*Rate_Builder)</f>
        <v/>
      </c>
      <c r="O163" s="31">
        <f>IF($E163="","",E163*K163/(1-K163))</f>
        <v/>
      </c>
      <c r="P163" s="34">
        <f>IF(OR($E163="",B163=0),"",L163/B163*10000)</f>
        <v/>
      </c>
      <c r="Q163" s="34">
        <f>IF(OR($E163="",C163=0),"",F163/C163*10000)</f>
        <v/>
      </c>
      <c r="R163" s="34">
        <f>IF(OR($E163="",D163=0),"",'Daily Data'!I163/D163*10000)</f>
        <v/>
      </c>
    </row>
    <row r="164">
      <c r="A164" s="30" t="n">
        <v>45818</v>
      </c>
      <c r="B164" s="31">
        <f>'Daily Data'!B164-'Daily Data'!D164</f>
        <v/>
      </c>
      <c r="C164" s="32">
        <f>'Daily Data'!D164</f>
        <v/>
      </c>
      <c r="D164" s="32">
        <f>'Daily Data'!C164</f>
        <v/>
      </c>
      <c r="E164" s="32">
        <f>IF('Daily Data'!E164="","",'Daily Data'!E164)</f>
        <v/>
      </c>
      <c r="F164" s="32">
        <f>IF($E164="","",'Daily Data'!F164)</f>
        <v/>
      </c>
      <c r="G164" s="32">
        <f>IF($E164="","",'Daily Data'!G164)</f>
        <v/>
      </c>
      <c r="H164" s="31">
        <f>IF($E164="","",F164-G164)</f>
        <v/>
      </c>
      <c r="I164" s="32">
        <f>IF($E164="","",'Daily Data'!H164)</f>
        <v/>
      </c>
      <c r="J164" s="31">
        <f>IF($E164="","",E164-H164-I164)</f>
        <v/>
      </c>
      <c r="K164" s="33">
        <f>IF($E164="","",IF(A164&lt;HLP_ChangeDate,HLP_Legacy,HLP_Current))</f>
        <v/>
      </c>
      <c r="L164" s="31">
        <f>IF($E164="","",J164/(1-K164))</f>
        <v/>
      </c>
      <c r="M164" s="31">
        <f>IF($E164="","",I164/(1-K164))</f>
        <v/>
      </c>
      <c r="N164" s="31">
        <f>IF($E164="","",(B164+C164+D164)*Rate_Builder)</f>
        <v/>
      </c>
      <c r="O164" s="31">
        <f>IF($E164="","",E164*K164/(1-K164))</f>
        <v/>
      </c>
      <c r="P164" s="34">
        <f>IF(OR($E164="",B164=0),"",L164/B164*10000)</f>
        <v/>
      </c>
      <c r="Q164" s="34">
        <f>IF(OR($E164="",C164=0),"",F164/C164*10000)</f>
        <v/>
      </c>
      <c r="R164" s="34">
        <f>IF(OR($E164="",D164=0),"",'Daily Data'!I164/D164*10000)</f>
        <v/>
      </c>
    </row>
    <row r="165">
      <c r="A165" s="30" t="n">
        <v>45819</v>
      </c>
      <c r="B165" s="31">
        <f>'Daily Data'!B165-'Daily Data'!D165</f>
        <v/>
      </c>
      <c r="C165" s="32">
        <f>'Daily Data'!D165</f>
        <v/>
      </c>
      <c r="D165" s="32">
        <f>'Daily Data'!C165</f>
        <v/>
      </c>
      <c r="E165" s="32">
        <f>IF('Daily Data'!E165="","",'Daily Data'!E165)</f>
        <v/>
      </c>
      <c r="F165" s="32">
        <f>IF($E165="","",'Daily Data'!F165)</f>
        <v/>
      </c>
      <c r="G165" s="32">
        <f>IF($E165="","",'Daily Data'!G165)</f>
        <v/>
      </c>
      <c r="H165" s="31">
        <f>IF($E165="","",F165-G165)</f>
        <v/>
      </c>
      <c r="I165" s="32">
        <f>IF($E165="","",'Daily Data'!H165)</f>
        <v/>
      </c>
      <c r="J165" s="31">
        <f>IF($E165="","",E165-H165-I165)</f>
        <v/>
      </c>
      <c r="K165" s="33">
        <f>IF($E165="","",IF(A165&lt;HLP_ChangeDate,HLP_Legacy,HLP_Current))</f>
        <v/>
      </c>
      <c r="L165" s="31">
        <f>IF($E165="","",J165/(1-K165))</f>
        <v/>
      </c>
      <c r="M165" s="31">
        <f>IF($E165="","",I165/(1-K165))</f>
        <v/>
      </c>
      <c r="N165" s="31">
        <f>IF($E165="","",(B165+C165+D165)*Rate_Builder)</f>
        <v/>
      </c>
      <c r="O165" s="31">
        <f>IF($E165="","",E165*K165/(1-K165))</f>
        <v/>
      </c>
      <c r="P165" s="34">
        <f>IF(OR($E165="",B165=0),"",L165/B165*10000)</f>
        <v/>
      </c>
      <c r="Q165" s="34">
        <f>IF(OR($E165="",C165=0),"",F165/C165*10000)</f>
        <v/>
      </c>
      <c r="R165" s="34">
        <f>IF(OR($E165="",D165=0),"",'Daily Data'!I165/D165*10000)</f>
        <v/>
      </c>
    </row>
    <row r="166">
      <c r="A166" s="30" t="n">
        <v>45820</v>
      </c>
      <c r="B166" s="31">
        <f>'Daily Data'!B166-'Daily Data'!D166</f>
        <v/>
      </c>
      <c r="C166" s="32">
        <f>'Daily Data'!D166</f>
        <v/>
      </c>
      <c r="D166" s="32">
        <f>'Daily Data'!C166</f>
        <v/>
      </c>
      <c r="E166" s="32">
        <f>IF('Daily Data'!E166="","",'Daily Data'!E166)</f>
        <v/>
      </c>
      <c r="F166" s="32">
        <f>IF($E166="","",'Daily Data'!F166)</f>
        <v/>
      </c>
      <c r="G166" s="32">
        <f>IF($E166="","",'Daily Data'!G166)</f>
        <v/>
      </c>
      <c r="H166" s="31">
        <f>IF($E166="","",F166-G166)</f>
        <v/>
      </c>
      <c r="I166" s="32">
        <f>IF($E166="","",'Daily Data'!H166)</f>
        <v/>
      </c>
      <c r="J166" s="31">
        <f>IF($E166="","",E166-H166-I166)</f>
        <v/>
      </c>
      <c r="K166" s="33">
        <f>IF($E166="","",IF(A166&lt;HLP_ChangeDate,HLP_Legacy,HLP_Current))</f>
        <v/>
      </c>
      <c r="L166" s="31">
        <f>IF($E166="","",J166/(1-K166))</f>
        <v/>
      </c>
      <c r="M166" s="31">
        <f>IF($E166="","",I166/(1-K166))</f>
        <v/>
      </c>
      <c r="N166" s="31">
        <f>IF($E166="","",(B166+C166+D166)*Rate_Builder)</f>
        <v/>
      </c>
      <c r="O166" s="31">
        <f>IF($E166="","",E166*K166/(1-K166))</f>
        <v/>
      </c>
      <c r="P166" s="34">
        <f>IF(OR($E166="",B166=0),"",L166/B166*10000)</f>
        <v/>
      </c>
      <c r="Q166" s="34">
        <f>IF(OR($E166="",C166=0),"",F166/C166*10000)</f>
        <v/>
      </c>
      <c r="R166" s="34">
        <f>IF(OR($E166="",D166=0),"",'Daily Data'!I166/D166*10000)</f>
        <v/>
      </c>
    </row>
    <row r="167">
      <c r="A167" s="30" t="n">
        <v>45821</v>
      </c>
      <c r="B167" s="31">
        <f>'Daily Data'!B167-'Daily Data'!D167</f>
        <v/>
      </c>
      <c r="C167" s="32">
        <f>'Daily Data'!D167</f>
        <v/>
      </c>
      <c r="D167" s="32">
        <f>'Daily Data'!C167</f>
        <v/>
      </c>
      <c r="E167" s="32">
        <f>IF('Daily Data'!E167="","",'Daily Data'!E167)</f>
        <v/>
      </c>
      <c r="F167" s="32">
        <f>IF($E167="","",'Daily Data'!F167)</f>
        <v/>
      </c>
      <c r="G167" s="32">
        <f>IF($E167="","",'Daily Data'!G167)</f>
        <v/>
      </c>
      <c r="H167" s="31">
        <f>IF($E167="","",F167-G167)</f>
        <v/>
      </c>
      <c r="I167" s="32">
        <f>IF($E167="","",'Daily Data'!H167)</f>
        <v/>
      </c>
      <c r="J167" s="31">
        <f>IF($E167="","",E167-H167-I167)</f>
        <v/>
      </c>
      <c r="K167" s="33">
        <f>IF($E167="","",IF(A167&lt;HLP_ChangeDate,HLP_Legacy,HLP_Current))</f>
        <v/>
      </c>
      <c r="L167" s="31">
        <f>IF($E167="","",J167/(1-K167))</f>
        <v/>
      </c>
      <c r="M167" s="31">
        <f>IF($E167="","",I167/(1-K167))</f>
        <v/>
      </c>
      <c r="N167" s="31">
        <f>IF($E167="","",(B167+C167+D167)*Rate_Builder)</f>
        <v/>
      </c>
      <c r="O167" s="31">
        <f>IF($E167="","",E167*K167/(1-K167))</f>
        <v/>
      </c>
      <c r="P167" s="34">
        <f>IF(OR($E167="",B167=0),"",L167/B167*10000)</f>
        <v/>
      </c>
      <c r="Q167" s="34">
        <f>IF(OR($E167="",C167=0),"",F167/C167*10000)</f>
        <v/>
      </c>
      <c r="R167" s="34">
        <f>IF(OR($E167="",D167=0),"",'Daily Data'!I167/D167*10000)</f>
        <v/>
      </c>
    </row>
    <row r="168">
      <c r="A168" s="30" t="n">
        <v>45822</v>
      </c>
      <c r="B168" s="31">
        <f>'Daily Data'!B168-'Daily Data'!D168</f>
        <v/>
      </c>
      <c r="C168" s="32">
        <f>'Daily Data'!D168</f>
        <v/>
      </c>
      <c r="D168" s="32">
        <f>'Daily Data'!C168</f>
        <v/>
      </c>
      <c r="E168" s="32">
        <f>IF('Daily Data'!E168="","",'Daily Data'!E168)</f>
        <v/>
      </c>
      <c r="F168" s="32">
        <f>IF($E168="","",'Daily Data'!F168)</f>
        <v/>
      </c>
      <c r="G168" s="32">
        <f>IF($E168="","",'Daily Data'!G168)</f>
        <v/>
      </c>
      <c r="H168" s="31">
        <f>IF($E168="","",F168-G168)</f>
        <v/>
      </c>
      <c r="I168" s="32">
        <f>IF($E168="","",'Daily Data'!H168)</f>
        <v/>
      </c>
      <c r="J168" s="31">
        <f>IF($E168="","",E168-H168-I168)</f>
        <v/>
      </c>
      <c r="K168" s="33">
        <f>IF($E168="","",IF(A168&lt;HLP_ChangeDate,HLP_Legacy,HLP_Current))</f>
        <v/>
      </c>
      <c r="L168" s="31">
        <f>IF($E168="","",J168/(1-K168))</f>
        <v/>
      </c>
      <c r="M168" s="31">
        <f>IF($E168="","",I168/(1-K168))</f>
        <v/>
      </c>
      <c r="N168" s="31">
        <f>IF($E168="","",(B168+C168+D168)*Rate_Builder)</f>
        <v/>
      </c>
      <c r="O168" s="31">
        <f>IF($E168="","",E168*K168/(1-K168))</f>
        <v/>
      </c>
      <c r="P168" s="34">
        <f>IF(OR($E168="",B168=0),"",L168/B168*10000)</f>
        <v/>
      </c>
      <c r="Q168" s="34">
        <f>IF(OR($E168="",C168=0),"",F168/C168*10000)</f>
        <v/>
      </c>
      <c r="R168" s="34">
        <f>IF(OR($E168="",D168=0),"",'Daily Data'!I168/D168*10000)</f>
        <v/>
      </c>
    </row>
    <row r="169">
      <c r="A169" s="30" t="n">
        <v>45823</v>
      </c>
      <c r="B169" s="31">
        <f>'Daily Data'!B169-'Daily Data'!D169</f>
        <v/>
      </c>
      <c r="C169" s="32">
        <f>'Daily Data'!D169</f>
        <v/>
      </c>
      <c r="D169" s="32">
        <f>'Daily Data'!C169</f>
        <v/>
      </c>
      <c r="E169" s="32">
        <f>IF('Daily Data'!E169="","",'Daily Data'!E169)</f>
        <v/>
      </c>
      <c r="F169" s="32">
        <f>IF($E169="","",'Daily Data'!F169)</f>
        <v/>
      </c>
      <c r="G169" s="32">
        <f>IF($E169="","",'Daily Data'!G169)</f>
        <v/>
      </c>
      <c r="H169" s="31">
        <f>IF($E169="","",F169-G169)</f>
        <v/>
      </c>
      <c r="I169" s="32">
        <f>IF($E169="","",'Daily Data'!H169)</f>
        <v/>
      </c>
      <c r="J169" s="31">
        <f>IF($E169="","",E169-H169-I169)</f>
        <v/>
      </c>
      <c r="K169" s="33">
        <f>IF($E169="","",IF(A169&lt;HLP_ChangeDate,HLP_Legacy,HLP_Current))</f>
        <v/>
      </c>
      <c r="L169" s="31">
        <f>IF($E169="","",J169/(1-K169))</f>
        <v/>
      </c>
      <c r="M169" s="31">
        <f>IF($E169="","",I169/(1-K169))</f>
        <v/>
      </c>
      <c r="N169" s="31">
        <f>IF($E169="","",(B169+C169+D169)*Rate_Builder)</f>
        <v/>
      </c>
      <c r="O169" s="31">
        <f>IF($E169="","",E169*K169/(1-K169))</f>
        <v/>
      </c>
      <c r="P169" s="34">
        <f>IF(OR($E169="",B169=0),"",L169/B169*10000)</f>
        <v/>
      </c>
      <c r="Q169" s="34">
        <f>IF(OR($E169="",C169=0),"",F169/C169*10000)</f>
        <v/>
      </c>
      <c r="R169" s="34">
        <f>IF(OR($E169="",D169=0),"",'Daily Data'!I169/D169*10000)</f>
        <v/>
      </c>
    </row>
    <row r="170">
      <c r="A170" s="30" t="n">
        <v>45824</v>
      </c>
      <c r="B170" s="31">
        <f>'Daily Data'!B170-'Daily Data'!D170</f>
        <v/>
      </c>
      <c r="C170" s="32">
        <f>'Daily Data'!D170</f>
        <v/>
      </c>
      <c r="D170" s="32">
        <f>'Daily Data'!C170</f>
        <v/>
      </c>
      <c r="E170" s="32">
        <f>IF('Daily Data'!E170="","",'Daily Data'!E170)</f>
        <v/>
      </c>
      <c r="F170" s="32">
        <f>IF($E170="","",'Daily Data'!F170)</f>
        <v/>
      </c>
      <c r="G170" s="32">
        <f>IF($E170="","",'Daily Data'!G170)</f>
        <v/>
      </c>
      <c r="H170" s="31">
        <f>IF($E170="","",F170-G170)</f>
        <v/>
      </c>
      <c r="I170" s="32">
        <f>IF($E170="","",'Daily Data'!H170)</f>
        <v/>
      </c>
      <c r="J170" s="31">
        <f>IF($E170="","",E170-H170-I170)</f>
        <v/>
      </c>
      <c r="K170" s="33">
        <f>IF($E170="","",IF(A170&lt;HLP_ChangeDate,HLP_Legacy,HLP_Current))</f>
        <v/>
      </c>
      <c r="L170" s="31">
        <f>IF($E170="","",J170/(1-K170))</f>
        <v/>
      </c>
      <c r="M170" s="31">
        <f>IF($E170="","",I170/(1-K170))</f>
        <v/>
      </c>
      <c r="N170" s="31">
        <f>IF($E170="","",(B170+C170+D170)*Rate_Builder)</f>
        <v/>
      </c>
      <c r="O170" s="31">
        <f>IF($E170="","",E170*K170/(1-K170))</f>
        <v/>
      </c>
      <c r="P170" s="34">
        <f>IF(OR($E170="",B170=0),"",L170/B170*10000)</f>
        <v/>
      </c>
      <c r="Q170" s="34">
        <f>IF(OR($E170="",C170=0),"",F170/C170*10000)</f>
        <v/>
      </c>
      <c r="R170" s="34">
        <f>IF(OR($E170="",D170=0),"",'Daily Data'!I170/D170*10000)</f>
        <v/>
      </c>
    </row>
    <row r="171">
      <c r="A171" s="30" t="n">
        <v>45825</v>
      </c>
      <c r="B171" s="31">
        <f>'Daily Data'!B171-'Daily Data'!D171</f>
        <v/>
      </c>
      <c r="C171" s="32">
        <f>'Daily Data'!D171</f>
        <v/>
      </c>
      <c r="D171" s="32">
        <f>'Daily Data'!C171</f>
        <v/>
      </c>
      <c r="E171" s="32">
        <f>IF('Daily Data'!E171="","",'Daily Data'!E171)</f>
        <v/>
      </c>
      <c r="F171" s="32">
        <f>IF($E171="","",'Daily Data'!F171)</f>
        <v/>
      </c>
      <c r="G171" s="32">
        <f>IF($E171="","",'Daily Data'!G171)</f>
        <v/>
      </c>
      <c r="H171" s="31">
        <f>IF($E171="","",F171-G171)</f>
        <v/>
      </c>
      <c r="I171" s="32">
        <f>IF($E171="","",'Daily Data'!H171)</f>
        <v/>
      </c>
      <c r="J171" s="31">
        <f>IF($E171="","",E171-H171-I171)</f>
        <v/>
      </c>
      <c r="K171" s="33">
        <f>IF($E171="","",IF(A171&lt;HLP_ChangeDate,HLP_Legacy,HLP_Current))</f>
        <v/>
      </c>
      <c r="L171" s="31">
        <f>IF($E171="","",J171/(1-K171))</f>
        <v/>
      </c>
      <c r="M171" s="31">
        <f>IF($E171="","",I171/(1-K171))</f>
        <v/>
      </c>
      <c r="N171" s="31">
        <f>IF($E171="","",(B171+C171+D171)*Rate_Builder)</f>
        <v/>
      </c>
      <c r="O171" s="31">
        <f>IF($E171="","",E171*K171/(1-K171))</f>
        <v/>
      </c>
      <c r="P171" s="34">
        <f>IF(OR($E171="",B171=0),"",L171/B171*10000)</f>
        <v/>
      </c>
      <c r="Q171" s="34">
        <f>IF(OR($E171="",C171=0),"",F171/C171*10000)</f>
        <v/>
      </c>
      <c r="R171" s="34">
        <f>IF(OR($E171="",D171=0),"",'Daily Data'!I171/D171*10000)</f>
        <v/>
      </c>
    </row>
    <row r="172">
      <c r="A172" s="30" t="n">
        <v>45826</v>
      </c>
      <c r="B172" s="31">
        <f>'Daily Data'!B172-'Daily Data'!D172</f>
        <v/>
      </c>
      <c r="C172" s="32">
        <f>'Daily Data'!D172</f>
        <v/>
      </c>
      <c r="D172" s="32">
        <f>'Daily Data'!C172</f>
        <v/>
      </c>
      <c r="E172" s="32">
        <f>IF('Daily Data'!E172="","",'Daily Data'!E172)</f>
        <v/>
      </c>
      <c r="F172" s="32">
        <f>IF($E172="","",'Daily Data'!F172)</f>
        <v/>
      </c>
      <c r="G172" s="32">
        <f>IF($E172="","",'Daily Data'!G172)</f>
        <v/>
      </c>
      <c r="H172" s="31">
        <f>IF($E172="","",F172-G172)</f>
        <v/>
      </c>
      <c r="I172" s="32">
        <f>IF($E172="","",'Daily Data'!H172)</f>
        <v/>
      </c>
      <c r="J172" s="31">
        <f>IF($E172="","",E172-H172-I172)</f>
        <v/>
      </c>
      <c r="K172" s="33">
        <f>IF($E172="","",IF(A172&lt;HLP_ChangeDate,HLP_Legacy,HLP_Current))</f>
        <v/>
      </c>
      <c r="L172" s="31">
        <f>IF($E172="","",J172/(1-K172))</f>
        <v/>
      </c>
      <c r="M172" s="31">
        <f>IF($E172="","",I172/(1-K172))</f>
        <v/>
      </c>
      <c r="N172" s="31">
        <f>IF($E172="","",(B172+C172+D172)*Rate_Builder)</f>
        <v/>
      </c>
      <c r="O172" s="31">
        <f>IF($E172="","",E172*K172/(1-K172))</f>
        <v/>
      </c>
      <c r="P172" s="34">
        <f>IF(OR($E172="",B172=0),"",L172/B172*10000)</f>
        <v/>
      </c>
      <c r="Q172" s="34">
        <f>IF(OR($E172="",C172=0),"",F172/C172*10000)</f>
        <v/>
      </c>
      <c r="R172" s="34">
        <f>IF(OR($E172="",D172=0),"",'Daily Data'!I172/D172*10000)</f>
        <v/>
      </c>
    </row>
    <row r="173">
      <c r="A173" s="30" t="n">
        <v>45827</v>
      </c>
      <c r="B173" s="31">
        <f>'Daily Data'!B173-'Daily Data'!D173</f>
        <v/>
      </c>
      <c r="C173" s="32">
        <f>'Daily Data'!D173</f>
        <v/>
      </c>
      <c r="D173" s="32">
        <f>'Daily Data'!C173</f>
        <v/>
      </c>
      <c r="E173" s="32">
        <f>IF('Daily Data'!E173="","",'Daily Data'!E173)</f>
        <v/>
      </c>
      <c r="F173" s="32">
        <f>IF($E173="","",'Daily Data'!F173)</f>
        <v/>
      </c>
      <c r="G173" s="32">
        <f>IF($E173="","",'Daily Data'!G173)</f>
        <v/>
      </c>
      <c r="H173" s="31">
        <f>IF($E173="","",F173-G173)</f>
        <v/>
      </c>
      <c r="I173" s="32">
        <f>IF($E173="","",'Daily Data'!H173)</f>
        <v/>
      </c>
      <c r="J173" s="31">
        <f>IF($E173="","",E173-H173-I173)</f>
        <v/>
      </c>
      <c r="K173" s="33">
        <f>IF($E173="","",IF(A173&lt;HLP_ChangeDate,HLP_Legacy,HLP_Current))</f>
        <v/>
      </c>
      <c r="L173" s="31">
        <f>IF($E173="","",J173/(1-K173))</f>
        <v/>
      </c>
      <c r="M173" s="31">
        <f>IF($E173="","",I173/(1-K173))</f>
        <v/>
      </c>
      <c r="N173" s="31">
        <f>IF($E173="","",(B173+C173+D173)*Rate_Builder)</f>
        <v/>
      </c>
      <c r="O173" s="31">
        <f>IF($E173="","",E173*K173/(1-K173))</f>
        <v/>
      </c>
      <c r="P173" s="34">
        <f>IF(OR($E173="",B173=0),"",L173/B173*10000)</f>
        <v/>
      </c>
      <c r="Q173" s="34">
        <f>IF(OR($E173="",C173=0),"",F173/C173*10000)</f>
        <v/>
      </c>
      <c r="R173" s="34">
        <f>IF(OR($E173="",D173=0),"",'Daily Data'!I173/D173*10000)</f>
        <v/>
      </c>
    </row>
    <row r="174">
      <c r="A174" s="30" t="n">
        <v>45828</v>
      </c>
      <c r="B174" s="31">
        <f>'Daily Data'!B174-'Daily Data'!D174</f>
        <v/>
      </c>
      <c r="C174" s="32">
        <f>'Daily Data'!D174</f>
        <v/>
      </c>
      <c r="D174" s="32">
        <f>'Daily Data'!C174</f>
        <v/>
      </c>
      <c r="E174" s="32">
        <f>IF('Daily Data'!E174="","",'Daily Data'!E174)</f>
        <v/>
      </c>
      <c r="F174" s="32">
        <f>IF($E174="","",'Daily Data'!F174)</f>
        <v/>
      </c>
      <c r="G174" s="32">
        <f>IF($E174="","",'Daily Data'!G174)</f>
        <v/>
      </c>
      <c r="H174" s="31">
        <f>IF($E174="","",F174-G174)</f>
        <v/>
      </c>
      <c r="I174" s="32">
        <f>IF($E174="","",'Daily Data'!H174)</f>
        <v/>
      </c>
      <c r="J174" s="31">
        <f>IF($E174="","",E174-H174-I174)</f>
        <v/>
      </c>
      <c r="K174" s="33">
        <f>IF($E174="","",IF(A174&lt;HLP_ChangeDate,HLP_Legacy,HLP_Current))</f>
        <v/>
      </c>
      <c r="L174" s="31">
        <f>IF($E174="","",J174/(1-K174))</f>
        <v/>
      </c>
      <c r="M174" s="31">
        <f>IF($E174="","",I174/(1-K174))</f>
        <v/>
      </c>
      <c r="N174" s="31">
        <f>IF($E174="","",(B174+C174+D174)*Rate_Builder)</f>
        <v/>
      </c>
      <c r="O174" s="31">
        <f>IF($E174="","",E174*K174/(1-K174))</f>
        <v/>
      </c>
      <c r="P174" s="34">
        <f>IF(OR($E174="",B174=0),"",L174/B174*10000)</f>
        <v/>
      </c>
      <c r="Q174" s="34">
        <f>IF(OR($E174="",C174=0),"",F174/C174*10000)</f>
        <v/>
      </c>
      <c r="R174" s="34">
        <f>IF(OR($E174="",D174=0),"",'Daily Data'!I174/D174*10000)</f>
        <v/>
      </c>
    </row>
    <row r="175">
      <c r="A175" s="30" t="n">
        <v>45829</v>
      </c>
      <c r="B175" s="31">
        <f>'Daily Data'!B175-'Daily Data'!D175</f>
        <v/>
      </c>
      <c r="C175" s="32">
        <f>'Daily Data'!D175</f>
        <v/>
      </c>
      <c r="D175" s="32">
        <f>'Daily Data'!C175</f>
        <v/>
      </c>
      <c r="E175" s="32">
        <f>IF('Daily Data'!E175="","",'Daily Data'!E175)</f>
        <v/>
      </c>
      <c r="F175" s="32">
        <f>IF($E175="","",'Daily Data'!F175)</f>
        <v/>
      </c>
      <c r="G175" s="32">
        <f>IF($E175="","",'Daily Data'!G175)</f>
        <v/>
      </c>
      <c r="H175" s="31">
        <f>IF($E175="","",F175-G175)</f>
        <v/>
      </c>
      <c r="I175" s="32">
        <f>IF($E175="","",'Daily Data'!H175)</f>
        <v/>
      </c>
      <c r="J175" s="31">
        <f>IF($E175="","",E175-H175-I175)</f>
        <v/>
      </c>
      <c r="K175" s="33">
        <f>IF($E175="","",IF(A175&lt;HLP_ChangeDate,HLP_Legacy,HLP_Current))</f>
        <v/>
      </c>
      <c r="L175" s="31">
        <f>IF($E175="","",J175/(1-K175))</f>
        <v/>
      </c>
      <c r="M175" s="31">
        <f>IF($E175="","",I175/(1-K175))</f>
        <v/>
      </c>
      <c r="N175" s="31">
        <f>IF($E175="","",(B175+C175+D175)*Rate_Builder)</f>
        <v/>
      </c>
      <c r="O175" s="31">
        <f>IF($E175="","",E175*K175/(1-K175))</f>
        <v/>
      </c>
      <c r="P175" s="34">
        <f>IF(OR($E175="",B175=0),"",L175/B175*10000)</f>
        <v/>
      </c>
      <c r="Q175" s="34">
        <f>IF(OR($E175="",C175=0),"",F175/C175*10000)</f>
        <v/>
      </c>
      <c r="R175" s="34">
        <f>IF(OR($E175="",D175=0),"",'Daily Data'!I175/D175*10000)</f>
        <v/>
      </c>
    </row>
    <row r="176">
      <c r="A176" s="30" t="n">
        <v>45830</v>
      </c>
      <c r="B176" s="31">
        <f>'Daily Data'!B176-'Daily Data'!D176</f>
        <v/>
      </c>
      <c r="C176" s="32">
        <f>'Daily Data'!D176</f>
        <v/>
      </c>
      <c r="D176" s="32">
        <f>'Daily Data'!C176</f>
        <v/>
      </c>
      <c r="E176" s="32">
        <f>IF('Daily Data'!E176="","",'Daily Data'!E176)</f>
        <v/>
      </c>
      <c r="F176" s="32">
        <f>IF($E176="","",'Daily Data'!F176)</f>
        <v/>
      </c>
      <c r="G176" s="32">
        <f>IF($E176="","",'Daily Data'!G176)</f>
        <v/>
      </c>
      <c r="H176" s="31">
        <f>IF($E176="","",F176-G176)</f>
        <v/>
      </c>
      <c r="I176" s="32">
        <f>IF($E176="","",'Daily Data'!H176)</f>
        <v/>
      </c>
      <c r="J176" s="31">
        <f>IF($E176="","",E176-H176-I176)</f>
        <v/>
      </c>
      <c r="K176" s="33">
        <f>IF($E176="","",IF(A176&lt;HLP_ChangeDate,HLP_Legacy,HLP_Current))</f>
        <v/>
      </c>
      <c r="L176" s="31">
        <f>IF($E176="","",J176/(1-K176))</f>
        <v/>
      </c>
      <c r="M176" s="31">
        <f>IF($E176="","",I176/(1-K176))</f>
        <v/>
      </c>
      <c r="N176" s="31">
        <f>IF($E176="","",(B176+C176+D176)*Rate_Builder)</f>
        <v/>
      </c>
      <c r="O176" s="31">
        <f>IF($E176="","",E176*K176/(1-K176))</f>
        <v/>
      </c>
      <c r="P176" s="34">
        <f>IF(OR($E176="",B176=0),"",L176/B176*10000)</f>
        <v/>
      </c>
      <c r="Q176" s="34">
        <f>IF(OR($E176="",C176=0),"",F176/C176*10000)</f>
        <v/>
      </c>
      <c r="R176" s="34">
        <f>IF(OR($E176="",D176=0),"",'Daily Data'!I176/D176*10000)</f>
        <v/>
      </c>
    </row>
    <row r="177">
      <c r="A177" s="30" t="n">
        <v>45831</v>
      </c>
      <c r="B177" s="31">
        <f>'Daily Data'!B177-'Daily Data'!D177</f>
        <v/>
      </c>
      <c r="C177" s="32">
        <f>'Daily Data'!D177</f>
        <v/>
      </c>
      <c r="D177" s="32">
        <f>'Daily Data'!C177</f>
        <v/>
      </c>
      <c r="E177" s="32">
        <f>IF('Daily Data'!E177="","",'Daily Data'!E177)</f>
        <v/>
      </c>
      <c r="F177" s="32">
        <f>IF($E177="","",'Daily Data'!F177)</f>
        <v/>
      </c>
      <c r="G177" s="32">
        <f>IF($E177="","",'Daily Data'!G177)</f>
        <v/>
      </c>
      <c r="H177" s="31">
        <f>IF($E177="","",F177-G177)</f>
        <v/>
      </c>
      <c r="I177" s="32">
        <f>IF($E177="","",'Daily Data'!H177)</f>
        <v/>
      </c>
      <c r="J177" s="31">
        <f>IF($E177="","",E177-H177-I177)</f>
        <v/>
      </c>
      <c r="K177" s="33">
        <f>IF($E177="","",IF(A177&lt;HLP_ChangeDate,HLP_Legacy,HLP_Current))</f>
        <v/>
      </c>
      <c r="L177" s="31">
        <f>IF($E177="","",J177/(1-K177))</f>
        <v/>
      </c>
      <c r="M177" s="31">
        <f>IF($E177="","",I177/(1-K177))</f>
        <v/>
      </c>
      <c r="N177" s="31">
        <f>IF($E177="","",(B177+C177+D177)*Rate_Builder)</f>
        <v/>
      </c>
      <c r="O177" s="31">
        <f>IF($E177="","",E177*K177/(1-K177))</f>
        <v/>
      </c>
      <c r="P177" s="34">
        <f>IF(OR($E177="",B177=0),"",L177/B177*10000)</f>
        <v/>
      </c>
      <c r="Q177" s="34">
        <f>IF(OR($E177="",C177=0),"",F177/C177*10000)</f>
        <v/>
      </c>
      <c r="R177" s="34">
        <f>IF(OR($E177="",D177=0),"",'Daily Data'!I177/D177*10000)</f>
        <v/>
      </c>
    </row>
    <row r="178">
      <c r="A178" s="30" t="n">
        <v>45832</v>
      </c>
      <c r="B178" s="31">
        <f>'Daily Data'!B178-'Daily Data'!D178</f>
        <v/>
      </c>
      <c r="C178" s="32">
        <f>'Daily Data'!D178</f>
        <v/>
      </c>
      <c r="D178" s="32">
        <f>'Daily Data'!C178</f>
        <v/>
      </c>
      <c r="E178" s="32">
        <f>IF('Daily Data'!E178="","",'Daily Data'!E178)</f>
        <v/>
      </c>
      <c r="F178" s="32">
        <f>IF($E178="","",'Daily Data'!F178)</f>
        <v/>
      </c>
      <c r="G178" s="32">
        <f>IF($E178="","",'Daily Data'!G178)</f>
        <v/>
      </c>
      <c r="H178" s="31">
        <f>IF($E178="","",F178-G178)</f>
        <v/>
      </c>
      <c r="I178" s="32">
        <f>IF($E178="","",'Daily Data'!H178)</f>
        <v/>
      </c>
      <c r="J178" s="31">
        <f>IF($E178="","",E178-H178-I178)</f>
        <v/>
      </c>
      <c r="K178" s="33">
        <f>IF($E178="","",IF(A178&lt;HLP_ChangeDate,HLP_Legacy,HLP_Current))</f>
        <v/>
      </c>
      <c r="L178" s="31">
        <f>IF($E178="","",J178/(1-K178))</f>
        <v/>
      </c>
      <c r="M178" s="31">
        <f>IF($E178="","",I178/(1-K178))</f>
        <v/>
      </c>
      <c r="N178" s="31">
        <f>IF($E178="","",(B178+C178+D178)*Rate_Builder)</f>
        <v/>
      </c>
      <c r="O178" s="31">
        <f>IF($E178="","",E178*K178/(1-K178))</f>
        <v/>
      </c>
      <c r="P178" s="34">
        <f>IF(OR($E178="",B178=0),"",L178/B178*10000)</f>
        <v/>
      </c>
      <c r="Q178" s="34">
        <f>IF(OR($E178="",C178=0),"",F178/C178*10000)</f>
        <v/>
      </c>
      <c r="R178" s="34">
        <f>IF(OR($E178="",D178=0),"",'Daily Data'!I178/D178*10000)</f>
        <v/>
      </c>
    </row>
    <row r="179">
      <c r="A179" s="30" t="n">
        <v>45833</v>
      </c>
      <c r="B179" s="31">
        <f>'Daily Data'!B179-'Daily Data'!D179</f>
        <v/>
      </c>
      <c r="C179" s="32">
        <f>'Daily Data'!D179</f>
        <v/>
      </c>
      <c r="D179" s="32">
        <f>'Daily Data'!C179</f>
        <v/>
      </c>
      <c r="E179" s="32">
        <f>IF('Daily Data'!E179="","",'Daily Data'!E179)</f>
        <v/>
      </c>
      <c r="F179" s="32">
        <f>IF($E179="","",'Daily Data'!F179)</f>
        <v/>
      </c>
      <c r="G179" s="32">
        <f>IF($E179="","",'Daily Data'!G179)</f>
        <v/>
      </c>
      <c r="H179" s="31">
        <f>IF($E179="","",F179-G179)</f>
        <v/>
      </c>
      <c r="I179" s="32">
        <f>IF($E179="","",'Daily Data'!H179)</f>
        <v/>
      </c>
      <c r="J179" s="31">
        <f>IF($E179="","",E179-H179-I179)</f>
        <v/>
      </c>
      <c r="K179" s="33">
        <f>IF($E179="","",IF(A179&lt;HLP_ChangeDate,HLP_Legacy,HLP_Current))</f>
        <v/>
      </c>
      <c r="L179" s="31">
        <f>IF($E179="","",J179/(1-K179))</f>
        <v/>
      </c>
      <c r="M179" s="31">
        <f>IF($E179="","",I179/(1-K179))</f>
        <v/>
      </c>
      <c r="N179" s="31">
        <f>IF($E179="","",(B179+C179+D179)*Rate_Builder)</f>
        <v/>
      </c>
      <c r="O179" s="31">
        <f>IF($E179="","",E179*K179/(1-K179))</f>
        <v/>
      </c>
      <c r="P179" s="34">
        <f>IF(OR($E179="",B179=0),"",L179/B179*10000)</f>
        <v/>
      </c>
      <c r="Q179" s="34">
        <f>IF(OR($E179="",C179=0),"",F179/C179*10000)</f>
        <v/>
      </c>
      <c r="R179" s="34">
        <f>IF(OR($E179="",D179=0),"",'Daily Data'!I179/D179*10000)</f>
        <v/>
      </c>
    </row>
    <row r="180">
      <c r="A180" s="30" t="n">
        <v>45834</v>
      </c>
      <c r="B180" s="31">
        <f>'Daily Data'!B180-'Daily Data'!D180</f>
        <v/>
      </c>
      <c r="C180" s="32">
        <f>'Daily Data'!D180</f>
        <v/>
      </c>
      <c r="D180" s="32">
        <f>'Daily Data'!C180</f>
        <v/>
      </c>
      <c r="E180" s="32">
        <f>IF('Daily Data'!E180="","",'Daily Data'!E180)</f>
        <v/>
      </c>
      <c r="F180" s="32">
        <f>IF($E180="","",'Daily Data'!F180)</f>
        <v/>
      </c>
      <c r="G180" s="32">
        <f>IF($E180="","",'Daily Data'!G180)</f>
        <v/>
      </c>
      <c r="H180" s="31">
        <f>IF($E180="","",F180-G180)</f>
        <v/>
      </c>
      <c r="I180" s="32">
        <f>IF($E180="","",'Daily Data'!H180)</f>
        <v/>
      </c>
      <c r="J180" s="31">
        <f>IF($E180="","",E180-H180-I180)</f>
        <v/>
      </c>
      <c r="K180" s="33">
        <f>IF($E180="","",IF(A180&lt;HLP_ChangeDate,HLP_Legacy,HLP_Current))</f>
        <v/>
      </c>
      <c r="L180" s="31">
        <f>IF($E180="","",J180/(1-K180))</f>
        <v/>
      </c>
      <c r="M180" s="31">
        <f>IF($E180="","",I180/(1-K180))</f>
        <v/>
      </c>
      <c r="N180" s="31">
        <f>IF($E180="","",(B180+C180+D180)*Rate_Builder)</f>
        <v/>
      </c>
      <c r="O180" s="31">
        <f>IF($E180="","",E180*K180/(1-K180))</f>
        <v/>
      </c>
      <c r="P180" s="34">
        <f>IF(OR($E180="",B180=0),"",L180/B180*10000)</f>
        <v/>
      </c>
      <c r="Q180" s="34">
        <f>IF(OR($E180="",C180=0),"",F180/C180*10000)</f>
        <v/>
      </c>
      <c r="R180" s="34">
        <f>IF(OR($E180="",D180=0),"",'Daily Data'!I180/D180*10000)</f>
        <v/>
      </c>
    </row>
    <row r="181">
      <c r="A181" s="30" t="n">
        <v>45835</v>
      </c>
      <c r="B181" s="31">
        <f>'Daily Data'!B181-'Daily Data'!D181</f>
        <v/>
      </c>
      <c r="C181" s="32">
        <f>'Daily Data'!D181</f>
        <v/>
      </c>
      <c r="D181" s="32">
        <f>'Daily Data'!C181</f>
        <v/>
      </c>
      <c r="E181" s="32">
        <f>IF('Daily Data'!E181="","",'Daily Data'!E181)</f>
        <v/>
      </c>
      <c r="F181" s="32">
        <f>IF($E181="","",'Daily Data'!F181)</f>
        <v/>
      </c>
      <c r="G181" s="32">
        <f>IF($E181="","",'Daily Data'!G181)</f>
        <v/>
      </c>
      <c r="H181" s="31">
        <f>IF($E181="","",F181-G181)</f>
        <v/>
      </c>
      <c r="I181" s="32">
        <f>IF($E181="","",'Daily Data'!H181)</f>
        <v/>
      </c>
      <c r="J181" s="31">
        <f>IF($E181="","",E181-H181-I181)</f>
        <v/>
      </c>
      <c r="K181" s="33">
        <f>IF($E181="","",IF(A181&lt;HLP_ChangeDate,HLP_Legacy,HLP_Current))</f>
        <v/>
      </c>
      <c r="L181" s="31">
        <f>IF($E181="","",J181/(1-K181))</f>
        <v/>
      </c>
      <c r="M181" s="31">
        <f>IF($E181="","",I181/(1-K181))</f>
        <v/>
      </c>
      <c r="N181" s="31">
        <f>IF($E181="","",(B181+C181+D181)*Rate_Builder)</f>
        <v/>
      </c>
      <c r="O181" s="31">
        <f>IF($E181="","",E181*K181/(1-K181))</f>
        <v/>
      </c>
      <c r="P181" s="34">
        <f>IF(OR($E181="",B181=0),"",L181/B181*10000)</f>
        <v/>
      </c>
      <c r="Q181" s="34">
        <f>IF(OR($E181="",C181=0),"",F181/C181*10000)</f>
        <v/>
      </c>
      <c r="R181" s="34">
        <f>IF(OR($E181="",D181=0),"",'Daily Data'!I181/D181*10000)</f>
        <v/>
      </c>
    </row>
    <row r="182">
      <c r="A182" s="30" t="n">
        <v>45836</v>
      </c>
      <c r="B182" s="31">
        <f>'Daily Data'!B182-'Daily Data'!D182</f>
        <v/>
      </c>
      <c r="C182" s="32">
        <f>'Daily Data'!D182</f>
        <v/>
      </c>
      <c r="D182" s="32">
        <f>'Daily Data'!C182</f>
        <v/>
      </c>
      <c r="E182" s="32">
        <f>IF('Daily Data'!E182="","",'Daily Data'!E182)</f>
        <v/>
      </c>
      <c r="F182" s="32">
        <f>IF($E182="","",'Daily Data'!F182)</f>
        <v/>
      </c>
      <c r="G182" s="32">
        <f>IF($E182="","",'Daily Data'!G182)</f>
        <v/>
      </c>
      <c r="H182" s="31">
        <f>IF($E182="","",F182-G182)</f>
        <v/>
      </c>
      <c r="I182" s="32">
        <f>IF($E182="","",'Daily Data'!H182)</f>
        <v/>
      </c>
      <c r="J182" s="31">
        <f>IF($E182="","",E182-H182-I182)</f>
        <v/>
      </c>
      <c r="K182" s="33">
        <f>IF($E182="","",IF(A182&lt;HLP_ChangeDate,HLP_Legacy,HLP_Current))</f>
        <v/>
      </c>
      <c r="L182" s="31">
        <f>IF($E182="","",J182/(1-K182))</f>
        <v/>
      </c>
      <c r="M182" s="31">
        <f>IF($E182="","",I182/(1-K182))</f>
        <v/>
      </c>
      <c r="N182" s="31">
        <f>IF($E182="","",(B182+C182+D182)*Rate_Builder)</f>
        <v/>
      </c>
      <c r="O182" s="31">
        <f>IF($E182="","",E182*K182/(1-K182))</f>
        <v/>
      </c>
      <c r="P182" s="34">
        <f>IF(OR($E182="",B182=0),"",L182/B182*10000)</f>
        <v/>
      </c>
      <c r="Q182" s="34">
        <f>IF(OR($E182="",C182=0),"",F182/C182*10000)</f>
        <v/>
      </c>
      <c r="R182" s="34">
        <f>IF(OR($E182="",D182=0),"",'Daily Data'!I182/D182*10000)</f>
        <v/>
      </c>
    </row>
    <row r="183">
      <c r="A183" s="30" t="n">
        <v>45837</v>
      </c>
      <c r="B183" s="31">
        <f>'Daily Data'!B183-'Daily Data'!D183</f>
        <v/>
      </c>
      <c r="C183" s="32">
        <f>'Daily Data'!D183</f>
        <v/>
      </c>
      <c r="D183" s="32">
        <f>'Daily Data'!C183</f>
        <v/>
      </c>
      <c r="E183" s="32">
        <f>IF('Daily Data'!E183="","",'Daily Data'!E183)</f>
        <v/>
      </c>
      <c r="F183" s="32">
        <f>IF($E183="","",'Daily Data'!F183)</f>
        <v/>
      </c>
      <c r="G183" s="32">
        <f>IF($E183="","",'Daily Data'!G183)</f>
        <v/>
      </c>
      <c r="H183" s="31">
        <f>IF($E183="","",F183-G183)</f>
        <v/>
      </c>
      <c r="I183" s="32">
        <f>IF($E183="","",'Daily Data'!H183)</f>
        <v/>
      </c>
      <c r="J183" s="31">
        <f>IF($E183="","",E183-H183-I183)</f>
        <v/>
      </c>
      <c r="K183" s="33">
        <f>IF($E183="","",IF(A183&lt;HLP_ChangeDate,HLP_Legacy,HLP_Current))</f>
        <v/>
      </c>
      <c r="L183" s="31">
        <f>IF($E183="","",J183/(1-K183))</f>
        <v/>
      </c>
      <c r="M183" s="31">
        <f>IF($E183="","",I183/(1-K183))</f>
        <v/>
      </c>
      <c r="N183" s="31">
        <f>IF($E183="","",(B183+C183+D183)*Rate_Builder)</f>
        <v/>
      </c>
      <c r="O183" s="31">
        <f>IF($E183="","",E183*K183/(1-K183))</f>
        <v/>
      </c>
      <c r="P183" s="34">
        <f>IF(OR($E183="",B183=0),"",L183/B183*10000)</f>
        <v/>
      </c>
      <c r="Q183" s="34">
        <f>IF(OR($E183="",C183=0),"",F183/C183*10000)</f>
        <v/>
      </c>
      <c r="R183" s="34">
        <f>IF(OR($E183="",D183=0),"",'Daily Data'!I183/D183*10000)</f>
        <v/>
      </c>
    </row>
    <row r="184">
      <c r="A184" s="30" t="n">
        <v>45838</v>
      </c>
      <c r="B184" s="31">
        <f>'Daily Data'!B184-'Daily Data'!D184</f>
        <v/>
      </c>
      <c r="C184" s="32">
        <f>'Daily Data'!D184</f>
        <v/>
      </c>
      <c r="D184" s="32">
        <f>'Daily Data'!C184</f>
        <v/>
      </c>
      <c r="E184" s="32">
        <f>IF('Daily Data'!E184="","",'Daily Data'!E184)</f>
        <v/>
      </c>
      <c r="F184" s="32">
        <f>IF($E184="","",'Daily Data'!F184)</f>
        <v/>
      </c>
      <c r="G184" s="32">
        <f>IF($E184="","",'Daily Data'!G184)</f>
        <v/>
      </c>
      <c r="H184" s="31">
        <f>IF($E184="","",F184-G184)</f>
        <v/>
      </c>
      <c r="I184" s="32">
        <f>IF($E184="","",'Daily Data'!H184)</f>
        <v/>
      </c>
      <c r="J184" s="31">
        <f>IF($E184="","",E184-H184-I184)</f>
        <v/>
      </c>
      <c r="K184" s="33">
        <f>IF($E184="","",IF(A184&lt;HLP_ChangeDate,HLP_Legacy,HLP_Current))</f>
        <v/>
      </c>
      <c r="L184" s="31">
        <f>IF($E184="","",J184/(1-K184))</f>
        <v/>
      </c>
      <c r="M184" s="31">
        <f>IF($E184="","",I184/(1-K184))</f>
        <v/>
      </c>
      <c r="N184" s="31">
        <f>IF($E184="","",(B184+C184+D184)*Rate_Builder)</f>
        <v/>
      </c>
      <c r="O184" s="31">
        <f>IF($E184="","",E184*K184/(1-K184))</f>
        <v/>
      </c>
      <c r="P184" s="34">
        <f>IF(OR($E184="",B184=0),"",L184/B184*10000)</f>
        <v/>
      </c>
      <c r="Q184" s="34">
        <f>IF(OR($E184="",C184=0),"",F184/C184*10000)</f>
        <v/>
      </c>
      <c r="R184" s="34">
        <f>IF(OR($E184="",D184=0),"",'Daily Data'!I184/D184*10000)</f>
        <v/>
      </c>
    </row>
    <row r="185">
      <c r="A185" s="30" t="n">
        <v>45839</v>
      </c>
      <c r="B185" s="31">
        <f>'Daily Data'!B185-'Daily Data'!D185</f>
        <v/>
      </c>
      <c r="C185" s="32">
        <f>'Daily Data'!D185</f>
        <v/>
      </c>
      <c r="D185" s="32">
        <f>'Daily Data'!C185</f>
        <v/>
      </c>
      <c r="E185" s="32">
        <f>IF('Daily Data'!E185="","",'Daily Data'!E185)</f>
        <v/>
      </c>
      <c r="F185" s="32">
        <f>IF($E185="","",'Daily Data'!F185)</f>
        <v/>
      </c>
      <c r="G185" s="32">
        <f>IF($E185="","",'Daily Data'!G185)</f>
        <v/>
      </c>
      <c r="H185" s="31">
        <f>IF($E185="","",F185-G185)</f>
        <v/>
      </c>
      <c r="I185" s="32">
        <f>IF($E185="","",'Daily Data'!H185)</f>
        <v/>
      </c>
      <c r="J185" s="31">
        <f>IF($E185="","",E185-H185-I185)</f>
        <v/>
      </c>
      <c r="K185" s="33">
        <f>IF($E185="","",IF(A185&lt;HLP_ChangeDate,HLP_Legacy,HLP_Current))</f>
        <v/>
      </c>
      <c r="L185" s="31">
        <f>IF($E185="","",J185/(1-K185))</f>
        <v/>
      </c>
      <c r="M185" s="31">
        <f>IF($E185="","",I185/(1-K185))</f>
        <v/>
      </c>
      <c r="N185" s="31">
        <f>IF($E185="","",(B185+C185+D185)*Rate_Builder)</f>
        <v/>
      </c>
      <c r="O185" s="31">
        <f>IF($E185="","",E185*K185/(1-K185))</f>
        <v/>
      </c>
      <c r="P185" s="34">
        <f>IF(OR($E185="",B185=0),"",L185/B185*10000)</f>
        <v/>
      </c>
      <c r="Q185" s="34">
        <f>IF(OR($E185="",C185=0),"",F185/C185*10000)</f>
        <v/>
      </c>
      <c r="R185" s="34">
        <f>IF(OR($E185="",D185=0),"",'Daily Data'!I185/D185*10000)</f>
        <v/>
      </c>
    </row>
    <row r="186">
      <c r="A186" s="30" t="n">
        <v>45840</v>
      </c>
      <c r="B186" s="31">
        <f>'Daily Data'!B186-'Daily Data'!D186</f>
        <v/>
      </c>
      <c r="C186" s="32">
        <f>'Daily Data'!D186</f>
        <v/>
      </c>
      <c r="D186" s="32">
        <f>'Daily Data'!C186</f>
        <v/>
      </c>
      <c r="E186" s="32">
        <f>IF('Daily Data'!E186="","",'Daily Data'!E186)</f>
        <v/>
      </c>
      <c r="F186" s="32">
        <f>IF($E186="","",'Daily Data'!F186)</f>
        <v/>
      </c>
      <c r="G186" s="32">
        <f>IF($E186="","",'Daily Data'!G186)</f>
        <v/>
      </c>
      <c r="H186" s="31">
        <f>IF($E186="","",F186-G186)</f>
        <v/>
      </c>
      <c r="I186" s="32">
        <f>IF($E186="","",'Daily Data'!H186)</f>
        <v/>
      </c>
      <c r="J186" s="31">
        <f>IF($E186="","",E186-H186-I186)</f>
        <v/>
      </c>
      <c r="K186" s="33">
        <f>IF($E186="","",IF(A186&lt;HLP_ChangeDate,HLP_Legacy,HLP_Current))</f>
        <v/>
      </c>
      <c r="L186" s="31">
        <f>IF($E186="","",J186/(1-K186))</f>
        <v/>
      </c>
      <c r="M186" s="31">
        <f>IF($E186="","",I186/(1-K186))</f>
        <v/>
      </c>
      <c r="N186" s="31">
        <f>IF($E186="","",(B186+C186+D186)*Rate_Builder)</f>
        <v/>
      </c>
      <c r="O186" s="31">
        <f>IF($E186="","",E186*K186/(1-K186))</f>
        <v/>
      </c>
      <c r="P186" s="34">
        <f>IF(OR($E186="",B186=0),"",L186/B186*10000)</f>
        <v/>
      </c>
      <c r="Q186" s="34">
        <f>IF(OR($E186="",C186=0),"",F186/C186*10000)</f>
        <v/>
      </c>
      <c r="R186" s="34">
        <f>IF(OR($E186="",D186=0),"",'Daily Data'!I186/D186*10000)</f>
        <v/>
      </c>
    </row>
    <row r="187">
      <c r="A187" s="30" t="n">
        <v>45841</v>
      </c>
      <c r="B187" s="31">
        <f>'Daily Data'!B187-'Daily Data'!D187</f>
        <v/>
      </c>
      <c r="C187" s="32">
        <f>'Daily Data'!D187</f>
        <v/>
      </c>
      <c r="D187" s="32">
        <f>'Daily Data'!C187</f>
        <v/>
      </c>
      <c r="E187" s="32">
        <f>IF('Daily Data'!E187="","",'Daily Data'!E187)</f>
        <v/>
      </c>
      <c r="F187" s="32">
        <f>IF($E187="","",'Daily Data'!F187)</f>
        <v/>
      </c>
      <c r="G187" s="32">
        <f>IF($E187="","",'Daily Data'!G187)</f>
        <v/>
      </c>
      <c r="H187" s="31">
        <f>IF($E187="","",F187-G187)</f>
        <v/>
      </c>
      <c r="I187" s="32">
        <f>IF($E187="","",'Daily Data'!H187)</f>
        <v/>
      </c>
      <c r="J187" s="31">
        <f>IF($E187="","",E187-H187-I187)</f>
        <v/>
      </c>
      <c r="K187" s="33">
        <f>IF($E187="","",IF(A187&lt;HLP_ChangeDate,HLP_Legacy,HLP_Current))</f>
        <v/>
      </c>
      <c r="L187" s="31">
        <f>IF($E187="","",J187/(1-K187))</f>
        <v/>
      </c>
      <c r="M187" s="31">
        <f>IF($E187="","",I187/(1-K187))</f>
        <v/>
      </c>
      <c r="N187" s="31">
        <f>IF($E187="","",(B187+C187+D187)*Rate_Builder)</f>
        <v/>
      </c>
      <c r="O187" s="31">
        <f>IF($E187="","",E187*K187/(1-K187))</f>
        <v/>
      </c>
      <c r="P187" s="34">
        <f>IF(OR($E187="",B187=0),"",L187/B187*10000)</f>
        <v/>
      </c>
      <c r="Q187" s="34">
        <f>IF(OR($E187="",C187=0),"",F187/C187*10000)</f>
        <v/>
      </c>
      <c r="R187" s="34">
        <f>IF(OR($E187="",D187=0),"",'Daily Data'!I187/D187*10000)</f>
        <v/>
      </c>
    </row>
    <row r="188">
      <c r="A188" s="30" t="n">
        <v>45842</v>
      </c>
      <c r="B188" s="31">
        <f>'Daily Data'!B188-'Daily Data'!D188</f>
        <v/>
      </c>
      <c r="C188" s="32">
        <f>'Daily Data'!D188</f>
        <v/>
      </c>
      <c r="D188" s="32">
        <f>'Daily Data'!C188</f>
        <v/>
      </c>
      <c r="E188" s="32">
        <f>IF('Daily Data'!E188="","",'Daily Data'!E188)</f>
        <v/>
      </c>
      <c r="F188" s="32">
        <f>IF($E188="","",'Daily Data'!F188)</f>
        <v/>
      </c>
      <c r="G188" s="32">
        <f>IF($E188="","",'Daily Data'!G188)</f>
        <v/>
      </c>
      <c r="H188" s="31">
        <f>IF($E188="","",F188-G188)</f>
        <v/>
      </c>
      <c r="I188" s="32">
        <f>IF($E188="","",'Daily Data'!H188)</f>
        <v/>
      </c>
      <c r="J188" s="31">
        <f>IF($E188="","",E188-H188-I188)</f>
        <v/>
      </c>
      <c r="K188" s="33">
        <f>IF($E188="","",IF(A188&lt;HLP_ChangeDate,HLP_Legacy,HLP_Current))</f>
        <v/>
      </c>
      <c r="L188" s="31">
        <f>IF($E188="","",J188/(1-K188))</f>
        <v/>
      </c>
      <c r="M188" s="31">
        <f>IF($E188="","",I188/(1-K188))</f>
        <v/>
      </c>
      <c r="N188" s="31">
        <f>IF($E188="","",(B188+C188+D188)*Rate_Builder)</f>
        <v/>
      </c>
      <c r="O188" s="31">
        <f>IF($E188="","",E188*K188/(1-K188))</f>
        <v/>
      </c>
      <c r="P188" s="34">
        <f>IF(OR($E188="",B188=0),"",L188/B188*10000)</f>
        <v/>
      </c>
      <c r="Q188" s="34">
        <f>IF(OR($E188="",C188=0),"",F188/C188*10000)</f>
        <v/>
      </c>
      <c r="R188" s="34">
        <f>IF(OR($E188="",D188=0),"",'Daily Data'!I188/D188*10000)</f>
        <v/>
      </c>
    </row>
    <row r="189">
      <c r="A189" s="30" t="n">
        <v>45843</v>
      </c>
      <c r="B189" s="31">
        <f>'Daily Data'!B189-'Daily Data'!D189</f>
        <v/>
      </c>
      <c r="C189" s="32">
        <f>'Daily Data'!D189</f>
        <v/>
      </c>
      <c r="D189" s="32">
        <f>'Daily Data'!C189</f>
        <v/>
      </c>
      <c r="E189" s="32">
        <f>IF('Daily Data'!E189="","",'Daily Data'!E189)</f>
        <v/>
      </c>
      <c r="F189" s="32">
        <f>IF($E189="","",'Daily Data'!F189)</f>
        <v/>
      </c>
      <c r="G189" s="32">
        <f>IF($E189="","",'Daily Data'!G189)</f>
        <v/>
      </c>
      <c r="H189" s="31">
        <f>IF($E189="","",F189-G189)</f>
        <v/>
      </c>
      <c r="I189" s="32">
        <f>IF($E189="","",'Daily Data'!H189)</f>
        <v/>
      </c>
      <c r="J189" s="31">
        <f>IF($E189="","",E189-H189-I189)</f>
        <v/>
      </c>
      <c r="K189" s="33">
        <f>IF($E189="","",IF(A189&lt;HLP_ChangeDate,HLP_Legacy,HLP_Current))</f>
        <v/>
      </c>
      <c r="L189" s="31">
        <f>IF($E189="","",J189/(1-K189))</f>
        <v/>
      </c>
      <c r="M189" s="31">
        <f>IF($E189="","",I189/(1-K189))</f>
        <v/>
      </c>
      <c r="N189" s="31">
        <f>IF($E189="","",(B189+C189+D189)*Rate_Builder)</f>
        <v/>
      </c>
      <c r="O189" s="31">
        <f>IF($E189="","",E189*K189/(1-K189))</f>
        <v/>
      </c>
      <c r="P189" s="34">
        <f>IF(OR($E189="",B189=0),"",L189/B189*10000)</f>
        <v/>
      </c>
      <c r="Q189" s="34">
        <f>IF(OR($E189="",C189=0),"",F189/C189*10000)</f>
        <v/>
      </c>
      <c r="R189" s="34">
        <f>IF(OR($E189="",D189=0),"",'Daily Data'!I189/D189*10000)</f>
        <v/>
      </c>
    </row>
    <row r="190">
      <c r="A190" s="30" t="n">
        <v>45844</v>
      </c>
      <c r="B190" s="31">
        <f>'Daily Data'!B190-'Daily Data'!D190</f>
        <v/>
      </c>
      <c r="C190" s="32">
        <f>'Daily Data'!D190</f>
        <v/>
      </c>
      <c r="D190" s="32">
        <f>'Daily Data'!C190</f>
        <v/>
      </c>
      <c r="E190" s="32">
        <f>IF('Daily Data'!E190="","",'Daily Data'!E190)</f>
        <v/>
      </c>
      <c r="F190" s="32">
        <f>IF($E190="","",'Daily Data'!F190)</f>
        <v/>
      </c>
      <c r="G190" s="32">
        <f>IF($E190="","",'Daily Data'!G190)</f>
        <v/>
      </c>
      <c r="H190" s="31">
        <f>IF($E190="","",F190-G190)</f>
        <v/>
      </c>
      <c r="I190" s="32">
        <f>IF($E190="","",'Daily Data'!H190)</f>
        <v/>
      </c>
      <c r="J190" s="31">
        <f>IF($E190="","",E190-H190-I190)</f>
        <v/>
      </c>
      <c r="K190" s="33">
        <f>IF($E190="","",IF(A190&lt;HLP_ChangeDate,HLP_Legacy,HLP_Current))</f>
        <v/>
      </c>
      <c r="L190" s="31">
        <f>IF($E190="","",J190/(1-K190))</f>
        <v/>
      </c>
      <c r="M190" s="31">
        <f>IF($E190="","",I190/(1-K190))</f>
        <v/>
      </c>
      <c r="N190" s="31">
        <f>IF($E190="","",(B190+C190+D190)*Rate_Builder)</f>
        <v/>
      </c>
      <c r="O190" s="31">
        <f>IF($E190="","",E190*K190/(1-K190))</f>
        <v/>
      </c>
      <c r="P190" s="34">
        <f>IF(OR($E190="",B190=0),"",L190/B190*10000)</f>
        <v/>
      </c>
      <c r="Q190" s="34">
        <f>IF(OR($E190="",C190=0),"",F190/C190*10000)</f>
        <v/>
      </c>
      <c r="R190" s="34">
        <f>IF(OR($E190="",D190=0),"",'Daily Data'!I190/D190*10000)</f>
        <v/>
      </c>
    </row>
    <row r="191">
      <c r="A191" s="30" t="n">
        <v>45845</v>
      </c>
      <c r="B191" s="31">
        <f>'Daily Data'!B191-'Daily Data'!D191</f>
        <v/>
      </c>
      <c r="C191" s="32">
        <f>'Daily Data'!D191</f>
        <v/>
      </c>
      <c r="D191" s="32">
        <f>'Daily Data'!C191</f>
        <v/>
      </c>
      <c r="E191" s="32">
        <f>IF('Daily Data'!E191="","",'Daily Data'!E191)</f>
        <v/>
      </c>
      <c r="F191" s="32">
        <f>IF($E191="","",'Daily Data'!F191)</f>
        <v/>
      </c>
      <c r="G191" s="32">
        <f>IF($E191="","",'Daily Data'!G191)</f>
        <v/>
      </c>
      <c r="H191" s="31">
        <f>IF($E191="","",F191-G191)</f>
        <v/>
      </c>
      <c r="I191" s="32">
        <f>IF($E191="","",'Daily Data'!H191)</f>
        <v/>
      </c>
      <c r="J191" s="31">
        <f>IF($E191="","",E191-H191-I191)</f>
        <v/>
      </c>
      <c r="K191" s="33">
        <f>IF($E191="","",IF(A191&lt;HLP_ChangeDate,HLP_Legacy,HLP_Current))</f>
        <v/>
      </c>
      <c r="L191" s="31">
        <f>IF($E191="","",J191/(1-K191))</f>
        <v/>
      </c>
      <c r="M191" s="31">
        <f>IF($E191="","",I191/(1-K191))</f>
        <v/>
      </c>
      <c r="N191" s="31">
        <f>IF($E191="","",(B191+C191+D191)*Rate_Builder)</f>
        <v/>
      </c>
      <c r="O191" s="31">
        <f>IF($E191="","",E191*K191/(1-K191))</f>
        <v/>
      </c>
      <c r="P191" s="34">
        <f>IF(OR($E191="",B191=0),"",L191/B191*10000)</f>
        <v/>
      </c>
      <c r="Q191" s="34">
        <f>IF(OR($E191="",C191=0),"",F191/C191*10000)</f>
        <v/>
      </c>
      <c r="R191" s="34">
        <f>IF(OR($E191="",D191=0),"",'Daily Data'!I191/D191*10000)</f>
        <v/>
      </c>
    </row>
    <row r="192">
      <c r="A192" s="30" t="n">
        <v>45846</v>
      </c>
      <c r="B192" s="31">
        <f>'Daily Data'!B192-'Daily Data'!D192</f>
        <v/>
      </c>
      <c r="C192" s="32">
        <f>'Daily Data'!D192</f>
        <v/>
      </c>
      <c r="D192" s="32">
        <f>'Daily Data'!C192</f>
        <v/>
      </c>
      <c r="E192" s="32">
        <f>IF('Daily Data'!E192="","",'Daily Data'!E192)</f>
        <v/>
      </c>
      <c r="F192" s="32">
        <f>IF($E192="","",'Daily Data'!F192)</f>
        <v/>
      </c>
      <c r="G192" s="32">
        <f>IF($E192="","",'Daily Data'!G192)</f>
        <v/>
      </c>
      <c r="H192" s="31">
        <f>IF($E192="","",F192-G192)</f>
        <v/>
      </c>
      <c r="I192" s="32">
        <f>IF($E192="","",'Daily Data'!H192)</f>
        <v/>
      </c>
      <c r="J192" s="31">
        <f>IF($E192="","",E192-H192-I192)</f>
        <v/>
      </c>
      <c r="K192" s="33">
        <f>IF($E192="","",IF(A192&lt;HLP_ChangeDate,HLP_Legacy,HLP_Current))</f>
        <v/>
      </c>
      <c r="L192" s="31">
        <f>IF($E192="","",J192/(1-K192))</f>
        <v/>
      </c>
      <c r="M192" s="31">
        <f>IF($E192="","",I192/(1-K192))</f>
        <v/>
      </c>
      <c r="N192" s="31">
        <f>IF($E192="","",(B192+C192+D192)*Rate_Builder)</f>
        <v/>
      </c>
      <c r="O192" s="31">
        <f>IF($E192="","",E192*K192/(1-K192))</f>
        <v/>
      </c>
      <c r="P192" s="34">
        <f>IF(OR($E192="",B192=0),"",L192/B192*10000)</f>
        <v/>
      </c>
      <c r="Q192" s="34">
        <f>IF(OR($E192="",C192=0),"",F192/C192*10000)</f>
        <v/>
      </c>
      <c r="R192" s="34">
        <f>IF(OR($E192="",D192=0),"",'Daily Data'!I192/D192*10000)</f>
        <v/>
      </c>
    </row>
    <row r="193">
      <c r="A193" s="30" t="n">
        <v>45847</v>
      </c>
      <c r="B193" s="31">
        <f>'Daily Data'!B193-'Daily Data'!D193</f>
        <v/>
      </c>
      <c r="C193" s="32">
        <f>'Daily Data'!D193</f>
        <v/>
      </c>
      <c r="D193" s="32">
        <f>'Daily Data'!C193</f>
        <v/>
      </c>
      <c r="E193" s="32">
        <f>IF('Daily Data'!E193="","",'Daily Data'!E193)</f>
        <v/>
      </c>
      <c r="F193" s="32">
        <f>IF($E193="","",'Daily Data'!F193)</f>
        <v/>
      </c>
      <c r="G193" s="32">
        <f>IF($E193="","",'Daily Data'!G193)</f>
        <v/>
      </c>
      <c r="H193" s="31">
        <f>IF($E193="","",F193-G193)</f>
        <v/>
      </c>
      <c r="I193" s="32">
        <f>IF($E193="","",'Daily Data'!H193)</f>
        <v/>
      </c>
      <c r="J193" s="31">
        <f>IF($E193="","",E193-H193-I193)</f>
        <v/>
      </c>
      <c r="K193" s="33">
        <f>IF($E193="","",IF(A193&lt;HLP_ChangeDate,HLP_Legacy,HLP_Current))</f>
        <v/>
      </c>
      <c r="L193" s="31">
        <f>IF($E193="","",J193/(1-K193))</f>
        <v/>
      </c>
      <c r="M193" s="31">
        <f>IF($E193="","",I193/(1-K193))</f>
        <v/>
      </c>
      <c r="N193" s="31">
        <f>IF($E193="","",(B193+C193+D193)*Rate_Builder)</f>
        <v/>
      </c>
      <c r="O193" s="31">
        <f>IF($E193="","",E193*K193/(1-K193))</f>
        <v/>
      </c>
      <c r="P193" s="34">
        <f>IF(OR($E193="",B193=0),"",L193/B193*10000)</f>
        <v/>
      </c>
      <c r="Q193" s="34">
        <f>IF(OR($E193="",C193=0),"",F193/C193*10000)</f>
        <v/>
      </c>
      <c r="R193" s="34">
        <f>IF(OR($E193="",D193=0),"",'Daily Data'!I193/D193*10000)</f>
        <v/>
      </c>
    </row>
    <row r="194">
      <c r="A194" s="30" t="n">
        <v>45848</v>
      </c>
      <c r="B194" s="31">
        <f>'Daily Data'!B194-'Daily Data'!D194</f>
        <v/>
      </c>
      <c r="C194" s="32">
        <f>'Daily Data'!D194</f>
        <v/>
      </c>
      <c r="D194" s="32">
        <f>'Daily Data'!C194</f>
        <v/>
      </c>
      <c r="E194" s="32">
        <f>IF('Daily Data'!E194="","",'Daily Data'!E194)</f>
        <v/>
      </c>
      <c r="F194" s="32">
        <f>IF($E194="","",'Daily Data'!F194)</f>
        <v/>
      </c>
      <c r="G194" s="32">
        <f>IF($E194="","",'Daily Data'!G194)</f>
        <v/>
      </c>
      <c r="H194" s="31">
        <f>IF($E194="","",F194-G194)</f>
        <v/>
      </c>
      <c r="I194" s="32">
        <f>IF($E194="","",'Daily Data'!H194)</f>
        <v/>
      </c>
      <c r="J194" s="31">
        <f>IF($E194="","",E194-H194-I194)</f>
        <v/>
      </c>
      <c r="K194" s="33">
        <f>IF($E194="","",IF(A194&lt;HLP_ChangeDate,HLP_Legacy,HLP_Current))</f>
        <v/>
      </c>
      <c r="L194" s="31">
        <f>IF($E194="","",J194/(1-K194))</f>
        <v/>
      </c>
      <c r="M194" s="31">
        <f>IF($E194="","",I194/(1-K194))</f>
        <v/>
      </c>
      <c r="N194" s="31">
        <f>IF($E194="","",(B194+C194+D194)*Rate_Builder)</f>
        <v/>
      </c>
      <c r="O194" s="31">
        <f>IF($E194="","",E194*K194/(1-K194))</f>
        <v/>
      </c>
      <c r="P194" s="34">
        <f>IF(OR($E194="",B194=0),"",L194/B194*10000)</f>
        <v/>
      </c>
      <c r="Q194" s="34">
        <f>IF(OR($E194="",C194=0),"",F194/C194*10000)</f>
        <v/>
      </c>
      <c r="R194" s="34">
        <f>IF(OR($E194="",D194=0),"",'Daily Data'!I194/D194*10000)</f>
        <v/>
      </c>
    </row>
    <row r="195">
      <c r="A195" s="30" t="n">
        <v>45849</v>
      </c>
      <c r="B195" s="31">
        <f>'Daily Data'!B195-'Daily Data'!D195</f>
        <v/>
      </c>
      <c r="C195" s="32">
        <f>'Daily Data'!D195</f>
        <v/>
      </c>
      <c r="D195" s="32">
        <f>'Daily Data'!C195</f>
        <v/>
      </c>
      <c r="E195" s="32">
        <f>IF('Daily Data'!E195="","",'Daily Data'!E195)</f>
        <v/>
      </c>
      <c r="F195" s="32">
        <f>IF($E195="","",'Daily Data'!F195)</f>
        <v/>
      </c>
      <c r="G195" s="32">
        <f>IF($E195="","",'Daily Data'!G195)</f>
        <v/>
      </c>
      <c r="H195" s="31">
        <f>IF($E195="","",F195-G195)</f>
        <v/>
      </c>
      <c r="I195" s="32">
        <f>IF($E195="","",'Daily Data'!H195)</f>
        <v/>
      </c>
      <c r="J195" s="31">
        <f>IF($E195="","",E195-H195-I195)</f>
        <v/>
      </c>
      <c r="K195" s="33">
        <f>IF($E195="","",IF(A195&lt;HLP_ChangeDate,HLP_Legacy,HLP_Current))</f>
        <v/>
      </c>
      <c r="L195" s="31">
        <f>IF($E195="","",J195/(1-K195))</f>
        <v/>
      </c>
      <c r="M195" s="31">
        <f>IF($E195="","",I195/(1-K195))</f>
        <v/>
      </c>
      <c r="N195" s="31">
        <f>IF($E195="","",(B195+C195+D195)*Rate_Builder)</f>
        <v/>
      </c>
      <c r="O195" s="31">
        <f>IF($E195="","",E195*K195/(1-K195))</f>
        <v/>
      </c>
      <c r="P195" s="34">
        <f>IF(OR($E195="",B195=0),"",L195/B195*10000)</f>
        <v/>
      </c>
      <c r="Q195" s="34">
        <f>IF(OR($E195="",C195=0),"",F195/C195*10000)</f>
        <v/>
      </c>
      <c r="R195" s="34">
        <f>IF(OR($E195="",D195=0),"",'Daily Data'!I195/D195*10000)</f>
        <v/>
      </c>
    </row>
    <row r="196">
      <c r="A196" s="30" t="n">
        <v>45850</v>
      </c>
      <c r="B196" s="31">
        <f>'Daily Data'!B196-'Daily Data'!D196</f>
        <v/>
      </c>
      <c r="C196" s="32">
        <f>'Daily Data'!D196</f>
        <v/>
      </c>
      <c r="D196" s="32">
        <f>'Daily Data'!C196</f>
        <v/>
      </c>
      <c r="E196" s="32">
        <f>IF('Daily Data'!E196="","",'Daily Data'!E196)</f>
        <v/>
      </c>
      <c r="F196" s="32">
        <f>IF($E196="","",'Daily Data'!F196)</f>
        <v/>
      </c>
      <c r="G196" s="32">
        <f>IF($E196="","",'Daily Data'!G196)</f>
        <v/>
      </c>
      <c r="H196" s="31">
        <f>IF($E196="","",F196-G196)</f>
        <v/>
      </c>
      <c r="I196" s="32">
        <f>IF($E196="","",'Daily Data'!H196)</f>
        <v/>
      </c>
      <c r="J196" s="31">
        <f>IF($E196="","",E196-H196-I196)</f>
        <v/>
      </c>
      <c r="K196" s="33">
        <f>IF($E196="","",IF(A196&lt;HLP_ChangeDate,HLP_Legacy,HLP_Current))</f>
        <v/>
      </c>
      <c r="L196" s="31">
        <f>IF($E196="","",J196/(1-K196))</f>
        <v/>
      </c>
      <c r="M196" s="31">
        <f>IF($E196="","",I196/(1-K196))</f>
        <v/>
      </c>
      <c r="N196" s="31">
        <f>IF($E196="","",(B196+C196+D196)*Rate_Builder)</f>
        <v/>
      </c>
      <c r="O196" s="31">
        <f>IF($E196="","",E196*K196/(1-K196))</f>
        <v/>
      </c>
      <c r="P196" s="34">
        <f>IF(OR($E196="",B196=0),"",L196/B196*10000)</f>
        <v/>
      </c>
      <c r="Q196" s="34">
        <f>IF(OR($E196="",C196=0),"",F196/C196*10000)</f>
        <v/>
      </c>
      <c r="R196" s="34">
        <f>IF(OR($E196="",D196=0),"",'Daily Data'!I196/D196*10000)</f>
        <v/>
      </c>
    </row>
    <row r="197">
      <c r="A197" s="30" t="n">
        <v>45851</v>
      </c>
      <c r="B197" s="31">
        <f>'Daily Data'!B197-'Daily Data'!D197</f>
        <v/>
      </c>
      <c r="C197" s="32">
        <f>'Daily Data'!D197</f>
        <v/>
      </c>
      <c r="D197" s="32">
        <f>'Daily Data'!C197</f>
        <v/>
      </c>
      <c r="E197" s="32">
        <f>IF('Daily Data'!E197="","",'Daily Data'!E197)</f>
        <v/>
      </c>
      <c r="F197" s="32">
        <f>IF($E197="","",'Daily Data'!F197)</f>
        <v/>
      </c>
      <c r="G197" s="32">
        <f>IF($E197="","",'Daily Data'!G197)</f>
        <v/>
      </c>
      <c r="H197" s="31">
        <f>IF($E197="","",F197-G197)</f>
        <v/>
      </c>
      <c r="I197" s="32">
        <f>IF($E197="","",'Daily Data'!H197)</f>
        <v/>
      </c>
      <c r="J197" s="31">
        <f>IF($E197="","",E197-H197-I197)</f>
        <v/>
      </c>
      <c r="K197" s="33">
        <f>IF($E197="","",IF(A197&lt;HLP_ChangeDate,HLP_Legacy,HLP_Current))</f>
        <v/>
      </c>
      <c r="L197" s="31">
        <f>IF($E197="","",J197/(1-K197))</f>
        <v/>
      </c>
      <c r="M197" s="31">
        <f>IF($E197="","",I197/(1-K197))</f>
        <v/>
      </c>
      <c r="N197" s="31">
        <f>IF($E197="","",(B197+C197+D197)*Rate_Builder)</f>
        <v/>
      </c>
      <c r="O197" s="31">
        <f>IF($E197="","",E197*K197/(1-K197))</f>
        <v/>
      </c>
      <c r="P197" s="34">
        <f>IF(OR($E197="",B197=0),"",L197/B197*10000)</f>
        <v/>
      </c>
      <c r="Q197" s="34">
        <f>IF(OR($E197="",C197=0),"",F197/C197*10000)</f>
        <v/>
      </c>
      <c r="R197" s="34">
        <f>IF(OR($E197="",D197=0),"",'Daily Data'!I197/D197*10000)</f>
        <v/>
      </c>
    </row>
    <row r="198">
      <c r="A198" s="30" t="n">
        <v>45852</v>
      </c>
      <c r="B198" s="31">
        <f>'Daily Data'!B198-'Daily Data'!D198</f>
        <v/>
      </c>
      <c r="C198" s="32">
        <f>'Daily Data'!D198</f>
        <v/>
      </c>
      <c r="D198" s="32">
        <f>'Daily Data'!C198</f>
        <v/>
      </c>
      <c r="E198" s="32">
        <f>IF('Daily Data'!E198="","",'Daily Data'!E198)</f>
        <v/>
      </c>
      <c r="F198" s="32">
        <f>IF($E198="","",'Daily Data'!F198)</f>
        <v/>
      </c>
      <c r="G198" s="32">
        <f>IF($E198="","",'Daily Data'!G198)</f>
        <v/>
      </c>
      <c r="H198" s="31">
        <f>IF($E198="","",F198-G198)</f>
        <v/>
      </c>
      <c r="I198" s="32">
        <f>IF($E198="","",'Daily Data'!H198)</f>
        <v/>
      </c>
      <c r="J198" s="31">
        <f>IF($E198="","",E198-H198-I198)</f>
        <v/>
      </c>
      <c r="K198" s="33">
        <f>IF($E198="","",IF(A198&lt;HLP_ChangeDate,HLP_Legacy,HLP_Current))</f>
        <v/>
      </c>
      <c r="L198" s="31">
        <f>IF($E198="","",J198/(1-K198))</f>
        <v/>
      </c>
      <c r="M198" s="31">
        <f>IF($E198="","",I198/(1-K198))</f>
        <v/>
      </c>
      <c r="N198" s="31">
        <f>IF($E198="","",(B198+C198+D198)*Rate_Builder)</f>
        <v/>
      </c>
      <c r="O198" s="31">
        <f>IF($E198="","",E198*K198/(1-K198))</f>
        <v/>
      </c>
      <c r="P198" s="34">
        <f>IF(OR($E198="",B198=0),"",L198/B198*10000)</f>
        <v/>
      </c>
      <c r="Q198" s="34">
        <f>IF(OR($E198="",C198=0),"",F198/C198*10000)</f>
        <v/>
      </c>
      <c r="R198" s="34">
        <f>IF(OR($E198="",D198=0),"",'Daily Data'!I198/D198*10000)</f>
        <v/>
      </c>
    </row>
    <row r="199">
      <c r="A199" s="30" t="n">
        <v>45853</v>
      </c>
      <c r="B199" s="31">
        <f>'Daily Data'!B199-'Daily Data'!D199</f>
        <v/>
      </c>
      <c r="C199" s="32">
        <f>'Daily Data'!D199</f>
        <v/>
      </c>
      <c r="D199" s="32">
        <f>'Daily Data'!C199</f>
        <v/>
      </c>
      <c r="E199" s="32">
        <f>IF('Daily Data'!E199="","",'Daily Data'!E199)</f>
        <v/>
      </c>
      <c r="F199" s="32">
        <f>IF($E199="","",'Daily Data'!F199)</f>
        <v/>
      </c>
      <c r="G199" s="32">
        <f>IF($E199="","",'Daily Data'!G199)</f>
        <v/>
      </c>
      <c r="H199" s="31">
        <f>IF($E199="","",F199-G199)</f>
        <v/>
      </c>
      <c r="I199" s="32">
        <f>IF($E199="","",'Daily Data'!H199)</f>
        <v/>
      </c>
      <c r="J199" s="31">
        <f>IF($E199="","",E199-H199-I199)</f>
        <v/>
      </c>
      <c r="K199" s="33">
        <f>IF($E199="","",IF(A199&lt;HLP_ChangeDate,HLP_Legacy,HLP_Current))</f>
        <v/>
      </c>
      <c r="L199" s="31">
        <f>IF($E199="","",J199/(1-K199))</f>
        <v/>
      </c>
      <c r="M199" s="31">
        <f>IF($E199="","",I199/(1-K199))</f>
        <v/>
      </c>
      <c r="N199" s="31">
        <f>IF($E199="","",(B199+C199+D199)*Rate_Builder)</f>
        <v/>
      </c>
      <c r="O199" s="31">
        <f>IF($E199="","",E199*K199/(1-K199))</f>
        <v/>
      </c>
      <c r="P199" s="34">
        <f>IF(OR($E199="",B199=0),"",L199/B199*10000)</f>
        <v/>
      </c>
      <c r="Q199" s="34">
        <f>IF(OR($E199="",C199=0),"",F199/C199*10000)</f>
        <v/>
      </c>
      <c r="R199" s="34">
        <f>IF(OR($E199="",D199=0),"",'Daily Data'!I199/D199*10000)</f>
        <v/>
      </c>
    </row>
    <row r="200">
      <c r="A200" s="30" t="n">
        <v>45854</v>
      </c>
      <c r="B200" s="31">
        <f>'Daily Data'!B200-'Daily Data'!D200</f>
        <v/>
      </c>
      <c r="C200" s="32">
        <f>'Daily Data'!D200</f>
        <v/>
      </c>
      <c r="D200" s="32">
        <f>'Daily Data'!C200</f>
        <v/>
      </c>
      <c r="E200" s="32">
        <f>IF('Daily Data'!E200="","",'Daily Data'!E200)</f>
        <v/>
      </c>
      <c r="F200" s="32">
        <f>IF($E200="","",'Daily Data'!F200)</f>
        <v/>
      </c>
      <c r="G200" s="32">
        <f>IF($E200="","",'Daily Data'!G200)</f>
        <v/>
      </c>
      <c r="H200" s="31">
        <f>IF($E200="","",F200-G200)</f>
        <v/>
      </c>
      <c r="I200" s="32">
        <f>IF($E200="","",'Daily Data'!H200)</f>
        <v/>
      </c>
      <c r="J200" s="31">
        <f>IF($E200="","",E200-H200-I200)</f>
        <v/>
      </c>
      <c r="K200" s="33">
        <f>IF($E200="","",IF(A200&lt;HLP_ChangeDate,HLP_Legacy,HLP_Current))</f>
        <v/>
      </c>
      <c r="L200" s="31">
        <f>IF($E200="","",J200/(1-K200))</f>
        <v/>
      </c>
      <c r="M200" s="31">
        <f>IF($E200="","",I200/(1-K200))</f>
        <v/>
      </c>
      <c r="N200" s="31">
        <f>IF($E200="","",(B200+C200+D200)*Rate_Builder)</f>
        <v/>
      </c>
      <c r="O200" s="31">
        <f>IF($E200="","",E200*K200/(1-K200))</f>
        <v/>
      </c>
      <c r="P200" s="34">
        <f>IF(OR($E200="",B200=0),"",L200/B200*10000)</f>
        <v/>
      </c>
      <c r="Q200" s="34">
        <f>IF(OR($E200="",C200=0),"",F200/C200*10000)</f>
        <v/>
      </c>
      <c r="R200" s="34">
        <f>IF(OR($E200="",D200=0),"",'Daily Data'!I200/D200*10000)</f>
        <v/>
      </c>
    </row>
    <row r="201">
      <c r="A201" s="30" t="n">
        <v>45855</v>
      </c>
      <c r="B201" s="31">
        <f>'Daily Data'!B201-'Daily Data'!D201</f>
        <v/>
      </c>
      <c r="C201" s="32">
        <f>'Daily Data'!D201</f>
        <v/>
      </c>
      <c r="D201" s="32">
        <f>'Daily Data'!C201</f>
        <v/>
      </c>
      <c r="E201" s="32">
        <f>IF('Daily Data'!E201="","",'Daily Data'!E201)</f>
        <v/>
      </c>
      <c r="F201" s="32">
        <f>IF($E201="","",'Daily Data'!F201)</f>
        <v/>
      </c>
      <c r="G201" s="32">
        <f>IF($E201="","",'Daily Data'!G201)</f>
        <v/>
      </c>
      <c r="H201" s="31">
        <f>IF($E201="","",F201-G201)</f>
        <v/>
      </c>
      <c r="I201" s="32">
        <f>IF($E201="","",'Daily Data'!H201)</f>
        <v/>
      </c>
      <c r="J201" s="31">
        <f>IF($E201="","",E201-H201-I201)</f>
        <v/>
      </c>
      <c r="K201" s="33">
        <f>IF($E201="","",IF(A201&lt;HLP_ChangeDate,HLP_Legacy,HLP_Current))</f>
        <v/>
      </c>
      <c r="L201" s="31">
        <f>IF($E201="","",J201/(1-K201))</f>
        <v/>
      </c>
      <c r="M201" s="31">
        <f>IF($E201="","",I201/(1-K201))</f>
        <v/>
      </c>
      <c r="N201" s="31">
        <f>IF($E201="","",(B201+C201+D201)*Rate_Builder)</f>
        <v/>
      </c>
      <c r="O201" s="31">
        <f>IF($E201="","",E201*K201/(1-K201))</f>
        <v/>
      </c>
      <c r="P201" s="34">
        <f>IF(OR($E201="",B201=0),"",L201/B201*10000)</f>
        <v/>
      </c>
      <c r="Q201" s="34">
        <f>IF(OR($E201="",C201=0),"",F201/C201*10000)</f>
        <v/>
      </c>
      <c r="R201" s="34">
        <f>IF(OR($E201="",D201=0),"",'Daily Data'!I201/D201*10000)</f>
        <v/>
      </c>
    </row>
    <row r="202">
      <c r="A202" s="30" t="n">
        <v>45856</v>
      </c>
      <c r="B202" s="31">
        <f>'Daily Data'!B202-'Daily Data'!D202</f>
        <v/>
      </c>
      <c r="C202" s="32">
        <f>'Daily Data'!D202</f>
        <v/>
      </c>
      <c r="D202" s="32">
        <f>'Daily Data'!C202</f>
        <v/>
      </c>
      <c r="E202" s="32">
        <f>IF('Daily Data'!E202="","",'Daily Data'!E202)</f>
        <v/>
      </c>
      <c r="F202" s="32">
        <f>IF($E202="","",'Daily Data'!F202)</f>
        <v/>
      </c>
      <c r="G202" s="32">
        <f>IF($E202="","",'Daily Data'!G202)</f>
        <v/>
      </c>
      <c r="H202" s="31">
        <f>IF($E202="","",F202-G202)</f>
        <v/>
      </c>
      <c r="I202" s="32">
        <f>IF($E202="","",'Daily Data'!H202)</f>
        <v/>
      </c>
      <c r="J202" s="31">
        <f>IF($E202="","",E202-H202-I202)</f>
        <v/>
      </c>
      <c r="K202" s="33">
        <f>IF($E202="","",IF(A202&lt;HLP_ChangeDate,HLP_Legacy,HLP_Current))</f>
        <v/>
      </c>
      <c r="L202" s="31">
        <f>IF($E202="","",J202/(1-K202))</f>
        <v/>
      </c>
      <c r="M202" s="31">
        <f>IF($E202="","",I202/(1-K202))</f>
        <v/>
      </c>
      <c r="N202" s="31">
        <f>IF($E202="","",(B202+C202+D202)*Rate_Builder)</f>
        <v/>
      </c>
      <c r="O202" s="31">
        <f>IF($E202="","",E202*K202/(1-K202))</f>
        <v/>
      </c>
      <c r="P202" s="34">
        <f>IF(OR($E202="",B202=0),"",L202/B202*10000)</f>
        <v/>
      </c>
      <c r="Q202" s="34">
        <f>IF(OR($E202="",C202=0),"",F202/C202*10000)</f>
        <v/>
      </c>
      <c r="R202" s="34">
        <f>IF(OR($E202="",D202=0),"",'Daily Data'!I202/D202*10000)</f>
        <v/>
      </c>
    </row>
    <row r="203">
      <c r="A203" s="30" t="n">
        <v>45857</v>
      </c>
      <c r="B203" s="31">
        <f>'Daily Data'!B203-'Daily Data'!D203</f>
        <v/>
      </c>
      <c r="C203" s="32">
        <f>'Daily Data'!D203</f>
        <v/>
      </c>
      <c r="D203" s="32">
        <f>'Daily Data'!C203</f>
        <v/>
      </c>
      <c r="E203" s="32">
        <f>IF('Daily Data'!E203="","",'Daily Data'!E203)</f>
        <v/>
      </c>
      <c r="F203" s="32">
        <f>IF($E203="","",'Daily Data'!F203)</f>
        <v/>
      </c>
      <c r="G203" s="32">
        <f>IF($E203="","",'Daily Data'!G203)</f>
        <v/>
      </c>
      <c r="H203" s="31">
        <f>IF($E203="","",F203-G203)</f>
        <v/>
      </c>
      <c r="I203" s="32">
        <f>IF($E203="","",'Daily Data'!H203)</f>
        <v/>
      </c>
      <c r="J203" s="31">
        <f>IF($E203="","",E203-H203-I203)</f>
        <v/>
      </c>
      <c r="K203" s="33">
        <f>IF($E203="","",IF(A203&lt;HLP_ChangeDate,HLP_Legacy,HLP_Current))</f>
        <v/>
      </c>
      <c r="L203" s="31">
        <f>IF($E203="","",J203/(1-K203))</f>
        <v/>
      </c>
      <c r="M203" s="31">
        <f>IF($E203="","",I203/(1-K203))</f>
        <v/>
      </c>
      <c r="N203" s="31">
        <f>IF($E203="","",(B203+C203+D203)*Rate_Builder)</f>
        <v/>
      </c>
      <c r="O203" s="31">
        <f>IF($E203="","",E203*K203/(1-K203))</f>
        <v/>
      </c>
      <c r="P203" s="34">
        <f>IF(OR($E203="",B203=0),"",L203/B203*10000)</f>
        <v/>
      </c>
      <c r="Q203" s="34">
        <f>IF(OR($E203="",C203=0),"",F203/C203*10000)</f>
        <v/>
      </c>
      <c r="R203" s="34">
        <f>IF(OR($E203="",D203=0),"",'Daily Data'!I203/D203*10000)</f>
        <v/>
      </c>
    </row>
    <row r="204">
      <c r="A204" s="30" t="n">
        <v>45858</v>
      </c>
      <c r="B204" s="31">
        <f>'Daily Data'!B204-'Daily Data'!D204</f>
        <v/>
      </c>
      <c r="C204" s="32">
        <f>'Daily Data'!D204</f>
        <v/>
      </c>
      <c r="D204" s="32">
        <f>'Daily Data'!C204</f>
        <v/>
      </c>
      <c r="E204" s="32">
        <f>IF('Daily Data'!E204="","",'Daily Data'!E204)</f>
        <v/>
      </c>
      <c r="F204" s="32">
        <f>IF($E204="","",'Daily Data'!F204)</f>
        <v/>
      </c>
      <c r="G204" s="32">
        <f>IF($E204="","",'Daily Data'!G204)</f>
        <v/>
      </c>
      <c r="H204" s="31">
        <f>IF($E204="","",F204-G204)</f>
        <v/>
      </c>
      <c r="I204" s="32">
        <f>IF($E204="","",'Daily Data'!H204)</f>
        <v/>
      </c>
      <c r="J204" s="31">
        <f>IF($E204="","",E204-H204-I204)</f>
        <v/>
      </c>
      <c r="K204" s="33">
        <f>IF($E204="","",IF(A204&lt;HLP_ChangeDate,HLP_Legacy,HLP_Current))</f>
        <v/>
      </c>
      <c r="L204" s="31">
        <f>IF($E204="","",J204/(1-K204))</f>
        <v/>
      </c>
      <c r="M204" s="31">
        <f>IF($E204="","",I204/(1-K204))</f>
        <v/>
      </c>
      <c r="N204" s="31">
        <f>IF($E204="","",(B204+C204+D204)*Rate_Builder)</f>
        <v/>
      </c>
      <c r="O204" s="31">
        <f>IF($E204="","",E204*K204/(1-K204))</f>
        <v/>
      </c>
      <c r="P204" s="34">
        <f>IF(OR($E204="",B204=0),"",L204/B204*10000)</f>
        <v/>
      </c>
      <c r="Q204" s="34">
        <f>IF(OR($E204="",C204=0),"",F204/C204*10000)</f>
        <v/>
      </c>
      <c r="R204" s="34">
        <f>IF(OR($E204="",D204=0),"",'Daily Data'!I204/D204*10000)</f>
        <v/>
      </c>
    </row>
    <row r="205">
      <c r="A205" s="30" t="n">
        <v>45859</v>
      </c>
      <c r="B205" s="31">
        <f>'Daily Data'!B205-'Daily Data'!D205</f>
        <v/>
      </c>
      <c r="C205" s="32">
        <f>'Daily Data'!D205</f>
        <v/>
      </c>
      <c r="D205" s="32">
        <f>'Daily Data'!C205</f>
        <v/>
      </c>
      <c r="E205" s="32">
        <f>IF('Daily Data'!E205="","",'Daily Data'!E205)</f>
        <v/>
      </c>
      <c r="F205" s="32">
        <f>IF($E205="","",'Daily Data'!F205)</f>
        <v/>
      </c>
      <c r="G205" s="32">
        <f>IF($E205="","",'Daily Data'!G205)</f>
        <v/>
      </c>
      <c r="H205" s="31">
        <f>IF($E205="","",F205-G205)</f>
        <v/>
      </c>
      <c r="I205" s="32">
        <f>IF($E205="","",'Daily Data'!H205)</f>
        <v/>
      </c>
      <c r="J205" s="31">
        <f>IF($E205="","",E205-H205-I205)</f>
        <v/>
      </c>
      <c r="K205" s="33">
        <f>IF($E205="","",IF(A205&lt;HLP_ChangeDate,HLP_Legacy,HLP_Current))</f>
        <v/>
      </c>
      <c r="L205" s="31">
        <f>IF($E205="","",J205/(1-K205))</f>
        <v/>
      </c>
      <c r="M205" s="31">
        <f>IF($E205="","",I205/(1-K205))</f>
        <v/>
      </c>
      <c r="N205" s="31">
        <f>IF($E205="","",(B205+C205+D205)*Rate_Builder)</f>
        <v/>
      </c>
      <c r="O205" s="31">
        <f>IF($E205="","",E205*K205/(1-K205))</f>
        <v/>
      </c>
      <c r="P205" s="34">
        <f>IF(OR($E205="",B205=0),"",L205/B205*10000)</f>
        <v/>
      </c>
      <c r="Q205" s="34">
        <f>IF(OR($E205="",C205=0),"",F205/C205*10000)</f>
        <v/>
      </c>
      <c r="R205" s="34">
        <f>IF(OR($E205="",D205=0),"",'Daily Data'!I205/D205*10000)</f>
        <v/>
      </c>
    </row>
    <row r="206">
      <c r="A206" s="30" t="n">
        <v>45860</v>
      </c>
      <c r="B206" s="31">
        <f>'Daily Data'!B206-'Daily Data'!D206</f>
        <v/>
      </c>
      <c r="C206" s="32">
        <f>'Daily Data'!D206</f>
        <v/>
      </c>
      <c r="D206" s="32">
        <f>'Daily Data'!C206</f>
        <v/>
      </c>
      <c r="E206" s="32">
        <f>IF('Daily Data'!E206="","",'Daily Data'!E206)</f>
        <v/>
      </c>
      <c r="F206" s="32">
        <f>IF($E206="","",'Daily Data'!F206)</f>
        <v/>
      </c>
      <c r="G206" s="32">
        <f>IF($E206="","",'Daily Data'!G206)</f>
        <v/>
      </c>
      <c r="H206" s="31">
        <f>IF($E206="","",F206-G206)</f>
        <v/>
      </c>
      <c r="I206" s="32">
        <f>IF($E206="","",'Daily Data'!H206)</f>
        <v/>
      </c>
      <c r="J206" s="31">
        <f>IF($E206="","",E206-H206-I206)</f>
        <v/>
      </c>
      <c r="K206" s="33">
        <f>IF($E206="","",IF(A206&lt;HLP_ChangeDate,HLP_Legacy,HLP_Current))</f>
        <v/>
      </c>
      <c r="L206" s="31">
        <f>IF($E206="","",J206/(1-K206))</f>
        <v/>
      </c>
      <c r="M206" s="31">
        <f>IF($E206="","",I206/(1-K206))</f>
        <v/>
      </c>
      <c r="N206" s="31">
        <f>IF($E206="","",(B206+C206+D206)*Rate_Builder)</f>
        <v/>
      </c>
      <c r="O206" s="31">
        <f>IF($E206="","",E206*K206/(1-K206))</f>
        <v/>
      </c>
      <c r="P206" s="34">
        <f>IF(OR($E206="",B206=0),"",L206/B206*10000)</f>
        <v/>
      </c>
      <c r="Q206" s="34">
        <f>IF(OR($E206="",C206=0),"",F206/C206*10000)</f>
        <v/>
      </c>
      <c r="R206" s="34">
        <f>IF(OR($E206="",D206=0),"",'Daily Data'!I206/D206*10000)</f>
        <v/>
      </c>
    </row>
    <row r="207">
      <c r="A207" s="30" t="n">
        <v>45861</v>
      </c>
      <c r="B207" s="31">
        <f>'Daily Data'!B207-'Daily Data'!D207</f>
        <v/>
      </c>
      <c r="C207" s="32">
        <f>'Daily Data'!D207</f>
        <v/>
      </c>
      <c r="D207" s="32">
        <f>'Daily Data'!C207</f>
        <v/>
      </c>
      <c r="E207" s="32">
        <f>IF('Daily Data'!E207="","",'Daily Data'!E207)</f>
        <v/>
      </c>
      <c r="F207" s="32">
        <f>IF($E207="","",'Daily Data'!F207)</f>
        <v/>
      </c>
      <c r="G207" s="32">
        <f>IF($E207="","",'Daily Data'!G207)</f>
        <v/>
      </c>
      <c r="H207" s="31">
        <f>IF($E207="","",F207-G207)</f>
        <v/>
      </c>
      <c r="I207" s="32">
        <f>IF($E207="","",'Daily Data'!H207)</f>
        <v/>
      </c>
      <c r="J207" s="31">
        <f>IF($E207="","",E207-H207-I207)</f>
        <v/>
      </c>
      <c r="K207" s="33">
        <f>IF($E207="","",IF(A207&lt;HLP_ChangeDate,HLP_Legacy,HLP_Current))</f>
        <v/>
      </c>
      <c r="L207" s="31">
        <f>IF($E207="","",J207/(1-K207))</f>
        <v/>
      </c>
      <c r="M207" s="31">
        <f>IF($E207="","",I207/(1-K207))</f>
        <v/>
      </c>
      <c r="N207" s="31">
        <f>IF($E207="","",(B207+C207+D207)*Rate_Builder)</f>
        <v/>
      </c>
      <c r="O207" s="31">
        <f>IF($E207="","",E207*K207/(1-K207))</f>
        <v/>
      </c>
      <c r="P207" s="34">
        <f>IF(OR($E207="",B207=0),"",L207/B207*10000)</f>
        <v/>
      </c>
      <c r="Q207" s="34">
        <f>IF(OR($E207="",C207=0),"",F207/C207*10000)</f>
        <v/>
      </c>
      <c r="R207" s="34">
        <f>IF(OR($E207="",D207=0),"",'Daily Data'!I207/D207*10000)</f>
        <v/>
      </c>
    </row>
    <row r="208">
      <c r="A208" s="30" t="n">
        <v>45862</v>
      </c>
      <c r="B208" s="31">
        <f>'Daily Data'!B208-'Daily Data'!D208</f>
        <v/>
      </c>
      <c r="C208" s="32">
        <f>'Daily Data'!D208</f>
        <v/>
      </c>
      <c r="D208" s="32">
        <f>'Daily Data'!C208</f>
        <v/>
      </c>
      <c r="E208" s="32">
        <f>IF('Daily Data'!E208="","",'Daily Data'!E208)</f>
        <v/>
      </c>
      <c r="F208" s="32">
        <f>IF($E208="","",'Daily Data'!F208)</f>
        <v/>
      </c>
      <c r="G208" s="32">
        <f>IF($E208="","",'Daily Data'!G208)</f>
        <v/>
      </c>
      <c r="H208" s="31">
        <f>IF($E208="","",F208-G208)</f>
        <v/>
      </c>
      <c r="I208" s="32">
        <f>IF($E208="","",'Daily Data'!H208)</f>
        <v/>
      </c>
      <c r="J208" s="31">
        <f>IF($E208="","",E208-H208-I208)</f>
        <v/>
      </c>
      <c r="K208" s="33">
        <f>IF($E208="","",IF(A208&lt;HLP_ChangeDate,HLP_Legacy,HLP_Current))</f>
        <v/>
      </c>
      <c r="L208" s="31">
        <f>IF($E208="","",J208/(1-K208))</f>
        <v/>
      </c>
      <c r="M208" s="31">
        <f>IF($E208="","",I208/(1-K208))</f>
        <v/>
      </c>
      <c r="N208" s="31">
        <f>IF($E208="","",(B208+C208+D208)*Rate_Builder)</f>
        <v/>
      </c>
      <c r="O208" s="31">
        <f>IF($E208="","",E208*K208/(1-K208))</f>
        <v/>
      </c>
      <c r="P208" s="34">
        <f>IF(OR($E208="",B208=0),"",L208/B208*10000)</f>
        <v/>
      </c>
      <c r="Q208" s="34">
        <f>IF(OR($E208="",C208=0),"",F208/C208*10000)</f>
        <v/>
      </c>
      <c r="R208" s="34">
        <f>IF(OR($E208="",D208=0),"",'Daily Data'!I208/D208*10000)</f>
        <v/>
      </c>
    </row>
    <row r="209">
      <c r="A209" s="30" t="n">
        <v>45863</v>
      </c>
      <c r="B209" s="31">
        <f>'Daily Data'!B209-'Daily Data'!D209</f>
        <v/>
      </c>
      <c r="C209" s="32">
        <f>'Daily Data'!D209</f>
        <v/>
      </c>
      <c r="D209" s="32">
        <f>'Daily Data'!C209</f>
        <v/>
      </c>
      <c r="E209" s="32">
        <f>IF('Daily Data'!E209="","",'Daily Data'!E209)</f>
        <v/>
      </c>
      <c r="F209" s="32">
        <f>IF($E209="","",'Daily Data'!F209)</f>
        <v/>
      </c>
      <c r="G209" s="32">
        <f>IF($E209="","",'Daily Data'!G209)</f>
        <v/>
      </c>
      <c r="H209" s="31">
        <f>IF($E209="","",F209-G209)</f>
        <v/>
      </c>
      <c r="I209" s="32">
        <f>IF($E209="","",'Daily Data'!H209)</f>
        <v/>
      </c>
      <c r="J209" s="31">
        <f>IF($E209="","",E209-H209-I209)</f>
        <v/>
      </c>
      <c r="K209" s="33">
        <f>IF($E209="","",IF(A209&lt;HLP_ChangeDate,HLP_Legacy,HLP_Current))</f>
        <v/>
      </c>
      <c r="L209" s="31">
        <f>IF($E209="","",J209/(1-K209))</f>
        <v/>
      </c>
      <c r="M209" s="31">
        <f>IF($E209="","",I209/(1-K209))</f>
        <v/>
      </c>
      <c r="N209" s="31">
        <f>IF($E209="","",(B209+C209+D209)*Rate_Builder)</f>
        <v/>
      </c>
      <c r="O209" s="31">
        <f>IF($E209="","",E209*K209/(1-K209))</f>
        <v/>
      </c>
      <c r="P209" s="34">
        <f>IF(OR($E209="",B209=0),"",L209/B209*10000)</f>
        <v/>
      </c>
      <c r="Q209" s="34">
        <f>IF(OR($E209="",C209=0),"",F209/C209*10000)</f>
        <v/>
      </c>
      <c r="R209" s="34">
        <f>IF(OR($E209="",D209=0),"",'Daily Data'!I209/D209*10000)</f>
        <v/>
      </c>
    </row>
    <row r="210">
      <c r="A210" s="30" t="n">
        <v>45864</v>
      </c>
      <c r="B210" s="31">
        <f>'Daily Data'!B210-'Daily Data'!D210</f>
        <v/>
      </c>
      <c r="C210" s="32">
        <f>'Daily Data'!D210</f>
        <v/>
      </c>
      <c r="D210" s="32">
        <f>'Daily Data'!C210</f>
        <v/>
      </c>
      <c r="E210" s="32">
        <f>IF('Daily Data'!E210="","",'Daily Data'!E210)</f>
        <v/>
      </c>
      <c r="F210" s="32">
        <f>IF($E210="","",'Daily Data'!F210)</f>
        <v/>
      </c>
      <c r="G210" s="32">
        <f>IF($E210="","",'Daily Data'!G210)</f>
        <v/>
      </c>
      <c r="H210" s="31">
        <f>IF($E210="","",F210-G210)</f>
        <v/>
      </c>
      <c r="I210" s="32">
        <f>IF($E210="","",'Daily Data'!H210)</f>
        <v/>
      </c>
      <c r="J210" s="31">
        <f>IF($E210="","",E210-H210-I210)</f>
        <v/>
      </c>
      <c r="K210" s="33">
        <f>IF($E210="","",IF(A210&lt;HLP_ChangeDate,HLP_Legacy,HLP_Current))</f>
        <v/>
      </c>
      <c r="L210" s="31">
        <f>IF($E210="","",J210/(1-K210))</f>
        <v/>
      </c>
      <c r="M210" s="31">
        <f>IF($E210="","",I210/(1-K210))</f>
        <v/>
      </c>
      <c r="N210" s="31">
        <f>IF($E210="","",(B210+C210+D210)*Rate_Builder)</f>
        <v/>
      </c>
      <c r="O210" s="31">
        <f>IF($E210="","",E210*K210/(1-K210))</f>
        <v/>
      </c>
      <c r="P210" s="34">
        <f>IF(OR($E210="",B210=0),"",L210/B210*10000)</f>
        <v/>
      </c>
      <c r="Q210" s="34">
        <f>IF(OR($E210="",C210=0),"",F210/C210*10000)</f>
        <v/>
      </c>
      <c r="R210" s="34">
        <f>IF(OR($E210="",D210=0),"",'Daily Data'!I210/D210*10000)</f>
        <v/>
      </c>
    </row>
    <row r="211">
      <c r="A211" s="30" t="n">
        <v>45865</v>
      </c>
      <c r="B211" s="31">
        <f>'Daily Data'!B211-'Daily Data'!D211</f>
        <v/>
      </c>
      <c r="C211" s="32">
        <f>'Daily Data'!D211</f>
        <v/>
      </c>
      <c r="D211" s="32">
        <f>'Daily Data'!C211</f>
        <v/>
      </c>
      <c r="E211" s="32">
        <f>IF('Daily Data'!E211="","",'Daily Data'!E211)</f>
        <v/>
      </c>
      <c r="F211" s="32">
        <f>IF($E211="","",'Daily Data'!F211)</f>
        <v/>
      </c>
      <c r="G211" s="32">
        <f>IF($E211="","",'Daily Data'!G211)</f>
        <v/>
      </c>
      <c r="H211" s="31">
        <f>IF($E211="","",F211-G211)</f>
        <v/>
      </c>
      <c r="I211" s="32">
        <f>IF($E211="","",'Daily Data'!H211)</f>
        <v/>
      </c>
      <c r="J211" s="31">
        <f>IF($E211="","",E211-H211-I211)</f>
        <v/>
      </c>
      <c r="K211" s="33">
        <f>IF($E211="","",IF(A211&lt;HLP_ChangeDate,HLP_Legacy,HLP_Current))</f>
        <v/>
      </c>
      <c r="L211" s="31">
        <f>IF($E211="","",J211/(1-K211))</f>
        <v/>
      </c>
      <c r="M211" s="31">
        <f>IF($E211="","",I211/(1-K211))</f>
        <v/>
      </c>
      <c r="N211" s="31">
        <f>IF($E211="","",(B211+C211+D211)*Rate_Builder)</f>
        <v/>
      </c>
      <c r="O211" s="31">
        <f>IF($E211="","",E211*K211/(1-K211))</f>
        <v/>
      </c>
      <c r="P211" s="34">
        <f>IF(OR($E211="",B211=0),"",L211/B211*10000)</f>
        <v/>
      </c>
      <c r="Q211" s="34">
        <f>IF(OR($E211="",C211=0),"",F211/C211*10000)</f>
        <v/>
      </c>
      <c r="R211" s="34">
        <f>IF(OR($E211="",D211=0),"",'Daily Data'!I211/D211*10000)</f>
        <v/>
      </c>
    </row>
    <row r="212">
      <c r="A212" s="30" t="n">
        <v>45866</v>
      </c>
      <c r="B212" s="31">
        <f>'Daily Data'!B212-'Daily Data'!D212</f>
        <v/>
      </c>
      <c r="C212" s="32">
        <f>'Daily Data'!D212</f>
        <v/>
      </c>
      <c r="D212" s="32">
        <f>'Daily Data'!C212</f>
        <v/>
      </c>
      <c r="E212" s="32">
        <f>IF('Daily Data'!E212="","",'Daily Data'!E212)</f>
        <v/>
      </c>
      <c r="F212" s="32">
        <f>IF($E212="","",'Daily Data'!F212)</f>
        <v/>
      </c>
      <c r="G212" s="32">
        <f>IF($E212="","",'Daily Data'!G212)</f>
        <v/>
      </c>
      <c r="H212" s="31">
        <f>IF($E212="","",F212-G212)</f>
        <v/>
      </c>
      <c r="I212" s="32">
        <f>IF($E212="","",'Daily Data'!H212)</f>
        <v/>
      </c>
      <c r="J212" s="31">
        <f>IF($E212="","",E212-H212-I212)</f>
        <v/>
      </c>
      <c r="K212" s="33">
        <f>IF($E212="","",IF(A212&lt;HLP_ChangeDate,HLP_Legacy,HLP_Current))</f>
        <v/>
      </c>
      <c r="L212" s="31">
        <f>IF($E212="","",J212/(1-K212))</f>
        <v/>
      </c>
      <c r="M212" s="31">
        <f>IF($E212="","",I212/(1-K212))</f>
        <v/>
      </c>
      <c r="N212" s="31">
        <f>IF($E212="","",(B212+C212+D212)*Rate_Builder)</f>
        <v/>
      </c>
      <c r="O212" s="31">
        <f>IF($E212="","",E212*K212/(1-K212))</f>
        <v/>
      </c>
      <c r="P212" s="34">
        <f>IF(OR($E212="",B212=0),"",L212/B212*10000)</f>
        <v/>
      </c>
      <c r="Q212" s="34">
        <f>IF(OR($E212="",C212=0),"",F212/C212*10000)</f>
        <v/>
      </c>
      <c r="R212" s="34">
        <f>IF(OR($E212="",D212=0),"",'Daily Data'!I212/D212*10000)</f>
        <v/>
      </c>
    </row>
    <row r="213">
      <c r="A213" s="30" t="n">
        <v>45867</v>
      </c>
      <c r="B213" s="31">
        <f>'Daily Data'!B213-'Daily Data'!D213</f>
        <v/>
      </c>
      <c r="C213" s="32">
        <f>'Daily Data'!D213</f>
        <v/>
      </c>
      <c r="D213" s="32">
        <f>'Daily Data'!C213</f>
        <v/>
      </c>
      <c r="E213" s="32">
        <f>IF('Daily Data'!E213="","",'Daily Data'!E213)</f>
        <v/>
      </c>
      <c r="F213" s="32">
        <f>IF($E213="","",'Daily Data'!F213)</f>
        <v/>
      </c>
      <c r="G213" s="32">
        <f>IF($E213="","",'Daily Data'!G213)</f>
        <v/>
      </c>
      <c r="H213" s="31">
        <f>IF($E213="","",F213-G213)</f>
        <v/>
      </c>
      <c r="I213" s="32">
        <f>IF($E213="","",'Daily Data'!H213)</f>
        <v/>
      </c>
      <c r="J213" s="31">
        <f>IF($E213="","",E213-H213-I213)</f>
        <v/>
      </c>
      <c r="K213" s="33">
        <f>IF($E213="","",IF(A213&lt;HLP_ChangeDate,HLP_Legacy,HLP_Current))</f>
        <v/>
      </c>
      <c r="L213" s="31">
        <f>IF($E213="","",J213/(1-K213))</f>
        <v/>
      </c>
      <c r="M213" s="31">
        <f>IF($E213="","",I213/(1-K213))</f>
        <v/>
      </c>
      <c r="N213" s="31">
        <f>IF($E213="","",(B213+C213+D213)*Rate_Builder)</f>
        <v/>
      </c>
      <c r="O213" s="31">
        <f>IF($E213="","",E213*K213/(1-K213))</f>
        <v/>
      </c>
      <c r="P213" s="34">
        <f>IF(OR($E213="",B213=0),"",L213/B213*10000)</f>
        <v/>
      </c>
      <c r="Q213" s="34">
        <f>IF(OR($E213="",C213=0),"",F213/C213*10000)</f>
        <v/>
      </c>
      <c r="R213" s="34">
        <f>IF(OR($E213="",D213=0),"",'Daily Data'!I213/D213*10000)</f>
        <v/>
      </c>
    </row>
    <row r="214">
      <c r="A214" s="30" t="n">
        <v>45868</v>
      </c>
      <c r="B214" s="31">
        <f>'Daily Data'!B214-'Daily Data'!D214</f>
        <v/>
      </c>
      <c r="C214" s="32">
        <f>'Daily Data'!D214</f>
        <v/>
      </c>
      <c r="D214" s="32">
        <f>'Daily Data'!C214</f>
        <v/>
      </c>
      <c r="E214" s="32">
        <f>IF('Daily Data'!E214="","",'Daily Data'!E214)</f>
        <v/>
      </c>
      <c r="F214" s="32">
        <f>IF($E214="","",'Daily Data'!F214)</f>
        <v/>
      </c>
      <c r="G214" s="32">
        <f>IF($E214="","",'Daily Data'!G214)</f>
        <v/>
      </c>
      <c r="H214" s="31">
        <f>IF($E214="","",F214-G214)</f>
        <v/>
      </c>
      <c r="I214" s="32">
        <f>IF($E214="","",'Daily Data'!H214)</f>
        <v/>
      </c>
      <c r="J214" s="31">
        <f>IF($E214="","",E214-H214-I214)</f>
        <v/>
      </c>
      <c r="K214" s="33">
        <f>IF($E214="","",IF(A214&lt;HLP_ChangeDate,HLP_Legacy,HLP_Current))</f>
        <v/>
      </c>
      <c r="L214" s="31">
        <f>IF($E214="","",J214/(1-K214))</f>
        <v/>
      </c>
      <c r="M214" s="31">
        <f>IF($E214="","",I214/(1-K214))</f>
        <v/>
      </c>
      <c r="N214" s="31">
        <f>IF($E214="","",(B214+C214+D214)*Rate_Builder)</f>
        <v/>
      </c>
      <c r="O214" s="31">
        <f>IF($E214="","",E214*K214/(1-K214))</f>
        <v/>
      </c>
      <c r="P214" s="34">
        <f>IF(OR($E214="",B214=0),"",L214/B214*10000)</f>
        <v/>
      </c>
      <c r="Q214" s="34">
        <f>IF(OR($E214="",C214=0),"",F214/C214*10000)</f>
        <v/>
      </c>
      <c r="R214" s="34">
        <f>IF(OR($E214="",D214=0),"",'Daily Data'!I214/D214*10000)</f>
        <v/>
      </c>
    </row>
    <row r="215">
      <c r="A215" s="30" t="n">
        <v>45869</v>
      </c>
      <c r="B215" s="31">
        <f>'Daily Data'!B215-'Daily Data'!D215</f>
        <v/>
      </c>
      <c r="C215" s="32">
        <f>'Daily Data'!D215</f>
        <v/>
      </c>
      <c r="D215" s="32">
        <f>'Daily Data'!C215</f>
        <v/>
      </c>
      <c r="E215" s="32">
        <f>IF('Daily Data'!E215="","",'Daily Data'!E215)</f>
        <v/>
      </c>
      <c r="F215" s="32">
        <f>IF($E215="","",'Daily Data'!F215)</f>
        <v/>
      </c>
      <c r="G215" s="32">
        <f>IF($E215="","",'Daily Data'!G215)</f>
        <v/>
      </c>
      <c r="H215" s="31">
        <f>IF($E215="","",F215-G215)</f>
        <v/>
      </c>
      <c r="I215" s="32">
        <f>IF($E215="","",'Daily Data'!H215)</f>
        <v/>
      </c>
      <c r="J215" s="31">
        <f>IF($E215="","",E215-H215-I215)</f>
        <v/>
      </c>
      <c r="K215" s="33">
        <f>IF($E215="","",IF(A215&lt;HLP_ChangeDate,HLP_Legacy,HLP_Current))</f>
        <v/>
      </c>
      <c r="L215" s="31">
        <f>IF($E215="","",J215/(1-K215))</f>
        <v/>
      </c>
      <c r="M215" s="31">
        <f>IF($E215="","",I215/(1-K215))</f>
        <v/>
      </c>
      <c r="N215" s="31">
        <f>IF($E215="","",(B215+C215+D215)*Rate_Builder)</f>
        <v/>
      </c>
      <c r="O215" s="31">
        <f>IF($E215="","",E215*K215/(1-K215))</f>
        <v/>
      </c>
      <c r="P215" s="34">
        <f>IF(OR($E215="",B215=0),"",L215/B215*10000)</f>
        <v/>
      </c>
      <c r="Q215" s="34">
        <f>IF(OR($E215="",C215=0),"",F215/C215*10000)</f>
        <v/>
      </c>
      <c r="R215" s="34">
        <f>IF(OR($E215="",D215=0),"",'Daily Data'!I215/D215*10000)</f>
        <v/>
      </c>
    </row>
    <row r="216">
      <c r="A216" s="30" t="n">
        <v>45870</v>
      </c>
      <c r="B216" s="31">
        <f>'Daily Data'!B216-'Daily Data'!D216</f>
        <v/>
      </c>
      <c r="C216" s="32">
        <f>'Daily Data'!D216</f>
        <v/>
      </c>
      <c r="D216" s="32">
        <f>'Daily Data'!C216</f>
        <v/>
      </c>
      <c r="E216" s="32">
        <f>IF('Daily Data'!E216="","",'Daily Data'!E216)</f>
        <v/>
      </c>
      <c r="F216" s="32">
        <f>IF($E216="","",'Daily Data'!F216)</f>
        <v/>
      </c>
      <c r="G216" s="32">
        <f>IF($E216="","",'Daily Data'!G216)</f>
        <v/>
      </c>
      <c r="H216" s="31">
        <f>IF($E216="","",F216-G216)</f>
        <v/>
      </c>
      <c r="I216" s="32">
        <f>IF($E216="","",'Daily Data'!H216)</f>
        <v/>
      </c>
      <c r="J216" s="31">
        <f>IF($E216="","",E216-H216-I216)</f>
        <v/>
      </c>
      <c r="K216" s="33">
        <f>IF($E216="","",IF(A216&lt;HLP_ChangeDate,HLP_Legacy,HLP_Current))</f>
        <v/>
      </c>
      <c r="L216" s="31">
        <f>IF($E216="","",J216/(1-K216))</f>
        <v/>
      </c>
      <c r="M216" s="31">
        <f>IF($E216="","",I216/(1-K216))</f>
        <v/>
      </c>
      <c r="N216" s="31">
        <f>IF($E216="","",(B216+C216+D216)*Rate_Builder)</f>
        <v/>
      </c>
      <c r="O216" s="31">
        <f>IF($E216="","",E216*K216/(1-K216))</f>
        <v/>
      </c>
      <c r="P216" s="34">
        <f>IF(OR($E216="",B216=0),"",L216/B216*10000)</f>
        <v/>
      </c>
      <c r="Q216" s="34">
        <f>IF(OR($E216="",C216=0),"",F216/C216*10000)</f>
        <v/>
      </c>
      <c r="R216" s="34">
        <f>IF(OR($E216="",D216=0),"",'Daily Data'!I216/D216*10000)</f>
        <v/>
      </c>
    </row>
    <row r="217">
      <c r="A217" s="30" t="n">
        <v>45871</v>
      </c>
      <c r="B217" s="31">
        <f>'Daily Data'!B217-'Daily Data'!D217</f>
        <v/>
      </c>
      <c r="C217" s="32">
        <f>'Daily Data'!D217</f>
        <v/>
      </c>
      <c r="D217" s="32">
        <f>'Daily Data'!C217</f>
        <v/>
      </c>
      <c r="E217" s="32">
        <f>IF('Daily Data'!E217="","",'Daily Data'!E217)</f>
        <v/>
      </c>
      <c r="F217" s="32">
        <f>IF($E217="","",'Daily Data'!F217)</f>
        <v/>
      </c>
      <c r="G217" s="32">
        <f>IF($E217="","",'Daily Data'!G217)</f>
        <v/>
      </c>
      <c r="H217" s="31">
        <f>IF($E217="","",F217-G217)</f>
        <v/>
      </c>
      <c r="I217" s="32">
        <f>IF($E217="","",'Daily Data'!H217)</f>
        <v/>
      </c>
      <c r="J217" s="31">
        <f>IF($E217="","",E217-H217-I217)</f>
        <v/>
      </c>
      <c r="K217" s="33">
        <f>IF($E217="","",IF(A217&lt;HLP_ChangeDate,HLP_Legacy,HLP_Current))</f>
        <v/>
      </c>
      <c r="L217" s="31">
        <f>IF($E217="","",J217/(1-K217))</f>
        <v/>
      </c>
      <c r="M217" s="31">
        <f>IF($E217="","",I217/(1-K217))</f>
        <v/>
      </c>
      <c r="N217" s="31">
        <f>IF($E217="","",(B217+C217+D217)*Rate_Builder)</f>
        <v/>
      </c>
      <c r="O217" s="31">
        <f>IF($E217="","",E217*K217/(1-K217))</f>
        <v/>
      </c>
      <c r="P217" s="34">
        <f>IF(OR($E217="",B217=0),"",L217/B217*10000)</f>
        <v/>
      </c>
      <c r="Q217" s="34">
        <f>IF(OR($E217="",C217=0),"",F217/C217*10000)</f>
        <v/>
      </c>
      <c r="R217" s="34">
        <f>IF(OR($E217="",D217=0),"",'Daily Data'!I217/D217*10000)</f>
        <v/>
      </c>
    </row>
    <row r="218">
      <c r="A218" s="30" t="n">
        <v>45872</v>
      </c>
      <c r="B218" s="31">
        <f>'Daily Data'!B218-'Daily Data'!D218</f>
        <v/>
      </c>
      <c r="C218" s="32">
        <f>'Daily Data'!D218</f>
        <v/>
      </c>
      <c r="D218" s="32">
        <f>'Daily Data'!C218</f>
        <v/>
      </c>
      <c r="E218" s="32">
        <f>IF('Daily Data'!E218="","",'Daily Data'!E218)</f>
        <v/>
      </c>
      <c r="F218" s="32">
        <f>IF($E218="","",'Daily Data'!F218)</f>
        <v/>
      </c>
      <c r="G218" s="32">
        <f>IF($E218="","",'Daily Data'!G218)</f>
        <v/>
      </c>
      <c r="H218" s="31">
        <f>IF($E218="","",F218-G218)</f>
        <v/>
      </c>
      <c r="I218" s="32">
        <f>IF($E218="","",'Daily Data'!H218)</f>
        <v/>
      </c>
      <c r="J218" s="31">
        <f>IF($E218="","",E218-H218-I218)</f>
        <v/>
      </c>
      <c r="K218" s="33">
        <f>IF($E218="","",IF(A218&lt;HLP_ChangeDate,HLP_Legacy,HLP_Current))</f>
        <v/>
      </c>
      <c r="L218" s="31">
        <f>IF($E218="","",J218/(1-K218))</f>
        <v/>
      </c>
      <c r="M218" s="31">
        <f>IF($E218="","",I218/(1-K218))</f>
        <v/>
      </c>
      <c r="N218" s="31">
        <f>IF($E218="","",(B218+C218+D218)*Rate_Builder)</f>
        <v/>
      </c>
      <c r="O218" s="31">
        <f>IF($E218="","",E218*K218/(1-K218))</f>
        <v/>
      </c>
      <c r="P218" s="34">
        <f>IF(OR($E218="",B218=0),"",L218/B218*10000)</f>
        <v/>
      </c>
      <c r="Q218" s="34">
        <f>IF(OR($E218="",C218=0),"",F218/C218*10000)</f>
        <v/>
      </c>
      <c r="R218" s="34">
        <f>IF(OR($E218="",D218=0),"",'Daily Data'!I218/D218*10000)</f>
        <v/>
      </c>
    </row>
    <row r="219">
      <c r="A219" s="30" t="n">
        <v>45873</v>
      </c>
      <c r="B219" s="31">
        <f>'Daily Data'!B219-'Daily Data'!D219</f>
        <v/>
      </c>
      <c r="C219" s="32">
        <f>'Daily Data'!D219</f>
        <v/>
      </c>
      <c r="D219" s="32">
        <f>'Daily Data'!C219</f>
        <v/>
      </c>
      <c r="E219" s="32">
        <f>IF('Daily Data'!E219="","",'Daily Data'!E219)</f>
        <v/>
      </c>
      <c r="F219" s="32">
        <f>IF($E219="","",'Daily Data'!F219)</f>
        <v/>
      </c>
      <c r="G219" s="32">
        <f>IF($E219="","",'Daily Data'!G219)</f>
        <v/>
      </c>
      <c r="H219" s="31">
        <f>IF($E219="","",F219-G219)</f>
        <v/>
      </c>
      <c r="I219" s="32">
        <f>IF($E219="","",'Daily Data'!H219)</f>
        <v/>
      </c>
      <c r="J219" s="31">
        <f>IF($E219="","",E219-H219-I219)</f>
        <v/>
      </c>
      <c r="K219" s="33">
        <f>IF($E219="","",IF(A219&lt;HLP_ChangeDate,HLP_Legacy,HLP_Current))</f>
        <v/>
      </c>
      <c r="L219" s="31">
        <f>IF($E219="","",J219/(1-K219))</f>
        <v/>
      </c>
      <c r="M219" s="31">
        <f>IF($E219="","",I219/(1-K219))</f>
        <v/>
      </c>
      <c r="N219" s="31">
        <f>IF($E219="","",(B219+C219+D219)*Rate_Builder)</f>
        <v/>
      </c>
      <c r="O219" s="31">
        <f>IF($E219="","",E219*K219/(1-K219))</f>
        <v/>
      </c>
      <c r="P219" s="34">
        <f>IF(OR($E219="",B219=0),"",L219/B219*10000)</f>
        <v/>
      </c>
      <c r="Q219" s="34">
        <f>IF(OR($E219="",C219=0),"",F219/C219*10000)</f>
        <v/>
      </c>
      <c r="R219" s="34">
        <f>IF(OR($E219="",D219=0),"",'Daily Data'!I219/D219*10000)</f>
        <v/>
      </c>
    </row>
    <row r="220">
      <c r="A220" s="30" t="n">
        <v>45874</v>
      </c>
      <c r="B220" s="31">
        <f>'Daily Data'!B220-'Daily Data'!D220</f>
        <v/>
      </c>
      <c r="C220" s="32">
        <f>'Daily Data'!D220</f>
        <v/>
      </c>
      <c r="D220" s="32">
        <f>'Daily Data'!C220</f>
        <v/>
      </c>
      <c r="E220" s="32">
        <f>IF('Daily Data'!E220="","",'Daily Data'!E220)</f>
        <v/>
      </c>
      <c r="F220" s="32">
        <f>IF($E220="","",'Daily Data'!F220)</f>
        <v/>
      </c>
      <c r="G220" s="32">
        <f>IF($E220="","",'Daily Data'!G220)</f>
        <v/>
      </c>
      <c r="H220" s="31">
        <f>IF($E220="","",F220-G220)</f>
        <v/>
      </c>
      <c r="I220" s="32">
        <f>IF($E220="","",'Daily Data'!H220)</f>
        <v/>
      </c>
      <c r="J220" s="31">
        <f>IF($E220="","",E220-H220-I220)</f>
        <v/>
      </c>
      <c r="K220" s="33">
        <f>IF($E220="","",IF(A220&lt;HLP_ChangeDate,HLP_Legacy,HLP_Current))</f>
        <v/>
      </c>
      <c r="L220" s="31">
        <f>IF($E220="","",J220/(1-K220))</f>
        <v/>
      </c>
      <c r="M220" s="31">
        <f>IF($E220="","",I220/(1-K220))</f>
        <v/>
      </c>
      <c r="N220" s="31">
        <f>IF($E220="","",(B220+C220+D220)*Rate_Builder)</f>
        <v/>
      </c>
      <c r="O220" s="31">
        <f>IF($E220="","",E220*K220/(1-K220))</f>
        <v/>
      </c>
      <c r="P220" s="34">
        <f>IF(OR($E220="",B220=0),"",L220/B220*10000)</f>
        <v/>
      </c>
      <c r="Q220" s="34">
        <f>IF(OR($E220="",C220=0),"",F220/C220*10000)</f>
        <v/>
      </c>
      <c r="R220" s="34">
        <f>IF(OR($E220="",D220=0),"",'Daily Data'!I220/D220*10000)</f>
        <v/>
      </c>
    </row>
    <row r="221">
      <c r="A221" s="30" t="n">
        <v>45875</v>
      </c>
      <c r="B221" s="31">
        <f>'Daily Data'!B221-'Daily Data'!D221</f>
        <v/>
      </c>
      <c r="C221" s="32">
        <f>'Daily Data'!D221</f>
        <v/>
      </c>
      <c r="D221" s="32">
        <f>'Daily Data'!C221</f>
        <v/>
      </c>
      <c r="E221" s="32">
        <f>IF('Daily Data'!E221="","",'Daily Data'!E221)</f>
        <v/>
      </c>
      <c r="F221" s="32">
        <f>IF($E221="","",'Daily Data'!F221)</f>
        <v/>
      </c>
      <c r="G221" s="32">
        <f>IF($E221="","",'Daily Data'!G221)</f>
        <v/>
      </c>
      <c r="H221" s="31">
        <f>IF($E221="","",F221-G221)</f>
        <v/>
      </c>
      <c r="I221" s="32">
        <f>IF($E221="","",'Daily Data'!H221)</f>
        <v/>
      </c>
      <c r="J221" s="31">
        <f>IF($E221="","",E221-H221-I221)</f>
        <v/>
      </c>
      <c r="K221" s="33">
        <f>IF($E221="","",IF(A221&lt;HLP_ChangeDate,HLP_Legacy,HLP_Current))</f>
        <v/>
      </c>
      <c r="L221" s="31">
        <f>IF($E221="","",J221/(1-K221))</f>
        <v/>
      </c>
      <c r="M221" s="31">
        <f>IF($E221="","",I221/(1-K221))</f>
        <v/>
      </c>
      <c r="N221" s="31">
        <f>IF($E221="","",(B221+C221+D221)*Rate_Builder)</f>
        <v/>
      </c>
      <c r="O221" s="31">
        <f>IF($E221="","",E221*K221/(1-K221))</f>
        <v/>
      </c>
      <c r="P221" s="34">
        <f>IF(OR($E221="",B221=0),"",L221/B221*10000)</f>
        <v/>
      </c>
      <c r="Q221" s="34">
        <f>IF(OR($E221="",C221=0),"",F221/C221*10000)</f>
        <v/>
      </c>
      <c r="R221" s="34">
        <f>IF(OR($E221="",D221=0),"",'Daily Data'!I221/D221*10000)</f>
        <v/>
      </c>
    </row>
    <row r="222">
      <c r="A222" s="30" t="n">
        <v>45876</v>
      </c>
      <c r="B222" s="31">
        <f>'Daily Data'!B222-'Daily Data'!D222</f>
        <v/>
      </c>
      <c r="C222" s="32">
        <f>'Daily Data'!D222</f>
        <v/>
      </c>
      <c r="D222" s="32">
        <f>'Daily Data'!C222</f>
        <v/>
      </c>
      <c r="E222" s="32">
        <f>IF('Daily Data'!E222="","",'Daily Data'!E222)</f>
        <v/>
      </c>
      <c r="F222" s="32">
        <f>IF($E222="","",'Daily Data'!F222)</f>
        <v/>
      </c>
      <c r="G222" s="32">
        <f>IF($E222="","",'Daily Data'!G222)</f>
        <v/>
      </c>
      <c r="H222" s="31">
        <f>IF($E222="","",F222-G222)</f>
        <v/>
      </c>
      <c r="I222" s="32">
        <f>IF($E222="","",'Daily Data'!H222)</f>
        <v/>
      </c>
      <c r="J222" s="31">
        <f>IF($E222="","",E222-H222-I222)</f>
        <v/>
      </c>
      <c r="K222" s="33">
        <f>IF($E222="","",IF(A222&lt;HLP_ChangeDate,HLP_Legacy,HLP_Current))</f>
        <v/>
      </c>
      <c r="L222" s="31">
        <f>IF($E222="","",J222/(1-K222))</f>
        <v/>
      </c>
      <c r="M222" s="31">
        <f>IF($E222="","",I222/(1-K222))</f>
        <v/>
      </c>
      <c r="N222" s="31">
        <f>IF($E222="","",(B222+C222+D222)*Rate_Builder)</f>
        <v/>
      </c>
      <c r="O222" s="31">
        <f>IF($E222="","",E222*K222/(1-K222))</f>
        <v/>
      </c>
      <c r="P222" s="34">
        <f>IF(OR($E222="",B222=0),"",L222/B222*10000)</f>
        <v/>
      </c>
      <c r="Q222" s="34">
        <f>IF(OR($E222="",C222=0),"",F222/C222*10000)</f>
        <v/>
      </c>
      <c r="R222" s="34">
        <f>IF(OR($E222="",D222=0),"",'Daily Data'!I222/D222*10000)</f>
        <v/>
      </c>
    </row>
    <row r="223">
      <c r="A223" s="30" t="n">
        <v>45877</v>
      </c>
      <c r="B223" s="31">
        <f>'Daily Data'!B223-'Daily Data'!D223</f>
        <v/>
      </c>
      <c r="C223" s="32">
        <f>'Daily Data'!D223</f>
        <v/>
      </c>
      <c r="D223" s="32">
        <f>'Daily Data'!C223</f>
        <v/>
      </c>
      <c r="E223" s="32">
        <f>IF('Daily Data'!E223="","",'Daily Data'!E223)</f>
        <v/>
      </c>
      <c r="F223" s="32">
        <f>IF($E223="","",'Daily Data'!F223)</f>
        <v/>
      </c>
      <c r="G223" s="32">
        <f>IF($E223="","",'Daily Data'!G223)</f>
        <v/>
      </c>
      <c r="H223" s="31">
        <f>IF($E223="","",F223-G223)</f>
        <v/>
      </c>
      <c r="I223" s="32">
        <f>IF($E223="","",'Daily Data'!H223)</f>
        <v/>
      </c>
      <c r="J223" s="31">
        <f>IF($E223="","",E223-H223-I223)</f>
        <v/>
      </c>
      <c r="K223" s="33">
        <f>IF($E223="","",IF(A223&lt;HLP_ChangeDate,HLP_Legacy,HLP_Current))</f>
        <v/>
      </c>
      <c r="L223" s="31">
        <f>IF($E223="","",J223/(1-K223))</f>
        <v/>
      </c>
      <c r="M223" s="31">
        <f>IF($E223="","",I223/(1-K223))</f>
        <v/>
      </c>
      <c r="N223" s="31">
        <f>IF($E223="","",(B223+C223+D223)*Rate_Builder)</f>
        <v/>
      </c>
      <c r="O223" s="31">
        <f>IF($E223="","",E223*K223/(1-K223))</f>
        <v/>
      </c>
      <c r="P223" s="34">
        <f>IF(OR($E223="",B223=0),"",L223/B223*10000)</f>
        <v/>
      </c>
      <c r="Q223" s="34">
        <f>IF(OR($E223="",C223=0),"",F223/C223*10000)</f>
        <v/>
      </c>
      <c r="R223" s="34">
        <f>IF(OR($E223="",D223=0),"",'Daily Data'!I223/D223*10000)</f>
        <v/>
      </c>
    </row>
    <row r="224">
      <c r="A224" s="30" t="n">
        <v>45878</v>
      </c>
      <c r="B224" s="31">
        <f>'Daily Data'!B224-'Daily Data'!D224</f>
        <v/>
      </c>
      <c r="C224" s="32">
        <f>'Daily Data'!D224</f>
        <v/>
      </c>
      <c r="D224" s="32">
        <f>'Daily Data'!C224</f>
        <v/>
      </c>
      <c r="E224" s="32">
        <f>IF('Daily Data'!E224="","",'Daily Data'!E224)</f>
        <v/>
      </c>
      <c r="F224" s="32">
        <f>IF($E224="","",'Daily Data'!F224)</f>
        <v/>
      </c>
      <c r="G224" s="32">
        <f>IF($E224="","",'Daily Data'!G224)</f>
        <v/>
      </c>
      <c r="H224" s="31">
        <f>IF($E224="","",F224-G224)</f>
        <v/>
      </c>
      <c r="I224" s="32">
        <f>IF($E224="","",'Daily Data'!H224)</f>
        <v/>
      </c>
      <c r="J224" s="31">
        <f>IF($E224="","",E224-H224-I224)</f>
        <v/>
      </c>
      <c r="K224" s="33">
        <f>IF($E224="","",IF(A224&lt;HLP_ChangeDate,HLP_Legacy,HLP_Current))</f>
        <v/>
      </c>
      <c r="L224" s="31">
        <f>IF($E224="","",J224/(1-K224))</f>
        <v/>
      </c>
      <c r="M224" s="31">
        <f>IF($E224="","",I224/(1-K224))</f>
        <v/>
      </c>
      <c r="N224" s="31">
        <f>IF($E224="","",(B224+C224+D224)*Rate_Builder)</f>
        <v/>
      </c>
      <c r="O224" s="31">
        <f>IF($E224="","",E224*K224/(1-K224))</f>
        <v/>
      </c>
      <c r="P224" s="34">
        <f>IF(OR($E224="",B224=0),"",L224/B224*10000)</f>
        <v/>
      </c>
      <c r="Q224" s="34">
        <f>IF(OR($E224="",C224=0),"",F224/C224*10000)</f>
        <v/>
      </c>
      <c r="R224" s="34">
        <f>IF(OR($E224="",D224=0),"",'Daily Data'!I224/D224*10000)</f>
        <v/>
      </c>
    </row>
    <row r="225">
      <c r="A225" s="30" t="n">
        <v>45879</v>
      </c>
      <c r="B225" s="31">
        <f>'Daily Data'!B225-'Daily Data'!D225</f>
        <v/>
      </c>
      <c r="C225" s="32">
        <f>'Daily Data'!D225</f>
        <v/>
      </c>
      <c r="D225" s="32">
        <f>'Daily Data'!C225</f>
        <v/>
      </c>
      <c r="E225" s="32">
        <f>IF('Daily Data'!E225="","",'Daily Data'!E225)</f>
        <v/>
      </c>
      <c r="F225" s="32">
        <f>IF($E225="","",'Daily Data'!F225)</f>
        <v/>
      </c>
      <c r="G225" s="32">
        <f>IF($E225="","",'Daily Data'!G225)</f>
        <v/>
      </c>
      <c r="H225" s="31">
        <f>IF($E225="","",F225-G225)</f>
        <v/>
      </c>
      <c r="I225" s="32">
        <f>IF($E225="","",'Daily Data'!H225)</f>
        <v/>
      </c>
      <c r="J225" s="31">
        <f>IF($E225="","",E225-H225-I225)</f>
        <v/>
      </c>
      <c r="K225" s="33">
        <f>IF($E225="","",IF(A225&lt;HLP_ChangeDate,HLP_Legacy,HLP_Current))</f>
        <v/>
      </c>
      <c r="L225" s="31">
        <f>IF($E225="","",J225/(1-K225))</f>
        <v/>
      </c>
      <c r="M225" s="31">
        <f>IF($E225="","",I225/(1-K225))</f>
        <v/>
      </c>
      <c r="N225" s="31">
        <f>IF($E225="","",(B225+C225+D225)*Rate_Builder)</f>
        <v/>
      </c>
      <c r="O225" s="31">
        <f>IF($E225="","",E225*K225/(1-K225))</f>
        <v/>
      </c>
      <c r="P225" s="34">
        <f>IF(OR($E225="",B225=0),"",L225/B225*10000)</f>
        <v/>
      </c>
      <c r="Q225" s="34">
        <f>IF(OR($E225="",C225=0),"",F225/C225*10000)</f>
        <v/>
      </c>
      <c r="R225" s="34">
        <f>IF(OR($E225="",D225=0),"",'Daily Data'!I225/D225*10000)</f>
        <v/>
      </c>
    </row>
    <row r="226">
      <c r="A226" s="30" t="n">
        <v>45880</v>
      </c>
      <c r="B226" s="31">
        <f>'Daily Data'!B226-'Daily Data'!D226</f>
        <v/>
      </c>
      <c r="C226" s="32">
        <f>'Daily Data'!D226</f>
        <v/>
      </c>
      <c r="D226" s="32">
        <f>'Daily Data'!C226</f>
        <v/>
      </c>
      <c r="E226" s="32">
        <f>IF('Daily Data'!E226="","",'Daily Data'!E226)</f>
        <v/>
      </c>
      <c r="F226" s="32">
        <f>IF($E226="","",'Daily Data'!F226)</f>
        <v/>
      </c>
      <c r="G226" s="32">
        <f>IF($E226="","",'Daily Data'!G226)</f>
        <v/>
      </c>
      <c r="H226" s="31">
        <f>IF($E226="","",F226-G226)</f>
        <v/>
      </c>
      <c r="I226" s="32">
        <f>IF($E226="","",'Daily Data'!H226)</f>
        <v/>
      </c>
      <c r="J226" s="31">
        <f>IF($E226="","",E226-H226-I226)</f>
        <v/>
      </c>
      <c r="K226" s="33">
        <f>IF($E226="","",IF(A226&lt;HLP_ChangeDate,HLP_Legacy,HLP_Current))</f>
        <v/>
      </c>
      <c r="L226" s="31">
        <f>IF($E226="","",J226/(1-K226))</f>
        <v/>
      </c>
      <c r="M226" s="31">
        <f>IF($E226="","",I226/(1-K226))</f>
        <v/>
      </c>
      <c r="N226" s="31">
        <f>IF($E226="","",(B226+C226+D226)*Rate_Builder)</f>
        <v/>
      </c>
      <c r="O226" s="31">
        <f>IF($E226="","",E226*K226/(1-K226))</f>
        <v/>
      </c>
      <c r="P226" s="34">
        <f>IF(OR($E226="",B226=0),"",L226/B226*10000)</f>
        <v/>
      </c>
      <c r="Q226" s="34">
        <f>IF(OR($E226="",C226=0),"",F226/C226*10000)</f>
        <v/>
      </c>
      <c r="R226" s="34">
        <f>IF(OR($E226="",D226=0),"",'Daily Data'!I226/D226*10000)</f>
        <v/>
      </c>
    </row>
    <row r="227">
      <c r="A227" s="30" t="n">
        <v>45881</v>
      </c>
      <c r="B227" s="31">
        <f>'Daily Data'!B227-'Daily Data'!D227</f>
        <v/>
      </c>
      <c r="C227" s="32">
        <f>'Daily Data'!D227</f>
        <v/>
      </c>
      <c r="D227" s="32">
        <f>'Daily Data'!C227</f>
        <v/>
      </c>
      <c r="E227" s="32">
        <f>IF('Daily Data'!E227="","",'Daily Data'!E227)</f>
        <v/>
      </c>
      <c r="F227" s="32">
        <f>IF($E227="","",'Daily Data'!F227)</f>
        <v/>
      </c>
      <c r="G227" s="32">
        <f>IF($E227="","",'Daily Data'!G227)</f>
        <v/>
      </c>
      <c r="H227" s="31">
        <f>IF($E227="","",F227-G227)</f>
        <v/>
      </c>
      <c r="I227" s="32">
        <f>IF($E227="","",'Daily Data'!H227)</f>
        <v/>
      </c>
      <c r="J227" s="31">
        <f>IF($E227="","",E227-H227-I227)</f>
        <v/>
      </c>
      <c r="K227" s="33">
        <f>IF($E227="","",IF(A227&lt;HLP_ChangeDate,HLP_Legacy,HLP_Current))</f>
        <v/>
      </c>
      <c r="L227" s="31">
        <f>IF($E227="","",J227/(1-K227))</f>
        <v/>
      </c>
      <c r="M227" s="31">
        <f>IF($E227="","",I227/(1-K227))</f>
        <v/>
      </c>
      <c r="N227" s="31">
        <f>IF($E227="","",(B227+C227+D227)*Rate_Builder)</f>
        <v/>
      </c>
      <c r="O227" s="31">
        <f>IF($E227="","",E227*K227/(1-K227))</f>
        <v/>
      </c>
      <c r="P227" s="34">
        <f>IF(OR($E227="",B227=0),"",L227/B227*10000)</f>
        <v/>
      </c>
      <c r="Q227" s="34">
        <f>IF(OR($E227="",C227=0),"",F227/C227*10000)</f>
        <v/>
      </c>
      <c r="R227" s="34">
        <f>IF(OR($E227="",D227=0),"",'Daily Data'!I227/D227*10000)</f>
        <v/>
      </c>
    </row>
    <row r="228">
      <c r="A228" s="30" t="n">
        <v>45882</v>
      </c>
      <c r="B228" s="31">
        <f>'Daily Data'!B228-'Daily Data'!D228</f>
        <v/>
      </c>
      <c r="C228" s="32">
        <f>'Daily Data'!D228</f>
        <v/>
      </c>
      <c r="D228" s="32">
        <f>'Daily Data'!C228</f>
        <v/>
      </c>
      <c r="E228" s="32">
        <f>IF('Daily Data'!E228="","",'Daily Data'!E228)</f>
        <v/>
      </c>
      <c r="F228" s="32">
        <f>IF($E228="","",'Daily Data'!F228)</f>
        <v/>
      </c>
      <c r="G228" s="32">
        <f>IF($E228="","",'Daily Data'!G228)</f>
        <v/>
      </c>
      <c r="H228" s="31">
        <f>IF($E228="","",F228-G228)</f>
        <v/>
      </c>
      <c r="I228" s="32">
        <f>IF($E228="","",'Daily Data'!H228)</f>
        <v/>
      </c>
      <c r="J228" s="31">
        <f>IF($E228="","",E228-H228-I228)</f>
        <v/>
      </c>
      <c r="K228" s="33">
        <f>IF($E228="","",IF(A228&lt;HLP_ChangeDate,HLP_Legacy,HLP_Current))</f>
        <v/>
      </c>
      <c r="L228" s="31">
        <f>IF($E228="","",J228/(1-K228))</f>
        <v/>
      </c>
      <c r="M228" s="31">
        <f>IF($E228="","",I228/(1-K228))</f>
        <v/>
      </c>
      <c r="N228" s="31">
        <f>IF($E228="","",(B228+C228+D228)*Rate_Builder)</f>
        <v/>
      </c>
      <c r="O228" s="31">
        <f>IF($E228="","",E228*K228/(1-K228))</f>
        <v/>
      </c>
      <c r="P228" s="34">
        <f>IF(OR($E228="",B228=0),"",L228/B228*10000)</f>
        <v/>
      </c>
      <c r="Q228" s="34">
        <f>IF(OR($E228="",C228=0),"",F228/C228*10000)</f>
        <v/>
      </c>
      <c r="R228" s="34">
        <f>IF(OR($E228="",D228=0),"",'Daily Data'!I228/D228*10000)</f>
        <v/>
      </c>
    </row>
    <row r="229">
      <c r="A229" s="30" t="n">
        <v>45883</v>
      </c>
      <c r="B229" s="31">
        <f>'Daily Data'!B229-'Daily Data'!D229</f>
        <v/>
      </c>
      <c r="C229" s="32">
        <f>'Daily Data'!D229</f>
        <v/>
      </c>
      <c r="D229" s="32">
        <f>'Daily Data'!C229</f>
        <v/>
      </c>
      <c r="E229" s="32">
        <f>IF('Daily Data'!E229="","",'Daily Data'!E229)</f>
        <v/>
      </c>
      <c r="F229" s="32">
        <f>IF($E229="","",'Daily Data'!F229)</f>
        <v/>
      </c>
      <c r="G229" s="32">
        <f>IF($E229="","",'Daily Data'!G229)</f>
        <v/>
      </c>
      <c r="H229" s="31">
        <f>IF($E229="","",F229-G229)</f>
        <v/>
      </c>
      <c r="I229" s="32">
        <f>IF($E229="","",'Daily Data'!H229)</f>
        <v/>
      </c>
      <c r="J229" s="31">
        <f>IF($E229="","",E229-H229-I229)</f>
        <v/>
      </c>
      <c r="K229" s="33">
        <f>IF($E229="","",IF(A229&lt;HLP_ChangeDate,HLP_Legacy,HLP_Current))</f>
        <v/>
      </c>
      <c r="L229" s="31">
        <f>IF($E229="","",J229/(1-K229))</f>
        <v/>
      </c>
      <c r="M229" s="31">
        <f>IF($E229="","",I229/(1-K229))</f>
        <v/>
      </c>
      <c r="N229" s="31">
        <f>IF($E229="","",(B229+C229+D229)*Rate_Builder)</f>
        <v/>
      </c>
      <c r="O229" s="31">
        <f>IF($E229="","",E229*K229/(1-K229))</f>
        <v/>
      </c>
      <c r="P229" s="34">
        <f>IF(OR($E229="",B229=0),"",L229/B229*10000)</f>
        <v/>
      </c>
      <c r="Q229" s="34">
        <f>IF(OR($E229="",C229=0),"",F229/C229*10000)</f>
        <v/>
      </c>
      <c r="R229" s="34">
        <f>IF(OR($E229="",D229=0),"",'Daily Data'!I229/D229*10000)</f>
        <v/>
      </c>
    </row>
    <row r="230">
      <c r="A230" s="30" t="n">
        <v>45884</v>
      </c>
      <c r="B230" s="31">
        <f>'Daily Data'!B230-'Daily Data'!D230</f>
        <v/>
      </c>
      <c r="C230" s="32">
        <f>'Daily Data'!D230</f>
        <v/>
      </c>
      <c r="D230" s="32">
        <f>'Daily Data'!C230</f>
        <v/>
      </c>
      <c r="E230" s="32">
        <f>IF('Daily Data'!E230="","",'Daily Data'!E230)</f>
        <v/>
      </c>
      <c r="F230" s="32">
        <f>IF($E230="","",'Daily Data'!F230)</f>
        <v/>
      </c>
      <c r="G230" s="32">
        <f>IF($E230="","",'Daily Data'!G230)</f>
        <v/>
      </c>
      <c r="H230" s="31">
        <f>IF($E230="","",F230-G230)</f>
        <v/>
      </c>
      <c r="I230" s="32">
        <f>IF($E230="","",'Daily Data'!H230)</f>
        <v/>
      </c>
      <c r="J230" s="31">
        <f>IF($E230="","",E230-H230-I230)</f>
        <v/>
      </c>
      <c r="K230" s="33">
        <f>IF($E230="","",IF(A230&lt;HLP_ChangeDate,HLP_Legacy,HLP_Current))</f>
        <v/>
      </c>
      <c r="L230" s="31">
        <f>IF($E230="","",J230/(1-K230))</f>
        <v/>
      </c>
      <c r="M230" s="31">
        <f>IF($E230="","",I230/(1-K230))</f>
        <v/>
      </c>
      <c r="N230" s="31">
        <f>IF($E230="","",(B230+C230+D230)*Rate_Builder)</f>
        <v/>
      </c>
      <c r="O230" s="31">
        <f>IF($E230="","",E230*K230/(1-K230))</f>
        <v/>
      </c>
      <c r="P230" s="34">
        <f>IF(OR($E230="",B230=0),"",L230/B230*10000)</f>
        <v/>
      </c>
      <c r="Q230" s="34">
        <f>IF(OR($E230="",C230=0),"",F230/C230*10000)</f>
        <v/>
      </c>
      <c r="R230" s="34">
        <f>IF(OR($E230="",D230=0),"",'Daily Data'!I230/D230*10000)</f>
        <v/>
      </c>
    </row>
    <row r="231">
      <c r="A231" s="30" t="n">
        <v>45885</v>
      </c>
      <c r="B231" s="31">
        <f>'Daily Data'!B231-'Daily Data'!D231</f>
        <v/>
      </c>
      <c r="C231" s="32">
        <f>'Daily Data'!D231</f>
        <v/>
      </c>
      <c r="D231" s="32">
        <f>'Daily Data'!C231</f>
        <v/>
      </c>
      <c r="E231" s="32">
        <f>IF('Daily Data'!E231="","",'Daily Data'!E231)</f>
        <v/>
      </c>
      <c r="F231" s="32">
        <f>IF($E231="","",'Daily Data'!F231)</f>
        <v/>
      </c>
      <c r="G231" s="32">
        <f>IF($E231="","",'Daily Data'!G231)</f>
        <v/>
      </c>
      <c r="H231" s="31">
        <f>IF($E231="","",F231-G231)</f>
        <v/>
      </c>
      <c r="I231" s="32">
        <f>IF($E231="","",'Daily Data'!H231)</f>
        <v/>
      </c>
      <c r="J231" s="31">
        <f>IF($E231="","",E231-H231-I231)</f>
        <v/>
      </c>
      <c r="K231" s="33">
        <f>IF($E231="","",IF(A231&lt;HLP_ChangeDate,HLP_Legacy,HLP_Current))</f>
        <v/>
      </c>
      <c r="L231" s="31">
        <f>IF($E231="","",J231/(1-K231))</f>
        <v/>
      </c>
      <c r="M231" s="31">
        <f>IF($E231="","",I231/(1-K231))</f>
        <v/>
      </c>
      <c r="N231" s="31">
        <f>IF($E231="","",(B231+C231+D231)*Rate_Builder)</f>
        <v/>
      </c>
      <c r="O231" s="31">
        <f>IF($E231="","",E231*K231/(1-K231))</f>
        <v/>
      </c>
      <c r="P231" s="34">
        <f>IF(OR($E231="",B231=0),"",L231/B231*10000)</f>
        <v/>
      </c>
      <c r="Q231" s="34">
        <f>IF(OR($E231="",C231=0),"",F231/C231*10000)</f>
        <v/>
      </c>
      <c r="R231" s="34">
        <f>IF(OR($E231="",D231=0),"",'Daily Data'!I231/D231*10000)</f>
        <v/>
      </c>
    </row>
    <row r="232">
      <c r="A232" s="30" t="n">
        <v>45886</v>
      </c>
      <c r="B232" s="31">
        <f>'Daily Data'!B232-'Daily Data'!D232</f>
        <v/>
      </c>
      <c r="C232" s="32">
        <f>'Daily Data'!D232</f>
        <v/>
      </c>
      <c r="D232" s="32">
        <f>'Daily Data'!C232</f>
        <v/>
      </c>
      <c r="E232" s="32">
        <f>IF('Daily Data'!E232="","",'Daily Data'!E232)</f>
        <v/>
      </c>
      <c r="F232" s="32">
        <f>IF($E232="","",'Daily Data'!F232)</f>
        <v/>
      </c>
      <c r="G232" s="32">
        <f>IF($E232="","",'Daily Data'!G232)</f>
        <v/>
      </c>
      <c r="H232" s="31">
        <f>IF($E232="","",F232-G232)</f>
        <v/>
      </c>
      <c r="I232" s="32">
        <f>IF($E232="","",'Daily Data'!H232)</f>
        <v/>
      </c>
      <c r="J232" s="31">
        <f>IF($E232="","",E232-H232-I232)</f>
        <v/>
      </c>
      <c r="K232" s="33">
        <f>IF($E232="","",IF(A232&lt;HLP_ChangeDate,HLP_Legacy,HLP_Current))</f>
        <v/>
      </c>
      <c r="L232" s="31">
        <f>IF($E232="","",J232/(1-K232))</f>
        <v/>
      </c>
      <c r="M232" s="31">
        <f>IF($E232="","",I232/(1-K232))</f>
        <v/>
      </c>
      <c r="N232" s="31">
        <f>IF($E232="","",(B232+C232+D232)*Rate_Builder)</f>
        <v/>
      </c>
      <c r="O232" s="31">
        <f>IF($E232="","",E232*K232/(1-K232))</f>
        <v/>
      </c>
      <c r="P232" s="34">
        <f>IF(OR($E232="",B232=0),"",L232/B232*10000)</f>
        <v/>
      </c>
      <c r="Q232" s="34">
        <f>IF(OR($E232="",C232=0),"",F232/C232*10000)</f>
        <v/>
      </c>
      <c r="R232" s="34">
        <f>IF(OR($E232="",D232=0),"",'Daily Data'!I232/D232*10000)</f>
        <v/>
      </c>
    </row>
    <row r="233">
      <c r="A233" s="30" t="n">
        <v>45887</v>
      </c>
      <c r="B233" s="31">
        <f>'Daily Data'!B233-'Daily Data'!D233</f>
        <v/>
      </c>
      <c r="C233" s="32">
        <f>'Daily Data'!D233</f>
        <v/>
      </c>
      <c r="D233" s="32">
        <f>'Daily Data'!C233</f>
        <v/>
      </c>
      <c r="E233" s="32">
        <f>IF('Daily Data'!E233="","",'Daily Data'!E233)</f>
        <v/>
      </c>
      <c r="F233" s="32">
        <f>IF($E233="","",'Daily Data'!F233)</f>
        <v/>
      </c>
      <c r="G233" s="32">
        <f>IF($E233="","",'Daily Data'!G233)</f>
        <v/>
      </c>
      <c r="H233" s="31">
        <f>IF($E233="","",F233-G233)</f>
        <v/>
      </c>
      <c r="I233" s="32">
        <f>IF($E233="","",'Daily Data'!H233)</f>
        <v/>
      </c>
      <c r="J233" s="31">
        <f>IF($E233="","",E233-H233-I233)</f>
        <v/>
      </c>
      <c r="K233" s="33">
        <f>IF($E233="","",IF(A233&lt;HLP_ChangeDate,HLP_Legacy,HLP_Current))</f>
        <v/>
      </c>
      <c r="L233" s="31">
        <f>IF($E233="","",J233/(1-K233))</f>
        <v/>
      </c>
      <c r="M233" s="31">
        <f>IF($E233="","",I233/(1-K233))</f>
        <v/>
      </c>
      <c r="N233" s="31">
        <f>IF($E233="","",(B233+C233+D233)*Rate_Builder)</f>
        <v/>
      </c>
      <c r="O233" s="31">
        <f>IF($E233="","",E233*K233/(1-K233))</f>
        <v/>
      </c>
      <c r="P233" s="34">
        <f>IF(OR($E233="",B233=0),"",L233/B233*10000)</f>
        <v/>
      </c>
      <c r="Q233" s="34">
        <f>IF(OR($E233="",C233=0),"",F233/C233*10000)</f>
        <v/>
      </c>
      <c r="R233" s="34">
        <f>IF(OR($E233="",D233=0),"",'Daily Data'!I233/D233*10000)</f>
        <v/>
      </c>
    </row>
    <row r="234">
      <c r="A234" s="30" t="n">
        <v>45888</v>
      </c>
      <c r="B234" s="31">
        <f>'Daily Data'!B234-'Daily Data'!D234</f>
        <v/>
      </c>
      <c r="C234" s="32">
        <f>'Daily Data'!D234</f>
        <v/>
      </c>
      <c r="D234" s="32">
        <f>'Daily Data'!C234</f>
        <v/>
      </c>
      <c r="E234" s="32">
        <f>IF('Daily Data'!E234="","",'Daily Data'!E234)</f>
        <v/>
      </c>
      <c r="F234" s="32">
        <f>IF($E234="","",'Daily Data'!F234)</f>
        <v/>
      </c>
      <c r="G234" s="32">
        <f>IF($E234="","",'Daily Data'!G234)</f>
        <v/>
      </c>
      <c r="H234" s="31">
        <f>IF($E234="","",F234-G234)</f>
        <v/>
      </c>
      <c r="I234" s="32">
        <f>IF($E234="","",'Daily Data'!H234)</f>
        <v/>
      </c>
      <c r="J234" s="31">
        <f>IF($E234="","",E234-H234-I234)</f>
        <v/>
      </c>
      <c r="K234" s="33">
        <f>IF($E234="","",IF(A234&lt;HLP_ChangeDate,HLP_Legacy,HLP_Current))</f>
        <v/>
      </c>
      <c r="L234" s="31">
        <f>IF($E234="","",J234/(1-K234))</f>
        <v/>
      </c>
      <c r="M234" s="31">
        <f>IF($E234="","",I234/(1-K234))</f>
        <v/>
      </c>
      <c r="N234" s="31">
        <f>IF($E234="","",(B234+C234+D234)*Rate_Builder)</f>
        <v/>
      </c>
      <c r="O234" s="31">
        <f>IF($E234="","",E234*K234/(1-K234))</f>
        <v/>
      </c>
      <c r="P234" s="34">
        <f>IF(OR($E234="",B234=0),"",L234/B234*10000)</f>
        <v/>
      </c>
      <c r="Q234" s="34">
        <f>IF(OR($E234="",C234=0),"",F234/C234*10000)</f>
        <v/>
      </c>
      <c r="R234" s="34">
        <f>IF(OR($E234="",D234=0),"",'Daily Data'!I234/D234*10000)</f>
        <v/>
      </c>
    </row>
    <row r="235">
      <c r="A235" s="30" t="n">
        <v>45889</v>
      </c>
      <c r="B235" s="31">
        <f>'Daily Data'!B235-'Daily Data'!D235</f>
        <v/>
      </c>
      <c r="C235" s="32">
        <f>'Daily Data'!D235</f>
        <v/>
      </c>
      <c r="D235" s="32">
        <f>'Daily Data'!C235</f>
        <v/>
      </c>
      <c r="E235" s="32">
        <f>IF('Daily Data'!E235="","",'Daily Data'!E235)</f>
        <v/>
      </c>
      <c r="F235" s="32">
        <f>IF($E235="","",'Daily Data'!F235)</f>
        <v/>
      </c>
      <c r="G235" s="32">
        <f>IF($E235="","",'Daily Data'!G235)</f>
        <v/>
      </c>
      <c r="H235" s="31">
        <f>IF($E235="","",F235-G235)</f>
        <v/>
      </c>
      <c r="I235" s="32">
        <f>IF($E235="","",'Daily Data'!H235)</f>
        <v/>
      </c>
      <c r="J235" s="31">
        <f>IF($E235="","",E235-H235-I235)</f>
        <v/>
      </c>
      <c r="K235" s="33">
        <f>IF($E235="","",IF(A235&lt;HLP_ChangeDate,HLP_Legacy,HLP_Current))</f>
        <v/>
      </c>
      <c r="L235" s="31">
        <f>IF($E235="","",J235/(1-K235))</f>
        <v/>
      </c>
      <c r="M235" s="31">
        <f>IF($E235="","",I235/(1-K235))</f>
        <v/>
      </c>
      <c r="N235" s="31">
        <f>IF($E235="","",(B235+C235+D235)*Rate_Builder)</f>
        <v/>
      </c>
      <c r="O235" s="31">
        <f>IF($E235="","",E235*K235/(1-K235))</f>
        <v/>
      </c>
      <c r="P235" s="34">
        <f>IF(OR($E235="",B235=0),"",L235/B235*10000)</f>
        <v/>
      </c>
      <c r="Q235" s="34">
        <f>IF(OR($E235="",C235=0),"",F235/C235*10000)</f>
        <v/>
      </c>
      <c r="R235" s="34">
        <f>IF(OR($E235="",D235=0),"",'Daily Data'!I235/D235*10000)</f>
        <v/>
      </c>
    </row>
    <row r="236">
      <c r="A236" s="30" t="n">
        <v>45890</v>
      </c>
      <c r="B236" s="31">
        <f>'Daily Data'!B236-'Daily Data'!D236</f>
        <v/>
      </c>
      <c r="C236" s="32">
        <f>'Daily Data'!D236</f>
        <v/>
      </c>
      <c r="D236" s="32">
        <f>'Daily Data'!C236</f>
        <v/>
      </c>
      <c r="E236" s="32">
        <f>IF('Daily Data'!E236="","",'Daily Data'!E236)</f>
        <v/>
      </c>
      <c r="F236" s="32">
        <f>IF($E236="","",'Daily Data'!F236)</f>
        <v/>
      </c>
      <c r="G236" s="32">
        <f>IF($E236="","",'Daily Data'!G236)</f>
        <v/>
      </c>
      <c r="H236" s="31">
        <f>IF($E236="","",F236-G236)</f>
        <v/>
      </c>
      <c r="I236" s="32">
        <f>IF($E236="","",'Daily Data'!H236)</f>
        <v/>
      </c>
      <c r="J236" s="31">
        <f>IF($E236="","",E236-H236-I236)</f>
        <v/>
      </c>
      <c r="K236" s="33">
        <f>IF($E236="","",IF(A236&lt;HLP_ChangeDate,HLP_Legacy,HLP_Current))</f>
        <v/>
      </c>
      <c r="L236" s="31">
        <f>IF($E236="","",J236/(1-K236))</f>
        <v/>
      </c>
      <c r="M236" s="31">
        <f>IF($E236="","",I236/(1-K236))</f>
        <v/>
      </c>
      <c r="N236" s="31">
        <f>IF($E236="","",(B236+C236+D236)*Rate_Builder)</f>
        <v/>
      </c>
      <c r="O236" s="31">
        <f>IF($E236="","",E236*K236/(1-K236))</f>
        <v/>
      </c>
      <c r="P236" s="34">
        <f>IF(OR($E236="",B236=0),"",L236/B236*10000)</f>
        <v/>
      </c>
      <c r="Q236" s="34">
        <f>IF(OR($E236="",C236=0),"",F236/C236*10000)</f>
        <v/>
      </c>
      <c r="R236" s="34">
        <f>IF(OR($E236="",D236=0),"",'Daily Data'!I236/D236*10000)</f>
        <v/>
      </c>
    </row>
    <row r="237">
      <c r="A237" s="30" t="n">
        <v>45891</v>
      </c>
      <c r="B237" s="31">
        <f>'Daily Data'!B237-'Daily Data'!D237</f>
        <v/>
      </c>
      <c r="C237" s="32">
        <f>'Daily Data'!D237</f>
        <v/>
      </c>
      <c r="D237" s="32">
        <f>'Daily Data'!C237</f>
        <v/>
      </c>
      <c r="E237" s="32">
        <f>IF('Daily Data'!E237="","",'Daily Data'!E237)</f>
        <v/>
      </c>
      <c r="F237" s="32">
        <f>IF($E237="","",'Daily Data'!F237)</f>
        <v/>
      </c>
      <c r="G237" s="32">
        <f>IF($E237="","",'Daily Data'!G237)</f>
        <v/>
      </c>
      <c r="H237" s="31">
        <f>IF($E237="","",F237-G237)</f>
        <v/>
      </c>
      <c r="I237" s="32">
        <f>IF($E237="","",'Daily Data'!H237)</f>
        <v/>
      </c>
      <c r="J237" s="31">
        <f>IF($E237="","",E237-H237-I237)</f>
        <v/>
      </c>
      <c r="K237" s="33">
        <f>IF($E237="","",IF(A237&lt;HLP_ChangeDate,HLP_Legacy,HLP_Current))</f>
        <v/>
      </c>
      <c r="L237" s="31">
        <f>IF($E237="","",J237/(1-K237))</f>
        <v/>
      </c>
      <c r="M237" s="31">
        <f>IF($E237="","",I237/(1-K237))</f>
        <v/>
      </c>
      <c r="N237" s="31">
        <f>IF($E237="","",(B237+C237+D237)*Rate_Builder)</f>
        <v/>
      </c>
      <c r="O237" s="31">
        <f>IF($E237="","",E237*K237/(1-K237))</f>
        <v/>
      </c>
      <c r="P237" s="34">
        <f>IF(OR($E237="",B237=0),"",L237/B237*10000)</f>
        <v/>
      </c>
      <c r="Q237" s="34">
        <f>IF(OR($E237="",C237=0),"",F237/C237*10000)</f>
        <v/>
      </c>
      <c r="R237" s="34">
        <f>IF(OR($E237="",D237=0),"",'Daily Data'!I237/D237*10000)</f>
        <v/>
      </c>
    </row>
    <row r="238">
      <c r="A238" s="30" t="n">
        <v>45892</v>
      </c>
      <c r="B238" s="31">
        <f>'Daily Data'!B238-'Daily Data'!D238</f>
        <v/>
      </c>
      <c r="C238" s="32">
        <f>'Daily Data'!D238</f>
        <v/>
      </c>
      <c r="D238" s="32">
        <f>'Daily Data'!C238</f>
        <v/>
      </c>
      <c r="E238" s="32">
        <f>IF('Daily Data'!E238="","",'Daily Data'!E238)</f>
        <v/>
      </c>
      <c r="F238" s="32">
        <f>IF($E238="","",'Daily Data'!F238)</f>
        <v/>
      </c>
      <c r="G238" s="32">
        <f>IF($E238="","",'Daily Data'!G238)</f>
        <v/>
      </c>
      <c r="H238" s="31">
        <f>IF($E238="","",F238-G238)</f>
        <v/>
      </c>
      <c r="I238" s="32">
        <f>IF($E238="","",'Daily Data'!H238)</f>
        <v/>
      </c>
      <c r="J238" s="31">
        <f>IF($E238="","",E238-H238-I238)</f>
        <v/>
      </c>
      <c r="K238" s="33">
        <f>IF($E238="","",IF(A238&lt;HLP_ChangeDate,HLP_Legacy,HLP_Current))</f>
        <v/>
      </c>
      <c r="L238" s="31">
        <f>IF($E238="","",J238/(1-K238))</f>
        <v/>
      </c>
      <c r="M238" s="31">
        <f>IF($E238="","",I238/(1-K238))</f>
        <v/>
      </c>
      <c r="N238" s="31">
        <f>IF($E238="","",(B238+C238+D238)*Rate_Builder)</f>
        <v/>
      </c>
      <c r="O238" s="31">
        <f>IF($E238="","",E238*K238/(1-K238))</f>
        <v/>
      </c>
      <c r="P238" s="34">
        <f>IF(OR($E238="",B238=0),"",L238/B238*10000)</f>
        <v/>
      </c>
      <c r="Q238" s="34">
        <f>IF(OR($E238="",C238=0),"",F238/C238*10000)</f>
        <v/>
      </c>
      <c r="R238" s="34">
        <f>IF(OR($E238="",D238=0),"",'Daily Data'!I238/D238*10000)</f>
        <v/>
      </c>
    </row>
    <row r="239">
      <c r="A239" s="30" t="n">
        <v>45893</v>
      </c>
      <c r="B239" s="31">
        <f>'Daily Data'!B239-'Daily Data'!D239</f>
        <v/>
      </c>
      <c r="C239" s="32">
        <f>'Daily Data'!D239</f>
        <v/>
      </c>
      <c r="D239" s="32">
        <f>'Daily Data'!C239</f>
        <v/>
      </c>
      <c r="E239" s="32">
        <f>IF('Daily Data'!E239="","",'Daily Data'!E239)</f>
        <v/>
      </c>
      <c r="F239" s="32">
        <f>IF($E239="","",'Daily Data'!F239)</f>
        <v/>
      </c>
      <c r="G239" s="32">
        <f>IF($E239="","",'Daily Data'!G239)</f>
        <v/>
      </c>
      <c r="H239" s="31">
        <f>IF($E239="","",F239-G239)</f>
        <v/>
      </c>
      <c r="I239" s="32">
        <f>IF($E239="","",'Daily Data'!H239)</f>
        <v/>
      </c>
      <c r="J239" s="31">
        <f>IF($E239="","",E239-H239-I239)</f>
        <v/>
      </c>
      <c r="K239" s="33">
        <f>IF($E239="","",IF(A239&lt;HLP_ChangeDate,HLP_Legacy,HLP_Current))</f>
        <v/>
      </c>
      <c r="L239" s="31">
        <f>IF($E239="","",J239/(1-K239))</f>
        <v/>
      </c>
      <c r="M239" s="31">
        <f>IF($E239="","",I239/(1-K239))</f>
        <v/>
      </c>
      <c r="N239" s="31">
        <f>IF($E239="","",(B239+C239+D239)*Rate_Builder)</f>
        <v/>
      </c>
      <c r="O239" s="31">
        <f>IF($E239="","",E239*K239/(1-K239))</f>
        <v/>
      </c>
      <c r="P239" s="34">
        <f>IF(OR($E239="",B239=0),"",L239/B239*10000)</f>
        <v/>
      </c>
      <c r="Q239" s="34">
        <f>IF(OR($E239="",C239=0),"",F239/C239*10000)</f>
        <v/>
      </c>
      <c r="R239" s="34">
        <f>IF(OR($E239="",D239=0),"",'Daily Data'!I239/D239*10000)</f>
        <v/>
      </c>
    </row>
    <row r="240">
      <c r="A240" s="30" t="n">
        <v>45894</v>
      </c>
      <c r="B240" s="31">
        <f>'Daily Data'!B240-'Daily Data'!D240</f>
        <v/>
      </c>
      <c r="C240" s="32">
        <f>'Daily Data'!D240</f>
        <v/>
      </c>
      <c r="D240" s="32">
        <f>'Daily Data'!C240</f>
        <v/>
      </c>
      <c r="E240" s="32">
        <f>IF('Daily Data'!E240="","",'Daily Data'!E240)</f>
        <v/>
      </c>
      <c r="F240" s="32">
        <f>IF($E240="","",'Daily Data'!F240)</f>
        <v/>
      </c>
      <c r="G240" s="32">
        <f>IF($E240="","",'Daily Data'!G240)</f>
        <v/>
      </c>
      <c r="H240" s="31">
        <f>IF($E240="","",F240-G240)</f>
        <v/>
      </c>
      <c r="I240" s="32">
        <f>IF($E240="","",'Daily Data'!H240)</f>
        <v/>
      </c>
      <c r="J240" s="31">
        <f>IF($E240="","",E240-H240-I240)</f>
        <v/>
      </c>
      <c r="K240" s="33">
        <f>IF($E240="","",IF(A240&lt;HLP_ChangeDate,HLP_Legacy,HLP_Current))</f>
        <v/>
      </c>
      <c r="L240" s="31">
        <f>IF($E240="","",J240/(1-K240))</f>
        <v/>
      </c>
      <c r="M240" s="31">
        <f>IF($E240="","",I240/(1-K240))</f>
        <v/>
      </c>
      <c r="N240" s="31">
        <f>IF($E240="","",(B240+C240+D240)*Rate_Builder)</f>
        <v/>
      </c>
      <c r="O240" s="31">
        <f>IF($E240="","",E240*K240/(1-K240))</f>
        <v/>
      </c>
      <c r="P240" s="34">
        <f>IF(OR($E240="",B240=0),"",L240/B240*10000)</f>
        <v/>
      </c>
      <c r="Q240" s="34">
        <f>IF(OR($E240="",C240=0),"",F240/C240*10000)</f>
        <v/>
      </c>
      <c r="R240" s="34">
        <f>IF(OR($E240="",D240=0),"",'Daily Data'!I240/D240*10000)</f>
        <v/>
      </c>
    </row>
    <row r="241">
      <c r="A241" s="30" t="n">
        <v>45895</v>
      </c>
      <c r="B241" s="31">
        <f>'Daily Data'!B241-'Daily Data'!D241</f>
        <v/>
      </c>
      <c r="C241" s="32">
        <f>'Daily Data'!D241</f>
        <v/>
      </c>
      <c r="D241" s="32">
        <f>'Daily Data'!C241</f>
        <v/>
      </c>
      <c r="E241" s="32">
        <f>IF('Daily Data'!E241="","",'Daily Data'!E241)</f>
        <v/>
      </c>
      <c r="F241" s="32">
        <f>IF($E241="","",'Daily Data'!F241)</f>
        <v/>
      </c>
      <c r="G241" s="32">
        <f>IF($E241="","",'Daily Data'!G241)</f>
        <v/>
      </c>
      <c r="H241" s="31">
        <f>IF($E241="","",F241-G241)</f>
        <v/>
      </c>
      <c r="I241" s="32">
        <f>IF($E241="","",'Daily Data'!H241)</f>
        <v/>
      </c>
      <c r="J241" s="31">
        <f>IF($E241="","",E241-H241-I241)</f>
        <v/>
      </c>
      <c r="K241" s="33">
        <f>IF($E241="","",IF(A241&lt;HLP_ChangeDate,HLP_Legacy,HLP_Current))</f>
        <v/>
      </c>
      <c r="L241" s="31">
        <f>IF($E241="","",J241/(1-K241))</f>
        <v/>
      </c>
      <c r="M241" s="31">
        <f>IF($E241="","",I241/(1-K241))</f>
        <v/>
      </c>
      <c r="N241" s="31">
        <f>IF($E241="","",(B241+C241+D241)*Rate_Builder)</f>
        <v/>
      </c>
      <c r="O241" s="31">
        <f>IF($E241="","",E241*K241/(1-K241))</f>
        <v/>
      </c>
      <c r="P241" s="34">
        <f>IF(OR($E241="",B241=0),"",L241/B241*10000)</f>
        <v/>
      </c>
      <c r="Q241" s="34">
        <f>IF(OR($E241="",C241=0),"",F241/C241*10000)</f>
        <v/>
      </c>
      <c r="R241" s="34">
        <f>IF(OR($E241="",D241=0),"",'Daily Data'!I241/D241*10000)</f>
        <v/>
      </c>
    </row>
    <row r="242">
      <c r="A242" s="30" t="n">
        <v>45896</v>
      </c>
      <c r="B242" s="31">
        <f>'Daily Data'!B242-'Daily Data'!D242</f>
        <v/>
      </c>
      <c r="C242" s="32">
        <f>'Daily Data'!D242</f>
        <v/>
      </c>
      <c r="D242" s="32">
        <f>'Daily Data'!C242</f>
        <v/>
      </c>
      <c r="E242" s="32">
        <f>IF('Daily Data'!E242="","",'Daily Data'!E242)</f>
        <v/>
      </c>
      <c r="F242" s="32">
        <f>IF($E242="","",'Daily Data'!F242)</f>
        <v/>
      </c>
      <c r="G242" s="32">
        <f>IF($E242="","",'Daily Data'!G242)</f>
        <v/>
      </c>
      <c r="H242" s="31">
        <f>IF($E242="","",F242-G242)</f>
        <v/>
      </c>
      <c r="I242" s="32">
        <f>IF($E242="","",'Daily Data'!H242)</f>
        <v/>
      </c>
      <c r="J242" s="31">
        <f>IF($E242="","",E242-H242-I242)</f>
        <v/>
      </c>
      <c r="K242" s="33">
        <f>IF($E242="","",IF(A242&lt;HLP_ChangeDate,HLP_Legacy,HLP_Current))</f>
        <v/>
      </c>
      <c r="L242" s="31">
        <f>IF($E242="","",J242/(1-K242))</f>
        <v/>
      </c>
      <c r="M242" s="31">
        <f>IF($E242="","",I242/(1-K242))</f>
        <v/>
      </c>
      <c r="N242" s="31">
        <f>IF($E242="","",(B242+C242+D242)*Rate_Builder)</f>
        <v/>
      </c>
      <c r="O242" s="31">
        <f>IF($E242="","",E242*K242/(1-K242))</f>
        <v/>
      </c>
      <c r="P242" s="34">
        <f>IF(OR($E242="",B242=0),"",L242/B242*10000)</f>
        <v/>
      </c>
      <c r="Q242" s="34">
        <f>IF(OR($E242="",C242=0),"",F242/C242*10000)</f>
        <v/>
      </c>
      <c r="R242" s="34">
        <f>IF(OR($E242="",D242=0),"",'Daily Data'!I242/D242*10000)</f>
        <v/>
      </c>
    </row>
    <row r="243">
      <c r="A243" s="30" t="n">
        <v>45897</v>
      </c>
      <c r="B243" s="31">
        <f>'Daily Data'!B243-'Daily Data'!D243</f>
        <v/>
      </c>
      <c r="C243" s="32">
        <f>'Daily Data'!D243</f>
        <v/>
      </c>
      <c r="D243" s="32">
        <f>'Daily Data'!C243</f>
        <v/>
      </c>
      <c r="E243" s="32">
        <f>IF('Daily Data'!E243="","",'Daily Data'!E243)</f>
        <v/>
      </c>
      <c r="F243" s="32">
        <f>IF($E243="","",'Daily Data'!F243)</f>
        <v/>
      </c>
      <c r="G243" s="32">
        <f>IF($E243="","",'Daily Data'!G243)</f>
        <v/>
      </c>
      <c r="H243" s="31">
        <f>IF($E243="","",F243-G243)</f>
        <v/>
      </c>
      <c r="I243" s="32">
        <f>IF($E243="","",'Daily Data'!H243)</f>
        <v/>
      </c>
      <c r="J243" s="31">
        <f>IF($E243="","",E243-H243-I243)</f>
        <v/>
      </c>
      <c r="K243" s="33">
        <f>IF($E243="","",IF(A243&lt;HLP_ChangeDate,HLP_Legacy,HLP_Current))</f>
        <v/>
      </c>
      <c r="L243" s="31">
        <f>IF($E243="","",J243/(1-K243))</f>
        <v/>
      </c>
      <c r="M243" s="31">
        <f>IF($E243="","",I243/(1-K243))</f>
        <v/>
      </c>
      <c r="N243" s="31">
        <f>IF($E243="","",(B243+C243+D243)*Rate_Builder)</f>
        <v/>
      </c>
      <c r="O243" s="31">
        <f>IF($E243="","",E243*K243/(1-K243))</f>
        <v/>
      </c>
      <c r="P243" s="34">
        <f>IF(OR($E243="",B243=0),"",L243/B243*10000)</f>
        <v/>
      </c>
      <c r="Q243" s="34">
        <f>IF(OR($E243="",C243=0),"",F243/C243*10000)</f>
        <v/>
      </c>
      <c r="R243" s="34">
        <f>IF(OR($E243="",D243=0),"",'Daily Data'!I243/D243*10000)</f>
        <v/>
      </c>
    </row>
    <row r="244">
      <c r="A244" s="30" t="n">
        <v>45898</v>
      </c>
      <c r="B244" s="31">
        <f>'Daily Data'!B244-'Daily Data'!D244</f>
        <v/>
      </c>
      <c r="C244" s="32">
        <f>'Daily Data'!D244</f>
        <v/>
      </c>
      <c r="D244" s="32">
        <f>'Daily Data'!C244</f>
        <v/>
      </c>
      <c r="E244" s="32">
        <f>IF('Daily Data'!E244="","",'Daily Data'!E244)</f>
        <v/>
      </c>
      <c r="F244" s="32">
        <f>IF($E244="","",'Daily Data'!F244)</f>
        <v/>
      </c>
      <c r="G244" s="32">
        <f>IF($E244="","",'Daily Data'!G244)</f>
        <v/>
      </c>
      <c r="H244" s="31">
        <f>IF($E244="","",F244-G244)</f>
        <v/>
      </c>
      <c r="I244" s="32">
        <f>IF($E244="","",'Daily Data'!H244)</f>
        <v/>
      </c>
      <c r="J244" s="31">
        <f>IF($E244="","",E244-H244-I244)</f>
        <v/>
      </c>
      <c r="K244" s="33">
        <f>IF($E244="","",IF(A244&lt;HLP_ChangeDate,HLP_Legacy,HLP_Current))</f>
        <v/>
      </c>
      <c r="L244" s="31">
        <f>IF($E244="","",J244/(1-K244))</f>
        <v/>
      </c>
      <c r="M244" s="31">
        <f>IF($E244="","",I244/(1-K244))</f>
        <v/>
      </c>
      <c r="N244" s="31">
        <f>IF($E244="","",(B244+C244+D244)*Rate_Builder)</f>
        <v/>
      </c>
      <c r="O244" s="31">
        <f>IF($E244="","",E244*K244/(1-K244))</f>
        <v/>
      </c>
      <c r="P244" s="34">
        <f>IF(OR($E244="",B244=0),"",L244/B244*10000)</f>
        <v/>
      </c>
      <c r="Q244" s="34">
        <f>IF(OR($E244="",C244=0),"",F244/C244*10000)</f>
        <v/>
      </c>
      <c r="R244" s="34">
        <f>IF(OR($E244="",D244=0),"",'Daily Data'!I244/D244*10000)</f>
        <v/>
      </c>
    </row>
    <row r="245">
      <c r="A245" s="30" t="n">
        <v>45899</v>
      </c>
      <c r="B245" s="31">
        <f>'Daily Data'!B245-'Daily Data'!D245</f>
        <v/>
      </c>
      <c r="C245" s="32">
        <f>'Daily Data'!D245</f>
        <v/>
      </c>
      <c r="D245" s="32">
        <f>'Daily Data'!C245</f>
        <v/>
      </c>
      <c r="E245" s="32">
        <f>IF('Daily Data'!E245="","",'Daily Data'!E245)</f>
        <v/>
      </c>
      <c r="F245" s="32">
        <f>IF($E245="","",'Daily Data'!F245)</f>
        <v/>
      </c>
      <c r="G245" s="32">
        <f>IF($E245="","",'Daily Data'!G245)</f>
        <v/>
      </c>
      <c r="H245" s="31">
        <f>IF($E245="","",F245-G245)</f>
        <v/>
      </c>
      <c r="I245" s="32">
        <f>IF($E245="","",'Daily Data'!H245)</f>
        <v/>
      </c>
      <c r="J245" s="31">
        <f>IF($E245="","",E245-H245-I245)</f>
        <v/>
      </c>
      <c r="K245" s="33">
        <f>IF($E245="","",IF(A245&lt;HLP_ChangeDate,HLP_Legacy,HLP_Current))</f>
        <v/>
      </c>
      <c r="L245" s="31">
        <f>IF($E245="","",J245/(1-K245))</f>
        <v/>
      </c>
      <c r="M245" s="31">
        <f>IF($E245="","",I245/(1-K245))</f>
        <v/>
      </c>
      <c r="N245" s="31">
        <f>IF($E245="","",(B245+C245+D245)*Rate_Builder)</f>
        <v/>
      </c>
      <c r="O245" s="31">
        <f>IF($E245="","",E245*K245/(1-K245))</f>
        <v/>
      </c>
      <c r="P245" s="34">
        <f>IF(OR($E245="",B245=0),"",L245/B245*10000)</f>
        <v/>
      </c>
      <c r="Q245" s="34">
        <f>IF(OR($E245="",C245=0),"",F245/C245*10000)</f>
        <v/>
      </c>
      <c r="R245" s="34">
        <f>IF(OR($E245="",D245=0),"",'Daily Data'!I245/D245*10000)</f>
        <v/>
      </c>
    </row>
    <row r="246">
      <c r="A246" s="30" t="n">
        <v>45900</v>
      </c>
      <c r="B246" s="31">
        <f>'Daily Data'!B246-'Daily Data'!D246</f>
        <v/>
      </c>
      <c r="C246" s="32">
        <f>'Daily Data'!D246</f>
        <v/>
      </c>
      <c r="D246" s="32">
        <f>'Daily Data'!C246</f>
        <v/>
      </c>
      <c r="E246" s="32">
        <f>IF('Daily Data'!E246="","",'Daily Data'!E246)</f>
        <v/>
      </c>
      <c r="F246" s="32">
        <f>IF($E246="","",'Daily Data'!F246)</f>
        <v/>
      </c>
      <c r="G246" s="32">
        <f>IF($E246="","",'Daily Data'!G246)</f>
        <v/>
      </c>
      <c r="H246" s="31">
        <f>IF($E246="","",F246-G246)</f>
        <v/>
      </c>
      <c r="I246" s="32">
        <f>IF($E246="","",'Daily Data'!H246)</f>
        <v/>
      </c>
      <c r="J246" s="31">
        <f>IF($E246="","",E246-H246-I246)</f>
        <v/>
      </c>
      <c r="K246" s="33">
        <f>IF($E246="","",IF(A246&lt;HLP_ChangeDate,HLP_Legacy,HLP_Current))</f>
        <v/>
      </c>
      <c r="L246" s="31">
        <f>IF($E246="","",J246/(1-K246))</f>
        <v/>
      </c>
      <c r="M246" s="31">
        <f>IF($E246="","",I246/(1-K246))</f>
        <v/>
      </c>
      <c r="N246" s="31">
        <f>IF($E246="","",(B246+C246+D246)*Rate_Builder)</f>
        <v/>
      </c>
      <c r="O246" s="31">
        <f>IF($E246="","",E246*K246/(1-K246))</f>
        <v/>
      </c>
      <c r="P246" s="34">
        <f>IF(OR($E246="",B246=0),"",L246/B246*10000)</f>
        <v/>
      </c>
      <c r="Q246" s="34">
        <f>IF(OR($E246="",C246=0),"",F246/C246*10000)</f>
        <v/>
      </c>
      <c r="R246" s="34">
        <f>IF(OR($E246="",D246=0),"",'Daily Data'!I246/D246*10000)</f>
        <v/>
      </c>
    </row>
    <row r="247">
      <c r="A247" s="30" t="n">
        <v>45901</v>
      </c>
      <c r="B247" s="31">
        <f>'Daily Data'!B247-'Daily Data'!D247</f>
        <v/>
      </c>
      <c r="C247" s="32">
        <f>'Daily Data'!D247</f>
        <v/>
      </c>
      <c r="D247" s="32">
        <f>'Daily Data'!C247</f>
        <v/>
      </c>
      <c r="E247" s="32">
        <f>IF('Daily Data'!E247="","",'Daily Data'!E247)</f>
        <v/>
      </c>
      <c r="F247" s="32">
        <f>IF($E247="","",'Daily Data'!F247)</f>
        <v/>
      </c>
      <c r="G247" s="32">
        <f>IF($E247="","",'Daily Data'!G247)</f>
        <v/>
      </c>
      <c r="H247" s="31">
        <f>IF($E247="","",F247-G247)</f>
        <v/>
      </c>
      <c r="I247" s="32">
        <f>IF($E247="","",'Daily Data'!H247)</f>
        <v/>
      </c>
      <c r="J247" s="31">
        <f>IF($E247="","",E247-H247-I247)</f>
        <v/>
      </c>
      <c r="K247" s="33">
        <f>IF($E247="","",IF(A247&lt;HLP_ChangeDate,HLP_Legacy,HLP_Current))</f>
        <v/>
      </c>
      <c r="L247" s="31">
        <f>IF($E247="","",J247/(1-K247))</f>
        <v/>
      </c>
      <c r="M247" s="31">
        <f>IF($E247="","",I247/(1-K247))</f>
        <v/>
      </c>
      <c r="N247" s="31">
        <f>IF($E247="","",(B247+C247+D247)*Rate_Builder)</f>
        <v/>
      </c>
      <c r="O247" s="31">
        <f>IF($E247="","",E247*K247/(1-K247))</f>
        <v/>
      </c>
      <c r="P247" s="34">
        <f>IF(OR($E247="",B247=0),"",L247/B247*10000)</f>
        <v/>
      </c>
      <c r="Q247" s="34">
        <f>IF(OR($E247="",C247=0),"",F247/C247*10000)</f>
        <v/>
      </c>
      <c r="R247" s="34">
        <f>IF(OR($E247="",D247=0),"",'Daily Data'!I247/D247*10000)</f>
        <v/>
      </c>
    </row>
    <row r="248">
      <c r="A248" s="30" t="n">
        <v>45902</v>
      </c>
      <c r="B248" s="31">
        <f>'Daily Data'!B248-'Daily Data'!D248</f>
        <v/>
      </c>
      <c r="C248" s="32">
        <f>'Daily Data'!D248</f>
        <v/>
      </c>
      <c r="D248" s="32">
        <f>'Daily Data'!C248</f>
        <v/>
      </c>
      <c r="E248" s="32">
        <f>IF('Daily Data'!E248="","",'Daily Data'!E248)</f>
        <v/>
      </c>
      <c r="F248" s="32">
        <f>IF($E248="","",'Daily Data'!F248)</f>
        <v/>
      </c>
      <c r="G248" s="32">
        <f>IF($E248="","",'Daily Data'!G248)</f>
        <v/>
      </c>
      <c r="H248" s="31">
        <f>IF($E248="","",F248-G248)</f>
        <v/>
      </c>
      <c r="I248" s="32">
        <f>IF($E248="","",'Daily Data'!H248)</f>
        <v/>
      </c>
      <c r="J248" s="31">
        <f>IF($E248="","",E248-H248-I248)</f>
        <v/>
      </c>
      <c r="K248" s="33">
        <f>IF($E248="","",IF(A248&lt;HLP_ChangeDate,HLP_Legacy,HLP_Current))</f>
        <v/>
      </c>
      <c r="L248" s="31">
        <f>IF($E248="","",J248/(1-K248))</f>
        <v/>
      </c>
      <c r="M248" s="31">
        <f>IF($E248="","",I248/(1-K248))</f>
        <v/>
      </c>
      <c r="N248" s="31">
        <f>IF($E248="","",(B248+C248+D248)*Rate_Builder)</f>
        <v/>
      </c>
      <c r="O248" s="31">
        <f>IF($E248="","",E248*K248/(1-K248))</f>
        <v/>
      </c>
      <c r="P248" s="34">
        <f>IF(OR($E248="",B248=0),"",L248/B248*10000)</f>
        <v/>
      </c>
      <c r="Q248" s="34">
        <f>IF(OR($E248="",C248=0),"",F248/C248*10000)</f>
        <v/>
      </c>
      <c r="R248" s="34">
        <f>IF(OR($E248="",D248=0),"",'Daily Data'!I248/D248*10000)</f>
        <v/>
      </c>
    </row>
    <row r="249">
      <c r="A249" s="30" t="n">
        <v>45903</v>
      </c>
      <c r="B249" s="31">
        <f>'Daily Data'!B249-'Daily Data'!D249</f>
        <v/>
      </c>
      <c r="C249" s="32">
        <f>'Daily Data'!D249</f>
        <v/>
      </c>
      <c r="D249" s="32">
        <f>'Daily Data'!C249</f>
        <v/>
      </c>
      <c r="E249" s="32">
        <f>IF('Daily Data'!E249="","",'Daily Data'!E249)</f>
        <v/>
      </c>
      <c r="F249" s="32">
        <f>IF($E249="","",'Daily Data'!F249)</f>
        <v/>
      </c>
      <c r="G249" s="32">
        <f>IF($E249="","",'Daily Data'!G249)</f>
        <v/>
      </c>
      <c r="H249" s="31">
        <f>IF($E249="","",F249-G249)</f>
        <v/>
      </c>
      <c r="I249" s="32">
        <f>IF($E249="","",'Daily Data'!H249)</f>
        <v/>
      </c>
      <c r="J249" s="31">
        <f>IF($E249="","",E249-H249-I249)</f>
        <v/>
      </c>
      <c r="K249" s="33">
        <f>IF($E249="","",IF(A249&lt;HLP_ChangeDate,HLP_Legacy,HLP_Current))</f>
        <v/>
      </c>
      <c r="L249" s="31">
        <f>IF($E249="","",J249/(1-K249))</f>
        <v/>
      </c>
      <c r="M249" s="31">
        <f>IF($E249="","",I249/(1-K249))</f>
        <v/>
      </c>
      <c r="N249" s="31">
        <f>IF($E249="","",(B249+C249+D249)*Rate_Builder)</f>
        <v/>
      </c>
      <c r="O249" s="31">
        <f>IF($E249="","",E249*K249/(1-K249))</f>
        <v/>
      </c>
      <c r="P249" s="34">
        <f>IF(OR($E249="",B249=0),"",L249/B249*10000)</f>
        <v/>
      </c>
      <c r="Q249" s="34">
        <f>IF(OR($E249="",C249=0),"",F249/C249*10000)</f>
        <v/>
      </c>
      <c r="R249" s="34">
        <f>IF(OR($E249="",D249=0),"",'Daily Data'!I249/D249*10000)</f>
        <v/>
      </c>
    </row>
    <row r="250">
      <c r="A250" s="30" t="n">
        <v>45904</v>
      </c>
      <c r="B250" s="31">
        <f>'Daily Data'!B250-'Daily Data'!D250</f>
        <v/>
      </c>
      <c r="C250" s="32">
        <f>'Daily Data'!D250</f>
        <v/>
      </c>
      <c r="D250" s="32">
        <f>'Daily Data'!C250</f>
        <v/>
      </c>
      <c r="E250" s="32">
        <f>IF('Daily Data'!E250="","",'Daily Data'!E250)</f>
        <v/>
      </c>
      <c r="F250" s="32">
        <f>IF($E250="","",'Daily Data'!F250)</f>
        <v/>
      </c>
      <c r="G250" s="32">
        <f>IF($E250="","",'Daily Data'!G250)</f>
        <v/>
      </c>
      <c r="H250" s="31">
        <f>IF($E250="","",F250-G250)</f>
        <v/>
      </c>
      <c r="I250" s="32">
        <f>IF($E250="","",'Daily Data'!H250)</f>
        <v/>
      </c>
      <c r="J250" s="31">
        <f>IF($E250="","",E250-H250-I250)</f>
        <v/>
      </c>
      <c r="K250" s="33">
        <f>IF($E250="","",IF(A250&lt;HLP_ChangeDate,HLP_Legacy,HLP_Current))</f>
        <v/>
      </c>
      <c r="L250" s="31">
        <f>IF($E250="","",J250/(1-K250))</f>
        <v/>
      </c>
      <c r="M250" s="31">
        <f>IF($E250="","",I250/(1-K250))</f>
        <v/>
      </c>
      <c r="N250" s="31">
        <f>IF($E250="","",(B250+C250+D250)*Rate_Builder)</f>
        <v/>
      </c>
      <c r="O250" s="31">
        <f>IF($E250="","",E250*K250/(1-K250))</f>
        <v/>
      </c>
      <c r="P250" s="34">
        <f>IF(OR($E250="",B250=0),"",L250/B250*10000)</f>
        <v/>
      </c>
      <c r="Q250" s="34">
        <f>IF(OR($E250="",C250=0),"",F250/C250*10000)</f>
        <v/>
      </c>
      <c r="R250" s="34">
        <f>IF(OR($E250="",D250=0),"",'Daily Data'!I250/D250*10000)</f>
        <v/>
      </c>
    </row>
    <row r="251">
      <c r="A251" s="30" t="n">
        <v>45905</v>
      </c>
      <c r="B251" s="31">
        <f>'Daily Data'!B251-'Daily Data'!D251</f>
        <v/>
      </c>
      <c r="C251" s="32">
        <f>'Daily Data'!D251</f>
        <v/>
      </c>
      <c r="D251" s="32">
        <f>'Daily Data'!C251</f>
        <v/>
      </c>
      <c r="E251" s="32">
        <f>IF('Daily Data'!E251="","",'Daily Data'!E251)</f>
        <v/>
      </c>
      <c r="F251" s="32">
        <f>IF($E251="","",'Daily Data'!F251)</f>
        <v/>
      </c>
      <c r="G251" s="32">
        <f>IF($E251="","",'Daily Data'!G251)</f>
        <v/>
      </c>
      <c r="H251" s="31">
        <f>IF($E251="","",F251-G251)</f>
        <v/>
      </c>
      <c r="I251" s="32">
        <f>IF($E251="","",'Daily Data'!H251)</f>
        <v/>
      </c>
      <c r="J251" s="31">
        <f>IF($E251="","",E251-H251-I251)</f>
        <v/>
      </c>
      <c r="K251" s="33">
        <f>IF($E251="","",IF(A251&lt;HLP_ChangeDate,HLP_Legacy,HLP_Current))</f>
        <v/>
      </c>
      <c r="L251" s="31">
        <f>IF($E251="","",J251/(1-K251))</f>
        <v/>
      </c>
      <c r="M251" s="31">
        <f>IF($E251="","",I251/(1-K251))</f>
        <v/>
      </c>
      <c r="N251" s="31">
        <f>IF($E251="","",(B251+C251+D251)*Rate_Builder)</f>
        <v/>
      </c>
      <c r="O251" s="31">
        <f>IF($E251="","",E251*K251/(1-K251))</f>
        <v/>
      </c>
      <c r="P251" s="34">
        <f>IF(OR($E251="",B251=0),"",L251/B251*10000)</f>
        <v/>
      </c>
      <c r="Q251" s="34">
        <f>IF(OR($E251="",C251=0),"",F251/C251*10000)</f>
        <v/>
      </c>
      <c r="R251" s="34">
        <f>IF(OR($E251="",D251=0),"",'Daily Data'!I251/D251*10000)</f>
        <v/>
      </c>
    </row>
    <row r="252">
      <c r="A252" s="30" t="n">
        <v>45906</v>
      </c>
      <c r="B252" s="31">
        <f>'Daily Data'!B252-'Daily Data'!D252</f>
        <v/>
      </c>
      <c r="C252" s="32">
        <f>'Daily Data'!D252</f>
        <v/>
      </c>
      <c r="D252" s="32">
        <f>'Daily Data'!C252</f>
        <v/>
      </c>
      <c r="E252" s="32">
        <f>IF('Daily Data'!E252="","",'Daily Data'!E252)</f>
        <v/>
      </c>
      <c r="F252" s="32">
        <f>IF($E252="","",'Daily Data'!F252)</f>
        <v/>
      </c>
      <c r="G252" s="32">
        <f>IF($E252="","",'Daily Data'!G252)</f>
        <v/>
      </c>
      <c r="H252" s="31">
        <f>IF($E252="","",F252-G252)</f>
        <v/>
      </c>
      <c r="I252" s="32">
        <f>IF($E252="","",'Daily Data'!H252)</f>
        <v/>
      </c>
      <c r="J252" s="31">
        <f>IF($E252="","",E252-H252-I252)</f>
        <v/>
      </c>
      <c r="K252" s="33">
        <f>IF($E252="","",IF(A252&lt;HLP_ChangeDate,HLP_Legacy,HLP_Current))</f>
        <v/>
      </c>
      <c r="L252" s="31">
        <f>IF($E252="","",J252/(1-K252))</f>
        <v/>
      </c>
      <c r="M252" s="31">
        <f>IF($E252="","",I252/(1-K252))</f>
        <v/>
      </c>
      <c r="N252" s="31">
        <f>IF($E252="","",(B252+C252+D252)*Rate_Builder)</f>
        <v/>
      </c>
      <c r="O252" s="31">
        <f>IF($E252="","",E252*K252/(1-K252))</f>
        <v/>
      </c>
      <c r="P252" s="34">
        <f>IF(OR($E252="",B252=0),"",L252/B252*10000)</f>
        <v/>
      </c>
      <c r="Q252" s="34">
        <f>IF(OR($E252="",C252=0),"",F252/C252*10000)</f>
        <v/>
      </c>
      <c r="R252" s="34">
        <f>IF(OR($E252="",D252=0),"",'Daily Data'!I252/D252*10000)</f>
        <v/>
      </c>
    </row>
    <row r="253">
      <c r="A253" s="30" t="n">
        <v>45907</v>
      </c>
      <c r="B253" s="31">
        <f>'Daily Data'!B253-'Daily Data'!D253</f>
        <v/>
      </c>
      <c r="C253" s="32">
        <f>'Daily Data'!D253</f>
        <v/>
      </c>
      <c r="D253" s="32">
        <f>'Daily Data'!C253</f>
        <v/>
      </c>
      <c r="E253" s="32">
        <f>IF('Daily Data'!E253="","",'Daily Data'!E253)</f>
        <v/>
      </c>
      <c r="F253" s="32">
        <f>IF($E253="","",'Daily Data'!F253)</f>
        <v/>
      </c>
      <c r="G253" s="32">
        <f>IF($E253="","",'Daily Data'!G253)</f>
        <v/>
      </c>
      <c r="H253" s="31">
        <f>IF($E253="","",F253-G253)</f>
        <v/>
      </c>
      <c r="I253" s="32">
        <f>IF($E253="","",'Daily Data'!H253)</f>
        <v/>
      </c>
      <c r="J253" s="31">
        <f>IF($E253="","",E253-H253-I253)</f>
        <v/>
      </c>
      <c r="K253" s="33">
        <f>IF($E253="","",IF(A253&lt;HLP_ChangeDate,HLP_Legacy,HLP_Current))</f>
        <v/>
      </c>
      <c r="L253" s="31">
        <f>IF($E253="","",J253/(1-K253))</f>
        <v/>
      </c>
      <c r="M253" s="31">
        <f>IF($E253="","",I253/(1-K253))</f>
        <v/>
      </c>
      <c r="N253" s="31">
        <f>IF($E253="","",(B253+C253+D253)*Rate_Builder)</f>
        <v/>
      </c>
      <c r="O253" s="31">
        <f>IF($E253="","",E253*K253/(1-K253))</f>
        <v/>
      </c>
      <c r="P253" s="34">
        <f>IF(OR($E253="",B253=0),"",L253/B253*10000)</f>
        <v/>
      </c>
      <c r="Q253" s="34">
        <f>IF(OR($E253="",C253=0),"",F253/C253*10000)</f>
        <v/>
      </c>
      <c r="R253" s="34">
        <f>IF(OR($E253="",D253=0),"",'Daily Data'!I253/D253*10000)</f>
        <v/>
      </c>
    </row>
    <row r="254">
      <c r="A254" s="30" t="n">
        <v>45908</v>
      </c>
      <c r="B254" s="31">
        <f>'Daily Data'!B254-'Daily Data'!D254</f>
        <v/>
      </c>
      <c r="C254" s="32">
        <f>'Daily Data'!D254</f>
        <v/>
      </c>
      <c r="D254" s="32">
        <f>'Daily Data'!C254</f>
        <v/>
      </c>
      <c r="E254" s="32">
        <f>IF('Daily Data'!E254="","",'Daily Data'!E254)</f>
        <v/>
      </c>
      <c r="F254" s="32">
        <f>IF($E254="","",'Daily Data'!F254)</f>
        <v/>
      </c>
      <c r="G254" s="32">
        <f>IF($E254="","",'Daily Data'!G254)</f>
        <v/>
      </c>
      <c r="H254" s="31">
        <f>IF($E254="","",F254-G254)</f>
        <v/>
      </c>
      <c r="I254" s="32">
        <f>IF($E254="","",'Daily Data'!H254)</f>
        <v/>
      </c>
      <c r="J254" s="31">
        <f>IF($E254="","",E254-H254-I254)</f>
        <v/>
      </c>
      <c r="K254" s="33">
        <f>IF($E254="","",IF(A254&lt;HLP_ChangeDate,HLP_Legacy,HLP_Current))</f>
        <v/>
      </c>
      <c r="L254" s="31">
        <f>IF($E254="","",J254/(1-K254))</f>
        <v/>
      </c>
      <c r="M254" s="31">
        <f>IF($E254="","",I254/(1-K254))</f>
        <v/>
      </c>
      <c r="N254" s="31">
        <f>IF($E254="","",(B254+C254+D254)*Rate_Builder)</f>
        <v/>
      </c>
      <c r="O254" s="31">
        <f>IF($E254="","",E254*K254/(1-K254))</f>
        <v/>
      </c>
      <c r="P254" s="34">
        <f>IF(OR($E254="",B254=0),"",L254/B254*10000)</f>
        <v/>
      </c>
      <c r="Q254" s="34">
        <f>IF(OR($E254="",C254=0),"",F254/C254*10000)</f>
        <v/>
      </c>
      <c r="R254" s="34">
        <f>IF(OR($E254="",D254=0),"",'Daily Data'!I254/D254*10000)</f>
        <v/>
      </c>
    </row>
    <row r="255">
      <c r="A255" s="30" t="n">
        <v>45909</v>
      </c>
      <c r="B255" s="31">
        <f>'Daily Data'!B255-'Daily Data'!D255</f>
        <v/>
      </c>
      <c r="C255" s="32">
        <f>'Daily Data'!D255</f>
        <v/>
      </c>
      <c r="D255" s="32">
        <f>'Daily Data'!C255</f>
        <v/>
      </c>
      <c r="E255" s="32">
        <f>IF('Daily Data'!E255="","",'Daily Data'!E255)</f>
        <v/>
      </c>
      <c r="F255" s="32">
        <f>IF($E255="","",'Daily Data'!F255)</f>
        <v/>
      </c>
      <c r="G255" s="32">
        <f>IF($E255="","",'Daily Data'!G255)</f>
        <v/>
      </c>
      <c r="H255" s="31">
        <f>IF($E255="","",F255-G255)</f>
        <v/>
      </c>
      <c r="I255" s="32">
        <f>IF($E255="","",'Daily Data'!H255)</f>
        <v/>
      </c>
      <c r="J255" s="31">
        <f>IF($E255="","",E255-H255-I255)</f>
        <v/>
      </c>
      <c r="K255" s="33">
        <f>IF($E255="","",IF(A255&lt;HLP_ChangeDate,HLP_Legacy,HLP_Current))</f>
        <v/>
      </c>
      <c r="L255" s="31">
        <f>IF($E255="","",J255/(1-K255))</f>
        <v/>
      </c>
      <c r="M255" s="31">
        <f>IF($E255="","",I255/(1-K255))</f>
        <v/>
      </c>
      <c r="N255" s="31">
        <f>IF($E255="","",(B255+C255+D255)*Rate_Builder)</f>
        <v/>
      </c>
      <c r="O255" s="31">
        <f>IF($E255="","",E255*K255/(1-K255))</f>
        <v/>
      </c>
      <c r="P255" s="34">
        <f>IF(OR($E255="",B255=0),"",L255/B255*10000)</f>
        <v/>
      </c>
      <c r="Q255" s="34">
        <f>IF(OR($E255="",C255=0),"",F255/C255*10000)</f>
        <v/>
      </c>
      <c r="R255" s="34">
        <f>IF(OR($E255="",D255=0),"",'Daily Data'!I255/D255*10000)</f>
        <v/>
      </c>
    </row>
    <row r="256">
      <c r="A256" s="30" t="n">
        <v>45910</v>
      </c>
      <c r="B256" s="31">
        <f>'Daily Data'!B256-'Daily Data'!D256</f>
        <v/>
      </c>
      <c r="C256" s="32">
        <f>'Daily Data'!D256</f>
        <v/>
      </c>
      <c r="D256" s="32">
        <f>'Daily Data'!C256</f>
        <v/>
      </c>
      <c r="E256" s="32">
        <f>IF('Daily Data'!E256="","",'Daily Data'!E256)</f>
        <v/>
      </c>
      <c r="F256" s="32">
        <f>IF($E256="","",'Daily Data'!F256)</f>
        <v/>
      </c>
      <c r="G256" s="32">
        <f>IF($E256="","",'Daily Data'!G256)</f>
        <v/>
      </c>
      <c r="H256" s="31">
        <f>IF($E256="","",F256-G256)</f>
        <v/>
      </c>
      <c r="I256" s="32">
        <f>IF($E256="","",'Daily Data'!H256)</f>
        <v/>
      </c>
      <c r="J256" s="31">
        <f>IF($E256="","",E256-H256-I256)</f>
        <v/>
      </c>
      <c r="K256" s="33">
        <f>IF($E256="","",IF(A256&lt;HLP_ChangeDate,HLP_Legacy,HLP_Current))</f>
        <v/>
      </c>
      <c r="L256" s="31">
        <f>IF($E256="","",J256/(1-K256))</f>
        <v/>
      </c>
      <c r="M256" s="31">
        <f>IF($E256="","",I256/(1-K256))</f>
        <v/>
      </c>
      <c r="N256" s="31">
        <f>IF($E256="","",(B256+C256+D256)*Rate_Builder)</f>
        <v/>
      </c>
      <c r="O256" s="31">
        <f>IF($E256="","",E256*K256/(1-K256))</f>
        <v/>
      </c>
      <c r="P256" s="34">
        <f>IF(OR($E256="",B256=0),"",L256/B256*10000)</f>
        <v/>
      </c>
      <c r="Q256" s="34">
        <f>IF(OR($E256="",C256=0),"",F256/C256*10000)</f>
        <v/>
      </c>
      <c r="R256" s="34">
        <f>IF(OR($E256="",D256=0),"",'Daily Data'!I256/D256*10000)</f>
        <v/>
      </c>
    </row>
    <row r="257">
      <c r="A257" s="30" t="n">
        <v>45911</v>
      </c>
      <c r="B257" s="31">
        <f>'Daily Data'!B257-'Daily Data'!D257</f>
        <v/>
      </c>
      <c r="C257" s="32">
        <f>'Daily Data'!D257</f>
        <v/>
      </c>
      <c r="D257" s="32">
        <f>'Daily Data'!C257</f>
        <v/>
      </c>
      <c r="E257" s="32">
        <f>IF('Daily Data'!E257="","",'Daily Data'!E257)</f>
        <v/>
      </c>
      <c r="F257" s="32">
        <f>IF($E257="","",'Daily Data'!F257)</f>
        <v/>
      </c>
      <c r="G257" s="32">
        <f>IF($E257="","",'Daily Data'!G257)</f>
        <v/>
      </c>
      <c r="H257" s="31">
        <f>IF($E257="","",F257-G257)</f>
        <v/>
      </c>
      <c r="I257" s="32">
        <f>IF($E257="","",'Daily Data'!H257)</f>
        <v/>
      </c>
      <c r="J257" s="31">
        <f>IF($E257="","",E257-H257-I257)</f>
        <v/>
      </c>
      <c r="K257" s="33">
        <f>IF($E257="","",IF(A257&lt;HLP_ChangeDate,HLP_Legacy,HLP_Current))</f>
        <v/>
      </c>
      <c r="L257" s="31">
        <f>IF($E257="","",J257/(1-K257))</f>
        <v/>
      </c>
      <c r="M257" s="31">
        <f>IF($E257="","",I257/(1-K257))</f>
        <v/>
      </c>
      <c r="N257" s="31">
        <f>IF($E257="","",(B257+C257+D257)*Rate_Builder)</f>
        <v/>
      </c>
      <c r="O257" s="31">
        <f>IF($E257="","",E257*K257/(1-K257))</f>
        <v/>
      </c>
      <c r="P257" s="34">
        <f>IF(OR($E257="",B257=0),"",L257/B257*10000)</f>
        <v/>
      </c>
      <c r="Q257" s="34">
        <f>IF(OR($E257="",C257=0),"",F257/C257*10000)</f>
        <v/>
      </c>
      <c r="R257" s="34">
        <f>IF(OR($E257="",D257=0),"",'Daily Data'!I257/D257*10000)</f>
        <v/>
      </c>
    </row>
    <row r="258">
      <c r="A258" s="30" t="n">
        <v>45912</v>
      </c>
      <c r="B258" s="31">
        <f>'Daily Data'!B258-'Daily Data'!D258</f>
        <v/>
      </c>
      <c r="C258" s="32">
        <f>'Daily Data'!D258</f>
        <v/>
      </c>
      <c r="D258" s="32">
        <f>'Daily Data'!C258</f>
        <v/>
      </c>
      <c r="E258" s="32">
        <f>IF('Daily Data'!E258="","",'Daily Data'!E258)</f>
        <v/>
      </c>
      <c r="F258" s="32">
        <f>IF($E258="","",'Daily Data'!F258)</f>
        <v/>
      </c>
      <c r="G258" s="32">
        <f>IF($E258="","",'Daily Data'!G258)</f>
        <v/>
      </c>
      <c r="H258" s="31">
        <f>IF($E258="","",F258-G258)</f>
        <v/>
      </c>
      <c r="I258" s="32">
        <f>IF($E258="","",'Daily Data'!H258)</f>
        <v/>
      </c>
      <c r="J258" s="31">
        <f>IF($E258="","",E258-H258-I258)</f>
        <v/>
      </c>
      <c r="K258" s="33">
        <f>IF($E258="","",IF(A258&lt;HLP_ChangeDate,HLP_Legacy,HLP_Current))</f>
        <v/>
      </c>
      <c r="L258" s="31">
        <f>IF($E258="","",J258/(1-K258))</f>
        <v/>
      </c>
      <c r="M258" s="31">
        <f>IF($E258="","",I258/(1-K258))</f>
        <v/>
      </c>
      <c r="N258" s="31">
        <f>IF($E258="","",(B258+C258+D258)*Rate_Builder)</f>
        <v/>
      </c>
      <c r="O258" s="31">
        <f>IF($E258="","",E258*K258/(1-K258))</f>
        <v/>
      </c>
      <c r="P258" s="34">
        <f>IF(OR($E258="",B258=0),"",L258/B258*10000)</f>
        <v/>
      </c>
      <c r="Q258" s="34">
        <f>IF(OR($E258="",C258=0),"",F258/C258*10000)</f>
        <v/>
      </c>
      <c r="R258" s="34">
        <f>IF(OR($E258="",D258=0),"",'Daily Data'!I258/D258*10000)</f>
        <v/>
      </c>
    </row>
    <row r="259">
      <c r="A259" s="30" t="n">
        <v>45913</v>
      </c>
      <c r="B259" s="31">
        <f>'Daily Data'!B259-'Daily Data'!D259</f>
        <v/>
      </c>
      <c r="C259" s="32">
        <f>'Daily Data'!D259</f>
        <v/>
      </c>
      <c r="D259" s="32">
        <f>'Daily Data'!C259</f>
        <v/>
      </c>
      <c r="E259" s="32">
        <f>IF('Daily Data'!E259="","",'Daily Data'!E259)</f>
        <v/>
      </c>
      <c r="F259" s="32">
        <f>IF($E259="","",'Daily Data'!F259)</f>
        <v/>
      </c>
      <c r="G259" s="32">
        <f>IF($E259="","",'Daily Data'!G259)</f>
        <v/>
      </c>
      <c r="H259" s="31">
        <f>IF($E259="","",F259-G259)</f>
        <v/>
      </c>
      <c r="I259" s="32">
        <f>IF($E259="","",'Daily Data'!H259)</f>
        <v/>
      </c>
      <c r="J259" s="31">
        <f>IF($E259="","",E259-H259-I259)</f>
        <v/>
      </c>
      <c r="K259" s="33">
        <f>IF($E259="","",IF(A259&lt;HLP_ChangeDate,HLP_Legacy,HLP_Current))</f>
        <v/>
      </c>
      <c r="L259" s="31">
        <f>IF($E259="","",J259/(1-K259))</f>
        <v/>
      </c>
      <c r="M259" s="31">
        <f>IF($E259="","",I259/(1-K259))</f>
        <v/>
      </c>
      <c r="N259" s="31">
        <f>IF($E259="","",(B259+C259+D259)*Rate_Builder)</f>
        <v/>
      </c>
      <c r="O259" s="31">
        <f>IF($E259="","",E259*K259/(1-K259))</f>
        <v/>
      </c>
      <c r="P259" s="34">
        <f>IF(OR($E259="",B259=0),"",L259/B259*10000)</f>
        <v/>
      </c>
      <c r="Q259" s="34">
        <f>IF(OR($E259="",C259=0),"",F259/C259*10000)</f>
        <v/>
      </c>
      <c r="R259" s="34">
        <f>IF(OR($E259="",D259=0),"",'Daily Data'!I259/D259*10000)</f>
        <v/>
      </c>
    </row>
    <row r="260">
      <c r="A260" s="30" t="n">
        <v>45914</v>
      </c>
      <c r="B260" s="31">
        <f>'Daily Data'!B260-'Daily Data'!D260</f>
        <v/>
      </c>
      <c r="C260" s="32">
        <f>'Daily Data'!D260</f>
        <v/>
      </c>
      <c r="D260" s="32">
        <f>'Daily Data'!C260</f>
        <v/>
      </c>
      <c r="E260" s="32">
        <f>IF('Daily Data'!E260="","",'Daily Data'!E260)</f>
        <v/>
      </c>
      <c r="F260" s="32">
        <f>IF($E260="","",'Daily Data'!F260)</f>
        <v/>
      </c>
      <c r="G260" s="32">
        <f>IF($E260="","",'Daily Data'!G260)</f>
        <v/>
      </c>
      <c r="H260" s="31">
        <f>IF($E260="","",F260-G260)</f>
        <v/>
      </c>
      <c r="I260" s="32">
        <f>IF($E260="","",'Daily Data'!H260)</f>
        <v/>
      </c>
      <c r="J260" s="31">
        <f>IF($E260="","",E260-H260-I260)</f>
        <v/>
      </c>
      <c r="K260" s="33">
        <f>IF($E260="","",IF(A260&lt;HLP_ChangeDate,HLP_Legacy,HLP_Current))</f>
        <v/>
      </c>
      <c r="L260" s="31">
        <f>IF($E260="","",J260/(1-K260))</f>
        <v/>
      </c>
      <c r="M260" s="31">
        <f>IF($E260="","",I260/(1-K260))</f>
        <v/>
      </c>
      <c r="N260" s="31">
        <f>IF($E260="","",(B260+C260+D260)*Rate_Builder)</f>
        <v/>
      </c>
      <c r="O260" s="31">
        <f>IF($E260="","",E260*K260/(1-K260))</f>
        <v/>
      </c>
      <c r="P260" s="34">
        <f>IF(OR($E260="",B260=0),"",L260/B260*10000)</f>
        <v/>
      </c>
      <c r="Q260" s="34">
        <f>IF(OR($E260="",C260=0),"",F260/C260*10000)</f>
        <v/>
      </c>
      <c r="R260" s="34">
        <f>IF(OR($E260="",D260=0),"",'Daily Data'!I260/D260*10000)</f>
        <v/>
      </c>
    </row>
    <row r="261">
      <c r="A261" s="30" t="n">
        <v>45915</v>
      </c>
      <c r="B261" s="31">
        <f>'Daily Data'!B261-'Daily Data'!D261</f>
        <v/>
      </c>
      <c r="C261" s="32">
        <f>'Daily Data'!D261</f>
        <v/>
      </c>
      <c r="D261" s="32">
        <f>'Daily Data'!C261</f>
        <v/>
      </c>
      <c r="E261" s="32">
        <f>IF('Daily Data'!E261="","",'Daily Data'!E261)</f>
        <v/>
      </c>
      <c r="F261" s="32">
        <f>IF($E261="","",'Daily Data'!F261)</f>
        <v/>
      </c>
      <c r="G261" s="32">
        <f>IF($E261="","",'Daily Data'!G261)</f>
        <v/>
      </c>
      <c r="H261" s="31">
        <f>IF($E261="","",F261-G261)</f>
        <v/>
      </c>
      <c r="I261" s="32">
        <f>IF($E261="","",'Daily Data'!H261)</f>
        <v/>
      </c>
      <c r="J261" s="31">
        <f>IF($E261="","",E261-H261-I261)</f>
        <v/>
      </c>
      <c r="K261" s="33">
        <f>IF($E261="","",IF(A261&lt;HLP_ChangeDate,HLP_Legacy,HLP_Current))</f>
        <v/>
      </c>
      <c r="L261" s="31">
        <f>IF($E261="","",J261/(1-K261))</f>
        <v/>
      </c>
      <c r="M261" s="31">
        <f>IF($E261="","",I261/(1-K261))</f>
        <v/>
      </c>
      <c r="N261" s="31">
        <f>IF($E261="","",(B261+C261+D261)*Rate_Builder)</f>
        <v/>
      </c>
      <c r="O261" s="31">
        <f>IF($E261="","",E261*K261/(1-K261))</f>
        <v/>
      </c>
      <c r="P261" s="34">
        <f>IF(OR($E261="",B261=0),"",L261/B261*10000)</f>
        <v/>
      </c>
      <c r="Q261" s="34">
        <f>IF(OR($E261="",C261=0),"",F261/C261*10000)</f>
        <v/>
      </c>
      <c r="R261" s="34">
        <f>IF(OR($E261="",D261=0),"",'Daily Data'!I261/D261*10000)</f>
        <v/>
      </c>
    </row>
    <row r="262">
      <c r="A262" s="30" t="n">
        <v>45916</v>
      </c>
      <c r="B262" s="31">
        <f>'Daily Data'!B262-'Daily Data'!D262</f>
        <v/>
      </c>
      <c r="C262" s="32">
        <f>'Daily Data'!D262</f>
        <v/>
      </c>
      <c r="D262" s="32">
        <f>'Daily Data'!C262</f>
        <v/>
      </c>
      <c r="E262" s="32">
        <f>IF('Daily Data'!E262="","",'Daily Data'!E262)</f>
        <v/>
      </c>
      <c r="F262" s="32">
        <f>IF($E262="","",'Daily Data'!F262)</f>
        <v/>
      </c>
      <c r="G262" s="32">
        <f>IF($E262="","",'Daily Data'!G262)</f>
        <v/>
      </c>
      <c r="H262" s="31">
        <f>IF($E262="","",F262-G262)</f>
        <v/>
      </c>
      <c r="I262" s="32">
        <f>IF($E262="","",'Daily Data'!H262)</f>
        <v/>
      </c>
      <c r="J262" s="31">
        <f>IF($E262="","",E262-H262-I262)</f>
        <v/>
      </c>
      <c r="K262" s="33">
        <f>IF($E262="","",IF(A262&lt;HLP_ChangeDate,HLP_Legacy,HLP_Current))</f>
        <v/>
      </c>
      <c r="L262" s="31">
        <f>IF($E262="","",J262/(1-K262))</f>
        <v/>
      </c>
      <c r="M262" s="31">
        <f>IF($E262="","",I262/(1-K262))</f>
        <v/>
      </c>
      <c r="N262" s="31">
        <f>IF($E262="","",(B262+C262+D262)*Rate_Builder)</f>
        <v/>
      </c>
      <c r="O262" s="31">
        <f>IF($E262="","",E262*K262/(1-K262))</f>
        <v/>
      </c>
      <c r="P262" s="34">
        <f>IF(OR($E262="",B262=0),"",L262/B262*10000)</f>
        <v/>
      </c>
      <c r="Q262" s="34">
        <f>IF(OR($E262="",C262=0),"",F262/C262*10000)</f>
        <v/>
      </c>
      <c r="R262" s="34">
        <f>IF(OR($E262="",D262=0),"",'Daily Data'!I262/D262*10000)</f>
        <v/>
      </c>
    </row>
    <row r="263">
      <c r="A263" s="30" t="n">
        <v>45917</v>
      </c>
      <c r="B263" s="31">
        <f>'Daily Data'!B263-'Daily Data'!D263</f>
        <v/>
      </c>
      <c r="C263" s="32">
        <f>'Daily Data'!D263</f>
        <v/>
      </c>
      <c r="D263" s="32">
        <f>'Daily Data'!C263</f>
        <v/>
      </c>
      <c r="E263" s="32">
        <f>IF('Daily Data'!E263="","",'Daily Data'!E263)</f>
        <v/>
      </c>
      <c r="F263" s="32">
        <f>IF($E263="","",'Daily Data'!F263)</f>
        <v/>
      </c>
      <c r="G263" s="32">
        <f>IF($E263="","",'Daily Data'!G263)</f>
        <v/>
      </c>
      <c r="H263" s="31">
        <f>IF($E263="","",F263-G263)</f>
        <v/>
      </c>
      <c r="I263" s="32">
        <f>IF($E263="","",'Daily Data'!H263)</f>
        <v/>
      </c>
      <c r="J263" s="31">
        <f>IF($E263="","",E263-H263-I263)</f>
        <v/>
      </c>
      <c r="K263" s="33">
        <f>IF($E263="","",IF(A263&lt;HLP_ChangeDate,HLP_Legacy,HLP_Current))</f>
        <v/>
      </c>
      <c r="L263" s="31">
        <f>IF($E263="","",J263/(1-K263))</f>
        <v/>
      </c>
      <c r="M263" s="31">
        <f>IF($E263="","",I263/(1-K263))</f>
        <v/>
      </c>
      <c r="N263" s="31">
        <f>IF($E263="","",(B263+C263+D263)*Rate_Builder)</f>
        <v/>
      </c>
      <c r="O263" s="31">
        <f>IF($E263="","",E263*K263/(1-K263))</f>
        <v/>
      </c>
      <c r="P263" s="34">
        <f>IF(OR($E263="",B263=0),"",L263/B263*10000)</f>
        <v/>
      </c>
      <c r="Q263" s="34">
        <f>IF(OR($E263="",C263=0),"",F263/C263*10000)</f>
        <v/>
      </c>
      <c r="R263" s="34">
        <f>IF(OR($E263="",D263=0),"",'Daily Data'!I263/D263*10000)</f>
        <v/>
      </c>
    </row>
    <row r="264">
      <c r="A264" s="30" t="n">
        <v>45918</v>
      </c>
      <c r="B264" s="31">
        <f>'Daily Data'!B264-'Daily Data'!D264</f>
        <v/>
      </c>
      <c r="C264" s="32">
        <f>'Daily Data'!D264</f>
        <v/>
      </c>
      <c r="D264" s="32">
        <f>'Daily Data'!C264</f>
        <v/>
      </c>
      <c r="E264" s="32">
        <f>IF('Daily Data'!E264="","",'Daily Data'!E264)</f>
        <v/>
      </c>
      <c r="F264" s="32">
        <f>IF($E264="","",'Daily Data'!F264)</f>
        <v/>
      </c>
      <c r="G264" s="32">
        <f>IF($E264="","",'Daily Data'!G264)</f>
        <v/>
      </c>
      <c r="H264" s="31">
        <f>IF($E264="","",F264-G264)</f>
        <v/>
      </c>
      <c r="I264" s="32">
        <f>IF($E264="","",'Daily Data'!H264)</f>
        <v/>
      </c>
      <c r="J264" s="31">
        <f>IF($E264="","",E264-H264-I264)</f>
        <v/>
      </c>
      <c r="K264" s="33">
        <f>IF($E264="","",IF(A264&lt;HLP_ChangeDate,HLP_Legacy,HLP_Current))</f>
        <v/>
      </c>
      <c r="L264" s="31">
        <f>IF($E264="","",J264/(1-K264))</f>
        <v/>
      </c>
      <c r="M264" s="31">
        <f>IF($E264="","",I264/(1-K264))</f>
        <v/>
      </c>
      <c r="N264" s="31">
        <f>IF($E264="","",(B264+C264+D264)*Rate_Builder)</f>
        <v/>
      </c>
      <c r="O264" s="31">
        <f>IF($E264="","",E264*K264/(1-K264))</f>
        <v/>
      </c>
      <c r="P264" s="34">
        <f>IF(OR($E264="",B264=0),"",L264/B264*10000)</f>
        <v/>
      </c>
      <c r="Q264" s="34">
        <f>IF(OR($E264="",C264=0),"",F264/C264*10000)</f>
        <v/>
      </c>
      <c r="R264" s="34">
        <f>IF(OR($E264="",D264=0),"",'Daily Data'!I264/D264*10000)</f>
        <v/>
      </c>
    </row>
    <row r="265">
      <c r="A265" s="30" t="n">
        <v>45919</v>
      </c>
      <c r="B265" s="31">
        <f>'Daily Data'!B265-'Daily Data'!D265</f>
        <v/>
      </c>
      <c r="C265" s="32">
        <f>'Daily Data'!D265</f>
        <v/>
      </c>
      <c r="D265" s="32">
        <f>'Daily Data'!C265</f>
        <v/>
      </c>
      <c r="E265" s="32">
        <f>IF('Daily Data'!E265="","",'Daily Data'!E265)</f>
        <v/>
      </c>
      <c r="F265" s="32">
        <f>IF($E265="","",'Daily Data'!F265)</f>
        <v/>
      </c>
      <c r="G265" s="32">
        <f>IF($E265="","",'Daily Data'!G265)</f>
        <v/>
      </c>
      <c r="H265" s="31">
        <f>IF($E265="","",F265-G265)</f>
        <v/>
      </c>
      <c r="I265" s="32">
        <f>IF($E265="","",'Daily Data'!H265)</f>
        <v/>
      </c>
      <c r="J265" s="31">
        <f>IF($E265="","",E265-H265-I265)</f>
        <v/>
      </c>
      <c r="K265" s="33">
        <f>IF($E265="","",IF(A265&lt;HLP_ChangeDate,HLP_Legacy,HLP_Current))</f>
        <v/>
      </c>
      <c r="L265" s="31">
        <f>IF($E265="","",J265/(1-K265))</f>
        <v/>
      </c>
      <c r="M265" s="31">
        <f>IF($E265="","",I265/(1-K265))</f>
        <v/>
      </c>
      <c r="N265" s="31">
        <f>IF($E265="","",(B265+C265+D265)*Rate_Builder)</f>
        <v/>
      </c>
      <c r="O265" s="31">
        <f>IF($E265="","",E265*K265/(1-K265))</f>
        <v/>
      </c>
      <c r="P265" s="34">
        <f>IF(OR($E265="",B265=0),"",L265/B265*10000)</f>
        <v/>
      </c>
      <c r="Q265" s="34">
        <f>IF(OR($E265="",C265=0),"",F265/C265*10000)</f>
        <v/>
      </c>
      <c r="R265" s="34">
        <f>IF(OR($E265="",D265=0),"",'Daily Data'!I265/D265*10000)</f>
        <v/>
      </c>
    </row>
    <row r="266">
      <c r="A266" s="30" t="n">
        <v>45920</v>
      </c>
      <c r="B266" s="31">
        <f>'Daily Data'!B266-'Daily Data'!D266</f>
        <v/>
      </c>
      <c r="C266" s="32">
        <f>'Daily Data'!D266</f>
        <v/>
      </c>
      <c r="D266" s="32">
        <f>'Daily Data'!C266</f>
        <v/>
      </c>
      <c r="E266" s="32">
        <f>IF('Daily Data'!E266="","",'Daily Data'!E266)</f>
        <v/>
      </c>
      <c r="F266" s="32">
        <f>IF($E266="","",'Daily Data'!F266)</f>
        <v/>
      </c>
      <c r="G266" s="32">
        <f>IF($E266="","",'Daily Data'!G266)</f>
        <v/>
      </c>
      <c r="H266" s="31">
        <f>IF($E266="","",F266-G266)</f>
        <v/>
      </c>
      <c r="I266" s="32">
        <f>IF($E266="","",'Daily Data'!H266)</f>
        <v/>
      </c>
      <c r="J266" s="31">
        <f>IF($E266="","",E266-H266-I266)</f>
        <v/>
      </c>
      <c r="K266" s="33">
        <f>IF($E266="","",IF(A266&lt;HLP_ChangeDate,HLP_Legacy,HLP_Current))</f>
        <v/>
      </c>
      <c r="L266" s="31">
        <f>IF($E266="","",J266/(1-K266))</f>
        <v/>
      </c>
      <c r="M266" s="31">
        <f>IF($E266="","",I266/(1-K266))</f>
        <v/>
      </c>
      <c r="N266" s="31">
        <f>IF($E266="","",(B266+C266+D266)*Rate_Builder)</f>
        <v/>
      </c>
      <c r="O266" s="31">
        <f>IF($E266="","",E266*K266/(1-K266))</f>
        <v/>
      </c>
      <c r="P266" s="34">
        <f>IF(OR($E266="",B266=0),"",L266/B266*10000)</f>
        <v/>
      </c>
      <c r="Q266" s="34">
        <f>IF(OR($E266="",C266=0),"",F266/C266*10000)</f>
        <v/>
      </c>
      <c r="R266" s="34">
        <f>IF(OR($E266="",D266=0),"",'Daily Data'!I266/D266*10000)</f>
        <v/>
      </c>
    </row>
    <row r="267">
      <c r="A267" s="30" t="n">
        <v>45921</v>
      </c>
      <c r="B267" s="31">
        <f>'Daily Data'!B267-'Daily Data'!D267</f>
        <v/>
      </c>
      <c r="C267" s="32">
        <f>'Daily Data'!D267</f>
        <v/>
      </c>
      <c r="D267" s="32">
        <f>'Daily Data'!C267</f>
        <v/>
      </c>
      <c r="E267" s="32">
        <f>IF('Daily Data'!E267="","",'Daily Data'!E267)</f>
        <v/>
      </c>
      <c r="F267" s="32">
        <f>IF($E267="","",'Daily Data'!F267)</f>
        <v/>
      </c>
      <c r="G267" s="32">
        <f>IF($E267="","",'Daily Data'!G267)</f>
        <v/>
      </c>
      <c r="H267" s="31">
        <f>IF($E267="","",F267-G267)</f>
        <v/>
      </c>
      <c r="I267" s="32">
        <f>IF($E267="","",'Daily Data'!H267)</f>
        <v/>
      </c>
      <c r="J267" s="31">
        <f>IF($E267="","",E267-H267-I267)</f>
        <v/>
      </c>
      <c r="K267" s="33">
        <f>IF($E267="","",IF(A267&lt;HLP_ChangeDate,HLP_Legacy,HLP_Current))</f>
        <v/>
      </c>
      <c r="L267" s="31">
        <f>IF($E267="","",J267/(1-K267))</f>
        <v/>
      </c>
      <c r="M267" s="31">
        <f>IF($E267="","",I267/(1-K267))</f>
        <v/>
      </c>
      <c r="N267" s="31">
        <f>IF($E267="","",(B267+C267+D267)*Rate_Builder)</f>
        <v/>
      </c>
      <c r="O267" s="31">
        <f>IF($E267="","",E267*K267/(1-K267))</f>
        <v/>
      </c>
      <c r="P267" s="34">
        <f>IF(OR($E267="",B267=0),"",L267/B267*10000)</f>
        <v/>
      </c>
      <c r="Q267" s="34">
        <f>IF(OR($E267="",C267=0),"",F267/C267*10000)</f>
        <v/>
      </c>
      <c r="R267" s="34">
        <f>IF(OR($E267="",D267=0),"",'Daily Data'!I267/D267*10000)</f>
        <v/>
      </c>
    </row>
    <row r="268">
      <c r="A268" s="30" t="n">
        <v>45922</v>
      </c>
      <c r="B268" s="31">
        <f>'Daily Data'!B268-'Daily Data'!D268</f>
        <v/>
      </c>
      <c r="C268" s="32">
        <f>'Daily Data'!D268</f>
        <v/>
      </c>
      <c r="D268" s="32">
        <f>'Daily Data'!C268</f>
        <v/>
      </c>
      <c r="E268" s="32">
        <f>IF('Daily Data'!E268="","",'Daily Data'!E268)</f>
        <v/>
      </c>
      <c r="F268" s="32">
        <f>IF($E268="","",'Daily Data'!F268)</f>
        <v/>
      </c>
      <c r="G268" s="32">
        <f>IF($E268="","",'Daily Data'!G268)</f>
        <v/>
      </c>
      <c r="H268" s="31">
        <f>IF($E268="","",F268-G268)</f>
        <v/>
      </c>
      <c r="I268" s="32">
        <f>IF($E268="","",'Daily Data'!H268)</f>
        <v/>
      </c>
      <c r="J268" s="31">
        <f>IF($E268="","",E268-H268-I268)</f>
        <v/>
      </c>
      <c r="K268" s="33">
        <f>IF($E268="","",IF(A268&lt;HLP_ChangeDate,HLP_Legacy,HLP_Current))</f>
        <v/>
      </c>
      <c r="L268" s="31">
        <f>IF($E268="","",J268/(1-K268))</f>
        <v/>
      </c>
      <c r="M268" s="31">
        <f>IF($E268="","",I268/(1-K268))</f>
        <v/>
      </c>
      <c r="N268" s="31">
        <f>IF($E268="","",(B268+C268+D268)*Rate_Builder)</f>
        <v/>
      </c>
      <c r="O268" s="31">
        <f>IF($E268="","",E268*K268/(1-K268))</f>
        <v/>
      </c>
      <c r="P268" s="34">
        <f>IF(OR($E268="",B268=0),"",L268/B268*10000)</f>
        <v/>
      </c>
      <c r="Q268" s="34">
        <f>IF(OR($E268="",C268=0),"",F268/C268*10000)</f>
        <v/>
      </c>
      <c r="R268" s="34">
        <f>IF(OR($E268="",D268=0),"",'Daily Data'!I268/D268*10000)</f>
        <v/>
      </c>
    </row>
    <row r="269">
      <c r="A269" s="30" t="n">
        <v>45923</v>
      </c>
      <c r="B269" s="31">
        <f>'Daily Data'!B269-'Daily Data'!D269</f>
        <v/>
      </c>
      <c r="C269" s="32">
        <f>'Daily Data'!D269</f>
        <v/>
      </c>
      <c r="D269" s="32">
        <f>'Daily Data'!C269</f>
        <v/>
      </c>
      <c r="E269" s="32">
        <f>IF('Daily Data'!E269="","",'Daily Data'!E269)</f>
        <v/>
      </c>
      <c r="F269" s="32">
        <f>IF($E269="","",'Daily Data'!F269)</f>
        <v/>
      </c>
      <c r="G269" s="32">
        <f>IF($E269="","",'Daily Data'!G269)</f>
        <v/>
      </c>
      <c r="H269" s="31">
        <f>IF($E269="","",F269-G269)</f>
        <v/>
      </c>
      <c r="I269" s="32">
        <f>IF($E269="","",'Daily Data'!H269)</f>
        <v/>
      </c>
      <c r="J269" s="31">
        <f>IF($E269="","",E269-H269-I269)</f>
        <v/>
      </c>
      <c r="K269" s="33">
        <f>IF($E269="","",IF(A269&lt;HLP_ChangeDate,HLP_Legacy,HLP_Current))</f>
        <v/>
      </c>
      <c r="L269" s="31">
        <f>IF($E269="","",J269/(1-K269))</f>
        <v/>
      </c>
      <c r="M269" s="31">
        <f>IF($E269="","",I269/(1-K269))</f>
        <v/>
      </c>
      <c r="N269" s="31">
        <f>IF($E269="","",(B269+C269+D269)*Rate_Builder)</f>
        <v/>
      </c>
      <c r="O269" s="31">
        <f>IF($E269="","",E269*K269/(1-K269))</f>
        <v/>
      </c>
      <c r="P269" s="34">
        <f>IF(OR($E269="",B269=0),"",L269/B269*10000)</f>
        <v/>
      </c>
      <c r="Q269" s="34">
        <f>IF(OR($E269="",C269=0),"",F269/C269*10000)</f>
        <v/>
      </c>
      <c r="R269" s="34">
        <f>IF(OR($E269="",D269=0),"",'Daily Data'!I269/D269*10000)</f>
        <v/>
      </c>
    </row>
    <row r="270">
      <c r="A270" s="30" t="n">
        <v>45924</v>
      </c>
      <c r="B270" s="31">
        <f>'Daily Data'!B270-'Daily Data'!D270</f>
        <v/>
      </c>
      <c r="C270" s="32">
        <f>'Daily Data'!D270</f>
        <v/>
      </c>
      <c r="D270" s="32">
        <f>'Daily Data'!C270</f>
        <v/>
      </c>
      <c r="E270" s="32">
        <f>IF('Daily Data'!E270="","",'Daily Data'!E270)</f>
        <v/>
      </c>
      <c r="F270" s="32">
        <f>IF($E270="","",'Daily Data'!F270)</f>
        <v/>
      </c>
      <c r="G270" s="32">
        <f>IF($E270="","",'Daily Data'!G270)</f>
        <v/>
      </c>
      <c r="H270" s="31">
        <f>IF($E270="","",F270-G270)</f>
        <v/>
      </c>
      <c r="I270" s="32">
        <f>IF($E270="","",'Daily Data'!H270)</f>
        <v/>
      </c>
      <c r="J270" s="31">
        <f>IF($E270="","",E270-H270-I270)</f>
        <v/>
      </c>
      <c r="K270" s="33">
        <f>IF($E270="","",IF(A270&lt;HLP_ChangeDate,HLP_Legacy,HLP_Current))</f>
        <v/>
      </c>
      <c r="L270" s="31">
        <f>IF($E270="","",J270/(1-K270))</f>
        <v/>
      </c>
      <c r="M270" s="31">
        <f>IF($E270="","",I270/(1-K270))</f>
        <v/>
      </c>
      <c r="N270" s="31">
        <f>IF($E270="","",(B270+C270+D270)*Rate_Builder)</f>
        <v/>
      </c>
      <c r="O270" s="31">
        <f>IF($E270="","",E270*K270/(1-K270))</f>
        <v/>
      </c>
      <c r="P270" s="34">
        <f>IF(OR($E270="",B270=0),"",L270/B270*10000)</f>
        <v/>
      </c>
      <c r="Q270" s="34">
        <f>IF(OR($E270="",C270=0),"",F270/C270*10000)</f>
        <v/>
      </c>
      <c r="R270" s="34">
        <f>IF(OR($E270="",D270=0),"",'Daily Data'!I270/D270*10000)</f>
        <v/>
      </c>
    </row>
    <row r="271">
      <c r="A271" s="30" t="n">
        <v>45925</v>
      </c>
      <c r="B271" s="31">
        <f>'Daily Data'!B271-'Daily Data'!D271</f>
        <v/>
      </c>
      <c r="C271" s="32">
        <f>'Daily Data'!D271</f>
        <v/>
      </c>
      <c r="D271" s="32">
        <f>'Daily Data'!C271</f>
        <v/>
      </c>
      <c r="E271" s="32">
        <f>IF('Daily Data'!E271="","",'Daily Data'!E271)</f>
        <v/>
      </c>
      <c r="F271" s="32">
        <f>IF($E271="","",'Daily Data'!F271)</f>
        <v/>
      </c>
      <c r="G271" s="32">
        <f>IF($E271="","",'Daily Data'!G271)</f>
        <v/>
      </c>
      <c r="H271" s="31">
        <f>IF($E271="","",F271-G271)</f>
        <v/>
      </c>
      <c r="I271" s="32">
        <f>IF($E271="","",'Daily Data'!H271)</f>
        <v/>
      </c>
      <c r="J271" s="31">
        <f>IF($E271="","",E271-H271-I271)</f>
        <v/>
      </c>
      <c r="K271" s="33">
        <f>IF($E271="","",IF(A271&lt;HLP_ChangeDate,HLP_Legacy,HLP_Current))</f>
        <v/>
      </c>
      <c r="L271" s="31">
        <f>IF($E271="","",J271/(1-K271))</f>
        <v/>
      </c>
      <c r="M271" s="31">
        <f>IF($E271="","",I271/(1-K271))</f>
        <v/>
      </c>
      <c r="N271" s="31">
        <f>IF($E271="","",(B271+C271+D271)*Rate_Builder)</f>
        <v/>
      </c>
      <c r="O271" s="31">
        <f>IF($E271="","",E271*K271/(1-K271))</f>
        <v/>
      </c>
      <c r="P271" s="34">
        <f>IF(OR($E271="",B271=0),"",L271/B271*10000)</f>
        <v/>
      </c>
      <c r="Q271" s="34">
        <f>IF(OR($E271="",C271=0),"",F271/C271*10000)</f>
        <v/>
      </c>
      <c r="R271" s="34">
        <f>IF(OR($E271="",D271=0),"",'Daily Data'!I271/D271*10000)</f>
        <v/>
      </c>
    </row>
    <row r="272">
      <c r="A272" s="30" t="n">
        <v>45926</v>
      </c>
      <c r="B272" s="31">
        <f>'Daily Data'!B272-'Daily Data'!D272</f>
        <v/>
      </c>
      <c r="C272" s="32">
        <f>'Daily Data'!D272</f>
        <v/>
      </c>
      <c r="D272" s="32">
        <f>'Daily Data'!C272</f>
        <v/>
      </c>
      <c r="E272" s="32">
        <f>IF('Daily Data'!E272="","",'Daily Data'!E272)</f>
        <v/>
      </c>
      <c r="F272" s="32">
        <f>IF($E272="","",'Daily Data'!F272)</f>
        <v/>
      </c>
      <c r="G272" s="32">
        <f>IF($E272="","",'Daily Data'!G272)</f>
        <v/>
      </c>
      <c r="H272" s="31">
        <f>IF($E272="","",F272-G272)</f>
        <v/>
      </c>
      <c r="I272" s="32">
        <f>IF($E272="","",'Daily Data'!H272)</f>
        <v/>
      </c>
      <c r="J272" s="31">
        <f>IF($E272="","",E272-H272-I272)</f>
        <v/>
      </c>
      <c r="K272" s="33">
        <f>IF($E272="","",IF(A272&lt;HLP_ChangeDate,HLP_Legacy,HLP_Current))</f>
        <v/>
      </c>
      <c r="L272" s="31">
        <f>IF($E272="","",J272/(1-K272))</f>
        <v/>
      </c>
      <c r="M272" s="31">
        <f>IF($E272="","",I272/(1-K272))</f>
        <v/>
      </c>
      <c r="N272" s="31">
        <f>IF($E272="","",(B272+C272+D272)*Rate_Builder)</f>
        <v/>
      </c>
      <c r="O272" s="31">
        <f>IF($E272="","",E272*K272/(1-K272))</f>
        <v/>
      </c>
      <c r="P272" s="34">
        <f>IF(OR($E272="",B272=0),"",L272/B272*10000)</f>
        <v/>
      </c>
      <c r="Q272" s="34">
        <f>IF(OR($E272="",C272=0),"",F272/C272*10000)</f>
        <v/>
      </c>
      <c r="R272" s="34">
        <f>IF(OR($E272="",D272=0),"",'Daily Data'!I272/D272*10000)</f>
        <v/>
      </c>
    </row>
    <row r="273">
      <c r="A273" s="30" t="n">
        <v>45927</v>
      </c>
      <c r="B273" s="31">
        <f>'Daily Data'!B273-'Daily Data'!D273</f>
        <v/>
      </c>
      <c r="C273" s="32">
        <f>'Daily Data'!D273</f>
        <v/>
      </c>
      <c r="D273" s="32">
        <f>'Daily Data'!C273</f>
        <v/>
      </c>
      <c r="E273" s="32">
        <f>IF('Daily Data'!E273="","",'Daily Data'!E273)</f>
        <v/>
      </c>
      <c r="F273" s="32">
        <f>IF($E273="","",'Daily Data'!F273)</f>
        <v/>
      </c>
      <c r="G273" s="32">
        <f>IF($E273="","",'Daily Data'!G273)</f>
        <v/>
      </c>
      <c r="H273" s="31">
        <f>IF($E273="","",F273-G273)</f>
        <v/>
      </c>
      <c r="I273" s="32">
        <f>IF($E273="","",'Daily Data'!H273)</f>
        <v/>
      </c>
      <c r="J273" s="31">
        <f>IF($E273="","",E273-H273-I273)</f>
        <v/>
      </c>
      <c r="K273" s="33">
        <f>IF($E273="","",IF(A273&lt;HLP_ChangeDate,HLP_Legacy,HLP_Current))</f>
        <v/>
      </c>
      <c r="L273" s="31">
        <f>IF($E273="","",J273/(1-K273))</f>
        <v/>
      </c>
      <c r="M273" s="31">
        <f>IF($E273="","",I273/(1-K273))</f>
        <v/>
      </c>
      <c r="N273" s="31">
        <f>IF($E273="","",(B273+C273+D273)*Rate_Builder)</f>
        <v/>
      </c>
      <c r="O273" s="31">
        <f>IF($E273="","",E273*K273/(1-K273))</f>
        <v/>
      </c>
      <c r="P273" s="34">
        <f>IF(OR($E273="",B273=0),"",L273/B273*10000)</f>
        <v/>
      </c>
      <c r="Q273" s="34">
        <f>IF(OR($E273="",C273=0),"",F273/C273*10000)</f>
        <v/>
      </c>
      <c r="R273" s="34">
        <f>IF(OR($E273="",D273=0),"",'Daily Data'!I273/D273*10000)</f>
        <v/>
      </c>
    </row>
    <row r="274">
      <c r="A274" s="30" t="n">
        <v>45928</v>
      </c>
      <c r="B274" s="31">
        <f>'Daily Data'!B274-'Daily Data'!D274</f>
        <v/>
      </c>
      <c r="C274" s="32">
        <f>'Daily Data'!D274</f>
        <v/>
      </c>
      <c r="D274" s="32">
        <f>'Daily Data'!C274</f>
        <v/>
      </c>
      <c r="E274" s="32">
        <f>IF('Daily Data'!E274="","",'Daily Data'!E274)</f>
        <v/>
      </c>
      <c r="F274" s="32">
        <f>IF($E274="","",'Daily Data'!F274)</f>
        <v/>
      </c>
      <c r="G274" s="32">
        <f>IF($E274="","",'Daily Data'!G274)</f>
        <v/>
      </c>
      <c r="H274" s="31">
        <f>IF($E274="","",F274-G274)</f>
        <v/>
      </c>
      <c r="I274" s="32">
        <f>IF($E274="","",'Daily Data'!H274)</f>
        <v/>
      </c>
      <c r="J274" s="31">
        <f>IF($E274="","",E274-H274-I274)</f>
        <v/>
      </c>
      <c r="K274" s="33">
        <f>IF($E274="","",IF(A274&lt;HLP_ChangeDate,HLP_Legacy,HLP_Current))</f>
        <v/>
      </c>
      <c r="L274" s="31">
        <f>IF($E274="","",J274/(1-K274))</f>
        <v/>
      </c>
      <c r="M274" s="31">
        <f>IF($E274="","",I274/(1-K274))</f>
        <v/>
      </c>
      <c r="N274" s="31">
        <f>IF($E274="","",(B274+C274+D274)*Rate_Builder)</f>
        <v/>
      </c>
      <c r="O274" s="31">
        <f>IF($E274="","",E274*K274/(1-K274))</f>
        <v/>
      </c>
      <c r="P274" s="34">
        <f>IF(OR($E274="",B274=0),"",L274/B274*10000)</f>
        <v/>
      </c>
      <c r="Q274" s="34">
        <f>IF(OR($E274="",C274=0),"",F274/C274*10000)</f>
        <v/>
      </c>
      <c r="R274" s="34">
        <f>IF(OR($E274="",D274=0),"",'Daily Data'!I274/D274*10000)</f>
        <v/>
      </c>
    </row>
    <row r="275">
      <c r="A275" s="30" t="n">
        <v>45929</v>
      </c>
      <c r="B275" s="31">
        <f>'Daily Data'!B275-'Daily Data'!D275</f>
        <v/>
      </c>
      <c r="C275" s="32">
        <f>'Daily Data'!D275</f>
        <v/>
      </c>
      <c r="D275" s="32">
        <f>'Daily Data'!C275</f>
        <v/>
      </c>
      <c r="E275" s="32">
        <f>IF('Daily Data'!E275="","",'Daily Data'!E275)</f>
        <v/>
      </c>
      <c r="F275" s="32">
        <f>IF($E275="","",'Daily Data'!F275)</f>
        <v/>
      </c>
      <c r="G275" s="32">
        <f>IF($E275="","",'Daily Data'!G275)</f>
        <v/>
      </c>
      <c r="H275" s="31">
        <f>IF($E275="","",F275-G275)</f>
        <v/>
      </c>
      <c r="I275" s="32">
        <f>IF($E275="","",'Daily Data'!H275)</f>
        <v/>
      </c>
      <c r="J275" s="31">
        <f>IF($E275="","",E275-H275-I275)</f>
        <v/>
      </c>
      <c r="K275" s="33">
        <f>IF($E275="","",IF(A275&lt;HLP_ChangeDate,HLP_Legacy,HLP_Current))</f>
        <v/>
      </c>
      <c r="L275" s="31">
        <f>IF($E275="","",J275/(1-K275))</f>
        <v/>
      </c>
      <c r="M275" s="31">
        <f>IF($E275="","",I275/(1-K275))</f>
        <v/>
      </c>
      <c r="N275" s="31">
        <f>IF($E275="","",(B275+C275+D275)*Rate_Builder)</f>
        <v/>
      </c>
      <c r="O275" s="31">
        <f>IF($E275="","",E275*K275/(1-K275))</f>
        <v/>
      </c>
      <c r="P275" s="34">
        <f>IF(OR($E275="",B275=0),"",L275/B275*10000)</f>
        <v/>
      </c>
      <c r="Q275" s="34">
        <f>IF(OR($E275="",C275=0),"",F275/C275*10000)</f>
        <v/>
      </c>
      <c r="R275" s="34">
        <f>IF(OR($E275="",D275=0),"",'Daily Data'!I275/D275*10000)</f>
        <v/>
      </c>
    </row>
    <row r="276">
      <c r="A276" s="30" t="n">
        <v>45930</v>
      </c>
      <c r="B276" s="31">
        <f>'Daily Data'!B276-'Daily Data'!D276</f>
        <v/>
      </c>
      <c r="C276" s="32">
        <f>'Daily Data'!D276</f>
        <v/>
      </c>
      <c r="D276" s="32">
        <f>'Daily Data'!C276</f>
        <v/>
      </c>
      <c r="E276" s="32">
        <f>IF('Daily Data'!E276="","",'Daily Data'!E276)</f>
        <v/>
      </c>
      <c r="F276" s="32">
        <f>IF($E276="","",'Daily Data'!F276)</f>
        <v/>
      </c>
      <c r="G276" s="32">
        <f>IF($E276="","",'Daily Data'!G276)</f>
        <v/>
      </c>
      <c r="H276" s="31">
        <f>IF($E276="","",F276-G276)</f>
        <v/>
      </c>
      <c r="I276" s="32">
        <f>IF($E276="","",'Daily Data'!H276)</f>
        <v/>
      </c>
      <c r="J276" s="31">
        <f>IF($E276="","",E276-H276-I276)</f>
        <v/>
      </c>
      <c r="K276" s="33">
        <f>IF($E276="","",IF(A276&lt;HLP_ChangeDate,HLP_Legacy,HLP_Current))</f>
        <v/>
      </c>
      <c r="L276" s="31">
        <f>IF($E276="","",J276/(1-K276))</f>
        <v/>
      </c>
      <c r="M276" s="31">
        <f>IF($E276="","",I276/(1-K276))</f>
        <v/>
      </c>
      <c r="N276" s="31">
        <f>IF($E276="","",(B276+C276+D276)*Rate_Builder)</f>
        <v/>
      </c>
      <c r="O276" s="31">
        <f>IF($E276="","",E276*K276/(1-K276))</f>
        <v/>
      </c>
      <c r="P276" s="34">
        <f>IF(OR($E276="",B276=0),"",L276/B276*10000)</f>
        <v/>
      </c>
      <c r="Q276" s="34">
        <f>IF(OR($E276="",C276=0),"",F276/C276*10000)</f>
        <v/>
      </c>
      <c r="R276" s="34">
        <f>IF(OR($E276="",D276=0),"",'Daily Data'!I276/D276*10000)</f>
        <v/>
      </c>
    </row>
    <row r="277">
      <c r="A277" s="30" t="n">
        <v>45931</v>
      </c>
      <c r="B277" s="31">
        <f>'Daily Data'!B277-'Daily Data'!D277</f>
        <v/>
      </c>
      <c r="C277" s="32">
        <f>'Daily Data'!D277</f>
        <v/>
      </c>
      <c r="D277" s="32">
        <f>'Daily Data'!C277</f>
        <v/>
      </c>
      <c r="E277" s="32">
        <f>IF('Daily Data'!E277="","",'Daily Data'!E277)</f>
        <v/>
      </c>
      <c r="F277" s="32">
        <f>IF($E277="","",'Daily Data'!F277)</f>
        <v/>
      </c>
      <c r="G277" s="32">
        <f>IF($E277="","",'Daily Data'!G277)</f>
        <v/>
      </c>
      <c r="H277" s="31">
        <f>IF($E277="","",F277-G277)</f>
        <v/>
      </c>
      <c r="I277" s="32">
        <f>IF($E277="","",'Daily Data'!H277)</f>
        <v/>
      </c>
      <c r="J277" s="31">
        <f>IF($E277="","",E277-H277-I277)</f>
        <v/>
      </c>
      <c r="K277" s="33">
        <f>IF($E277="","",IF(A277&lt;HLP_ChangeDate,HLP_Legacy,HLP_Current))</f>
        <v/>
      </c>
      <c r="L277" s="31">
        <f>IF($E277="","",J277/(1-K277))</f>
        <v/>
      </c>
      <c r="M277" s="31">
        <f>IF($E277="","",I277/(1-K277))</f>
        <v/>
      </c>
      <c r="N277" s="31">
        <f>IF($E277="","",(B277+C277+D277)*Rate_Builder)</f>
        <v/>
      </c>
      <c r="O277" s="31">
        <f>IF($E277="","",E277*K277/(1-K277))</f>
        <v/>
      </c>
      <c r="P277" s="34">
        <f>IF(OR($E277="",B277=0),"",L277/B277*10000)</f>
        <v/>
      </c>
      <c r="Q277" s="34">
        <f>IF(OR($E277="",C277=0),"",F277/C277*10000)</f>
        <v/>
      </c>
      <c r="R277" s="34">
        <f>IF(OR($E277="",D277=0),"",'Daily Data'!I277/D277*10000)</f>
        <v/>
      </c>
    </row>
    <row r="278">
      <c r="A278" s="30" t="n">
        <v>45932</v>
      </c>
      <c r="B278" s="31">
        <f>'Daily Data'!B278-'Daily Data'!D278</f>
        <v/>
      </c>
      <c r="C278" s="32">
        <f>'Daily Data'!D278</f>
        <v/>
      </c>
      <c r="D278" s="32">
        <f>'Daily Data'!C278</f>
        <v/>
      </c>
      <c r="E278" s="32">
        <f>IF('Daily Data'!E278="","",'Daily Data'!E278)</f>
        <v/>
      </c>
      <c r="F278" s="32">
        <f>IF($E278="","",'Daily Data'!F278)</f>
        <v/>
      </c>
      <c r="G278" s="32">
        <f>IF($E278="","",'Daily Data'!G278)</f>
        <v/>
      </c>
      <c r="H278" s="31">
        <f>IF($E278="","",F278-G278)</f>
        <v/>
      </c>
      <c r="I278" s="32">
        <f>IF($E278="","",'Daily Data'!H278)</f>
        <v/>
      </c>
      <c r="J278" s="31">
        <f>IF($E278="","",E278-H278-I278)</f>
        <v/>
      </c>
      <c r="K278" s="33">
        <f>IF($E278="","",IF(A278&lt;HLP_ChangeDate,HLP_Legacy,HLP_Current))</f>
        <v/>
      </c>
      <c r="L278" s="31">
        <f>IF($E278="","",J278/(1-K278))</f>
        <v/>
      </c>
      <c r="M278" s="31">
        <f>IF($E278="","",I278/(1-K278))</f>
        <v/>
      </c>
      <c r="N278" s="31">
        <f>IF($E278="","",(B278+C278+D278)*Rate_Builder)</f>
        <v/>
      </c>
      <c r="O278" s="31">
        <f>IF($E278="","",E278*K278/(1-K278))</f>
        <v/>
      </c>
      <c r="P278" s="34">
        <f>IF(OR($E278="",B278=0),"",L278/B278*10000)</f>
        <v/>
      </c>
      <c r="Q278" s="34">
        <f>IF(OR($E278="",C278=0),"",F278/C278*10000)</f>
        <v/>
      </c>
      <c r="R278" s="34">
        <f>IF(OR($E278="",D278=0),"",'Daily Data'!I278/D278*10000)</f>
        <v/>
      </c>
    </row>
    <row r="279">
      <c r="A279" s="30" t="n">
        <v>45933</v>
      </c>
      <c r="B279" s="31">
        <f>'Daily Data'!B279-'Daily Data'!D279</f>
        <v/>
      </c>
      <c r="C279" s="32">
        <f>'Daily Data'!D279</f>
        <v/>
      </c>
      <c r="D279" s="32">
        <f>'Daily Data'!C279</f>
        <v/>
      </c>
      <c r="E279" s="32">
        <f>IF('Daily Data'!E279="","",'Daily Data'!E279)</f>
        <v/>
      </c>
      <c r="F279" s="32">
        <f>IF($E279="","",'Daily Data'!F279)</f>
        <v/>
      </c>
      <c r="G279" s="32">
        <f>IF($E279="","",'Daily Data'!G279)</f>
        <v/>
      </c>
      <c r="H279" s="31">
        <f>IF($E279="","",F279-G279)</f>
        <v/>
      </c>
      <c r="I279" s="32">
        <f>IF($E279="","",'Daily Data'!H279)</f>
        <v/>
      </c>
      <c r="J279" s="31">
        <f>IF($E279="","",E279-H279-I279)</f>
        <v/>
      </c>
      <c r="K279" s="33">
        <f>IF($E279="","",IF(A279&lt;HLP_ChangeDate,HLP_Legacy,HLP_Current))</f>
        <v/>
      </c>
      <c r="L279" s="31">
        <f>IF($E279="","",J279/(1-K279))</f>
        <v/>
      </c>
      <c r="M279" s="31">
        <f>IF($E279="","",I279/(1-K279))</f>
        <v/>
      </c>
      <c r="N279" s="31">
        <f>IF($E279="","",(B279+C279+D279)*Rate_Builder)</f>
        <v/>
      </c>
      <c r="O279" s="31">
        <f>IF($E279="","",E279*K279/(1-K279))</f>
        <v/>
      </c>
      <c r="P279" s="34">
        <f>IF(OR($E279="",B279=0),"",L279/B279*10000)</f>
        <v/>
      </c>
      <c r="Q279" s="34">
        <f>IF(OR($E279="",C279=0),"",F279/C279*10000)</f>
        <v/>
      </c>
      <c r="R279" s="34">
        <f>IF(OR($E279="",D279=0),"",'Daily Data'!I279/D279*10000)</f>
        <v/>
      </c>
    </row>
    <row r="280">
      <c r="A280" s="30" t="n">
        <v>45934</v>
      </c>
      <c r="B280" s="31">
        <f>'Daily Data'!B280-'Daily Data'!D280</f>
        <v/>
      </c>
      <c r="C280" s="32">
        <f>'Daily Data'!D280</f>
        <v/>
      </c>
      <c r="D280" s="32">
        <f>'Daily Data'!C280</f>
        <v/>
      </c>
      <c r="E280" s="32">
        <f>IF('Daily Data'!E280="","",'Daily Data'!E280)</f>
        <v/>
      </c>
      <c r="F280" s="32">
        <f>IF($E280="","",'Daily Data'!F280)</f>
        <v/>
      </c>
      <c r="G280" s="32">
        <f>IF($E280="","",'Daily Data'!G280)</f>
        <v/>
      </c>
      <c r="H280" s="31">
        <f>IF($E280="","",F280-G280)</f>
        <v/>
      </c>
      <c r="I280" s="32">
        <f>IF($E280="","",'Daily Data'!H280)</f>
        <v/>
      </c>
      <c r="J280" s="31">
        <f>IF($E280="","",E280-H280-I280)</f>
        <v/>
      </c>
      <c r="K280" s="33">
        <f>IF($E280="","",IF(A280&lt;HLP_ChangeDate,HLP_Legacy,HLP_Current))</f>
        <v/>
      </c>
      <c r="L280" s="31">
        <f>IF($E280="","",J280/(1-K280))</f>
        <v/>
      </c>
      <c r="M280" s="31">
        <f>IF($E280="","",I280/(1-K280))</f>
        <v/>
      </c>
      <c r="N280" s="31">
        <f>IF($E280="","",(B280+C280+D280)*Rate_Builder)</f>
        <v/>
      </c>
      <c r="O280" s="31">
        <f>IF($E280="","",E280*K280/(1-K280))</f>
        <v/>
      </c>
      <c r="P280" s="34">
        <f>IF(OR($E280="",B280=0),"",L280/B280*10000)</f>
        <v/>
      </c>
      <c r="Q280" s="34">
        <f>IF(OR($E280="",C280=0),"",F280/C280*10000)</f>
        <v/>
      </c>
      <c r="R280" s="34">
        <f>IF(OR($E280="",D280=0),"",'Daily Data'!I280/D280*10000)</f>
        <v/>
      </c>
    </row>
    <row r="281">
      <c r="A281" s="30" t="n">
        <v>45935</v>
      </c>
      <c r="B281" s="31">
        <f>'Daily Data'!B281-'Daily Data'!D281</f>
        <v/>
      </c>
      <c r="C281" s="32">
        <f>'Daily Data'!D281</f>
        <v/>
      </c>
      <c r="D281" s="32">
        <f>'Daily Data'!C281</f>
        <v/>
      </c>
      <c r="E281" s="32">
        <f>IF('Daily Data'!E281="","",'Daily Data'!E281)</f>
        <v/>
      </c>
      <c r="F281" s="32">
        <f>IF($E281="","",'Daily Data'!F281)</f>
        <v/>
      </c>
      <c r="G281" s="32">
        <f>IF($E281="","",'Daily Data'!G281)</f>
        <v/>
      </c>
      <c r="H281" s="31">
        <f>IF($E281="","",F281-G281)</f>
        <v/>
      </c>
      <c r="I281" s="32">
        <f>IF($E281="","",'Daily Data'!H281)</f>
        <v/>
      </c>
      <c r="J281" s="31">
        <f>IF($E281="","",E281-H281-I281)</f>
        <v/>
      </c>
      <c r="K281" s="33">
        <f>IF($E281="","",IF(A281&lt;HLP_ChangeDate,HLP_Legacy,HLP_Current))</f>
        <v/>
      </c>
      <c r="L281" s="31">
        <f>IF($E281="","",J281/(1-K281))</f>
        <v/>
      </c>
      <c r="M281" s="31">
        <f>IF($E281="","",I281/(1-K281))</f>
        <v/>
      </c>
      <c r="N281" s="31">
        <f>IF($E281="","",(B281+C281+D281)*Rate_Builder)</f>
        <v/>
      </c>
      <c r="O281" s="31">
        <f>IF($E281="","",E281*K281/(1-K281))</f>
        <v/>
      </c>
      <c r="P281" s="34">
        <f>IF(OR($E281="",B281=0),"",L281/B281*10000)</f>
        <v/>
      </c>
      <c r="Q281" s="34">
        <f>IF(OR($E281="",C281=0),"",F281/C281*10000)</f>
        <v/>
      </c>
      <c r="R281" s="34">
        <f>IF(OR($E281="",D281=0),"",'Daily Data'!I281/D281*10000)</f>
        <v/>
      </c>
    </row>
    <row r="282">
      <c r="A282" s="30" t="n">
        <v>45936</v>
      </c>
      <c r="B282" s="31">
        <f>'Daily Data'!B282-'Daily Data'!D282</f>
        <v/>
      </c>
      <c r="C282" s="32">
        <f>'Daily Data'!D282</f>
        <v/>
      </c>
      <c r="D282" s="32">
        <f>'Daily Data'!C282</f>
        <v/>
      </c>
      <c r="E282" s="32">
        <f>IF('Daily Data'!E282="","",'Daily Data'!E282)</f>
        <v/>
      </c>
      <c r="F282" s="32">
        <f>IF($E282="","",'Daily Data'!F282)</f>
        <v/>
      </c>
      <c r="G282" s="32">
        <f>IF($E282="","",'Daily Data'!G282)</f>
        <v/>
      </c>
      <c r="H282" s="31">
        <f>IF($E282="","",F282-G282)</f>
        <v/>
      </c>
      <c r="I282" s="32">
        <f>IF($E282="","",'Daily Data'!H282)</f>
        <v/>
      </c>
      <c r="J282" s="31">
        <f>IF($E282="","",E282-H282-I282)</f>
        <v/>
      </c>
      <c r="K282" s="33">
        <f>IF($E282="","",IF(A282&lt;HLP_ChangeDate,HLP_Legacy,HLP_Current))</f>
        <v/>
      </c>
      <c r="L282" s="31">
        <f>IF($E282="","",J282/(1-K282))</f>
        <v/>
      </c>
      <c r="M282" s="31">
        <f>IF($E282="","",I282/(1-K282))</f>
        <v/>
      </c>
      <c r="N282" s="31">
        <f>IF($E282="","",(B282+C282+D282)*Rate_Builder)</f>
        <v/>
      </c>
      <c r="O282" s="31">
        <f>IF($E282="","",E282*K282/(1-K282))</f>
        <v/>
      </c>
      <c r="P282" s="34">
        <f>IF(OR($E282="",B282=0),"",L282/B282*10000)</f>
        <v/>
      </c>
      <c r="Q282" s="34">
        <f>IF(OR($E282="",C282=0),"",F282/C282*10000)</f>
        <v/>
      </c>
      <c r="R282" s="34">
        <f>IF(OR($E282="",D282=0),"",'Daily Data'!I282/D282*10000)</f>
        <v/>
      </c>
    </row>
    <row r="283">
      <c r="A283" s="30" t="n">
        <v>45937</v>
      </c>
      <c r="B283" s="31">
        <f>'Daily Data'!B283-'Daily Data'!D283</f>
        <v/>
      </c>
      <c r="C283" s="32">
        <f>'Daily Data'!D283</f>
        <v/>
      </c>
      <c r="D283" s="32">
        <f>'Daily Data'!C283</f>
        <v/>
      </c>
      <c r="E283" s="32">
        <f>IF('Daily Data'!E283="","",'Daily Data'!E283)</f>
        <v/>
      </c>
      <c r="F283" s="32">
        <f>IF($E283="","",'Daily Data'!F283)</f>
        <v/>
      </c>
      <c r="G283" s="32">
        <f>IF($E283="","",'Daily Data'!G283)</f>
        <v/>
      </c>
      <c r="H283" s="31">
        <f>IF($E283="","",F283-G283)</f>
        <v/>
      </c>
      <c r="I283" s="32">
        <f>IF($E283="","",'Daily Data'!H283)</f>
        <v/>
      </c>
      <c r="J283" s="31">
        <f>IF($E283="","",E283-H283-I283)</f>
        <v/>
      </c>
      <c r="K283" s="33">
        <f>IF($E283="","",IF(A283&lt;HLP_ChangeDate,HLP_Legacy,HLP_Current))</f>
        <v/>
      </c>
      <c r="L283" s="31">
        <f>IF($E283="","",J283/(1-K283))</f>
        <v/>
      </c>
      <c r="M283" s="31">
        <f>IF($E283="","",I283/(1-K283))</f>
        <v/>
      </c>
      <c r="N283" s="31">
        <f>IF($E283="","",(B283+C283+D283)*Rate_Builder)</f>
        <v/>
      </c>
      <c r="O283" s="31">
        <f>IF($E283="","",E283*K283/(1-K283))</f>
        <v/>
      </c>
      <c r="P283" s="34">
        <f>IF(OR($E283="",B283=0),"",L283/B283*10000)</f>
        <v/>
      </c>
      <c r="Q283" s="34">
        <f>IF(OR($E283="",C283=0),"",F283/C283*10000)</f>
        <v/>
      </c>
      <c r="R283" s="34">
        <f>IF(OR($E283="",D283=0),"",'Daily Data'!I283/D283*10000)</f>
        <v/>
      </c>
    </row>
    <row r="284">
      <c r="A284" s="30" t="n">
        <v>45938</v>
      </c>
      <c r="B284" s="31">
        <f>'Daily Data'!B284-'Daily Data'!D284</f>
        <v/>
      </c>
      <c r="C284" s="32">
        <f>'Daily Data'!D284</f>
        <v/>
      </c>
      <c r="D284" s="32">
        <f>'Daily Data'!C284</f>
        <v/>
      </c>
      <c r="E284" s="32">
        <f>IF('Daily Data'!E284="","",'Daily Data'!E284)</f>
        <v/>
      </c>
      <c r="F284" s="32">
        <f>IF($E284="","",'Daily Data'!F284)</f>
        <v/>
      </c>
      <c r="G284" s="32">
        <f>IF($E284="","",'Daily Data'!G284)</f>
        <v/>
      </c>
      <c r="H284" s="31">
        <f>IF($E284="","",F284-G284)</f>
        <v/>
      </c>
      <c r="I284" s="32">
        <f>IF($E284="","",'Daily Data'!H284)</f>
        <v/>
      </c>
      <c r="J284" s="31">
        <f>IF($E284="","",E284-H284-I284)</f>
        <v/>
      </c>
      <c r="K284" s="33">
        <f>IF($E284="","",IF(A284&lt;HLP_ChangeDate,HLP_Legacy,HLP_Current))</f>
        <v/>
      </c>
      <c r="L284" s="31">
        <f>IF($E284="","",J284/(1-K284))</f>
        <v/>
      </c>
      <c r="M284" s="31">
        <f>IF($E284="","",I284/(1-K284))</f>
        <v/>
      </c>
      <c r="N284" s="31">
        <f>IF($E284="","",(B284+C284+D284)*Rate_Builder)</f>
        <v/>
      </c>
      <c r="O284" s="31">
        <f>IF($E284="","",E284*K284/(1-K284))</f>
        <v/>
      </c>
      <c r="P284" s="34">
        <f>IF(OR($E284="",B284=0),"",L284/B284*10000)</f>
        <v/>
      </c>
      <c r="Q284" s="34">
        <f>IF(OR($E284="",C284=0),"",F284/C284*10000)</f>
        <v/>
      </c>
      <c r="R284" s="34">
        <f>IF(OR($E284="",D284=0),"",'Daily Data'!I284/D284*10000)</f>
        <v/>
      </c>
    </row>
    <row r="285">
      <c r="A285" s="30" t="n">
        <v>45939</v>
      </c>
      <c r="B285" s="31">
        <f>'Daily Data'!B285-'Daily Data'!D285</f>
        <v/>
      </c>
      <c r="C285" s="32">
        <f>'Daily Data'!D285</f>
        <v/>
      </c>
      <c r="D285" s="32">
        <f>'Daily Data'!C285</f>
        <v/>
      </c>
      <c r="E285" s="32">
        <f>IF('Daily Data'!E285="","",'Daily Data'!E285)</f>
        <v/>
      </c>
      <c r="F285" s="32">
        <f>IF($E285="","",'Daily Data'!F285)</f>
        <v/>
      </c>
      <c r="G285" s="32">
        <f>IF($E285="","",'Daily Data'!G285)</f>
        <v/>
      </c>
      <c r="H285" s="31">
        <f>IF($E285="","",F285-G285)</f>
        <v/>
      </c>
      <c r="I285" s="32">
        <f>IF($E285="","",'Daily Data'!H285)</f>
        <v/>
      </c>
      <c r="J285" s="31">
        <f>IF($E285="","",E285-H285-I285)</f>
        <v/>
      </c>
      <c r="K285" s="33">
        <f>IF($E285="","",IF(A285&lt;HLP_ChangeDate,HLP_Legacy,HLP_Current))</f>
        <v/>
      </c>
      <c r="L285" s="31">
        <f>IF($E285="","",J285/(1-K285))</f>
        <v/>
      </c>
      <c r="M285" s="31">
        <f>IF($E285="","",I285/(1-K285))</f>
        <v/>
      </c>
      <c r="N285" s="31">
        <f>IF($E285="","",(B285+C285+D285)*Rate_Builder)</f>
        <v/>
      </c>
      <c r="O285" s="31">
        <f>IF($E285="","",E285*K285/(1-K285))</f>
        <v/>
      </c>
      <c r="P285" s="34">
        <f>IF(OR($E285="",B285=0),"",L285/B285*10000)</f>
        <v/>
      </c>
      <c r="Q285" s="34">
        <f>IF(OR($E285="",C285=0),"",F285/C285*10000)</f>
        <v/>
      </c>
      <c r="R285" s="34">
        <f>IF(OR($E285="",D285=0),"",'Daily Data'!I285/D285*10000)</f>
        <v/>
      </c>
    </row>
    <row r="286">
      <c r="A286" s="30" t="n">
        <v>45940</v>
      </c>
      <c r="B286" s="31">
        <f>'Daily Data'!B286-'Daily Data'!D286</f>
        <v/>
      </c>
      <c r="C286" s="32">
        <f>'Daily Data'!D286</f>
        <v/>
      </c>
      <c r="D286" s="32">
        <f>'Daily Data'!C286</f>
        <v/>
      </c>
      <c r="E286" s="32">
        <f>IF('Daily Data'!E286="","",'Daily Data'!E286)</f>
        <v/>
      </c>
      <c r="F286" s="32">
        <f>IF($E286="","",'Daily Data'!F286)</f>
        <v/>
      </c>
      <c r="G286" s="32">
        <f>IF($E286="","",'Daily Data'!G286)</f>
        <v/>
      </c>
      <c r="H286" s="31">
        <f>IF($E286="","",F286-G286)</f>
        <v/>
      </c>
      <c r="I286" s="32">
        <f>IF($E286="","",'Daily Data'!H286)</f>
        <v/>
      </c>
      <c r="J286" s="31">
        <f>IF($E286="","",E286-H286-I286)</f>
        <v/>
      </c>
      <c r="K286" s="33">
        <f>IF($E286="","",IF(A286&lt;HLP_ChangeDate,HLP_Legacy,HLP_Current))</f>
        <v/>
      </c>
      <c r="L286" s="31">
        <f>IF($E286="","",J286/(1-K286))</f>
        <v/>
      </c>
      <c r="M286" s="31">
        <f>IF($E286="","",I286/(1-K286))</f>
        <v/>
      </c>
      <c r="N286" s="31">
        <f>IF($E286="","",(B286+C286+D286)*Rate_Builder)</f>
        <v/>
      </c>
      <c r="O286" s="31">
        <f>IF($E286="","",E286*K286/(1-K286))</f>
        <v/>
      </c>
      <c r="P286" s="34">
        <f>IF(OR($E286="",B286=0),"",L286/B286*10000)</f>
        <v/>
      </c>
      <c r="Q286" s="34">
        <f>IF(OR($E286="",C286=0),"",F286/C286*10000)</f>
        <v/>
      </c>
      <c r="R286" s="34">
        <f>IF(OR($E286="",D286=0),"",'Daily Data'!I286/D286*10000)</f>
        <v/>
      </c>
    </row>
    <row r="287">
      <c r="A287" s="30" t="n">
        <v>45941</v>
      </c>
      <c r="B287" s="31">
        <f>'Daily Data'!B287-'Daily Data'!D287</f>
        <v/>
      </c>
      <c r="C287" s="32">
        <f>'Daily Data'!D287</f>
        <v/>
      </c>
      <c r="D287" s="32">
        <f>'Daily Data'!C287</f>
        <v/>
      </c>
      <c r="E287" s="32">
        <f>IF('Daily Data'!E287="","",'Daily Data'!E287)</f>
        <v/>
      </c>
      <c r="F287" s="32">
        <f>IF($E287="","",'Daily Data'!F287)</f>
        <v/>
      </c>
      <c r="G287" s="32">
        <f>IF($E287="","",'Daily Data'!G287)</f>
        <v/>
      </c>
      <c r="H287" s="31">
        <f>IF($E287="","",F287-G287)</f>
        <v/>
      </c>
      <c r="I287" s="32">
        <f>IF($E287="","",'Daily Data'!H287)</f>
        <v/>
      </c>
      <c r="J287" s="31">
        <f>IF($E287="","",E287-H287-I287)</f>
        <v/>
      </c>
      <c r="K287" s="33">
        <f>IF($E287="","",IF(A287&lt;HLP_ChangeDate,HLP_Legacy,HLP_Current))</f>
        <v/>
      </c>
      <c r="L287" s="31">
        <f>IF($E287="","",J287/(1-K287))</f>
        <v/>
      </c>
      <c r="M287" s="31">
        <f>IF($E287="","",I287/(1-K287))</f>
        <v/>
      </c>
      <c r="N287" s="31">
        <f>IF($E287="","",(B287+C287+D287)*Rate_Builder)</f>
        <v/>
      </c>
      <c r="O287" s="31">
        <f>IF($E287="","",E287*K287/(1-K287))</f>
        <v/>
      </c>
      <c r="P287" s="34">
        <f>IF(OR($E287="",B287=0),"",L287/B287*10000)</f>
        <v/>
      </c>
      <c r="Q287" s="34">
        <f>IF(OR($E287="",C287=0),"",F287/C287*10000)</f>
        <v/>
      </c>
      <c r="R287" s="34">
        <f>IF(OR($E287="",D287=0),"",'Daily Data'!I287/D287*10000)</f>
        <v/>
      </c>
    </row>
    <row r="288">
      <c r="A288" s="30" t="n">
        <v>45942</v>
      </c>
      <c r="B288" s="31">
        <f>'Daily Data'!B288-'Daily Data'!D288</f>
        <v/>
      </c>
      <c r="C288" s="32">
        <f>'Daily Data'!D288</f>
        <v/>
      </c>
      <c r="D288" s="32">
        <f>'Daily Data'!C288</f>
        <v/>
      </c>
      <c r="E288" s="32">
        <f>IF('Daily Data'!E288="","",'Daily Data'!E288)</f>
        <v/>
      </c>
      <c r="F288" s="32">
        <f>IF($E288="","",'Daily Data'!F288)</f>
        <v/>
      </c>
      <c r="G288" s="32">
        <f>IF($E288="","",'Daily Data'!G288)</f>
        <v/>
      </c>
      <c r="H288" s="31">
        <f>IF($E288="","",F288-G288)</f>
        <v/>
      </c>
      <c r="I288" s="32">
        <f>IF($E288="","",'Daily Data'!H288)</f>
        <v/>
      </c>
      <c r="J288" s="31">
        <f>IF($E288="","",E288-H288-I288)</f>
        <v/>
      </c>
      <c r="K288" s="33">
        <f>IF($E288="","",IF(A288&lt;HLP_ChangeDate,HLP_Legacy,HLP_Current))</f>
        <v/>
      </c>
      <c r="L288" s="31">
        <f>IF($E288="","",J288/(1-K288))</f>
        <v/>
      </c>
      <c r="M288" s="31">
        <f>IF($E288="","",I288/(1-K288))</f>
        <v/>
      </c>
      <c r="N288" s="31">
        <f>IF($E288="","",(B288+C288+D288)*Rate_Builder)</f>
        <v/>
      </c>
      <c r="O288" s="31">
        <f>IF($E288="","",E288*K288/(1-K288))</f>
        <v/>
      </c>
      <c r="P288" s="34">
        <f>IF(OR($E288="",B288=0),"",L288/B288*10000)</f>
        <v/>
      </c>
      <c r="Q288" s="34">
        <f>IF(OR($E288="",C288=0),"",F288/C288*10000)</f>
        <v/>
      </c>
      <c r="R288" s="34">
        <f>IF(OR($E288="",D288=0),"",'Daily Data'!I288/D288*10000)</f>
        <v/>
      </c>
    </row>
    <row r="289">
      <c r="A289" s="30" t="n">
        <v>45943</v>
      </c>
      <c r="B289" s="31">
        <f>'Daily Data'!B289-'Daily Data'!D289</f>
        <v/>
      </c>
      <c r="C289" s="32">
        <f>'Daily Data'!D289</f>
        <v/>
      </c>
      <c r="D289" s="32">
        <f>'Daily Data'!C289</f>
        <v/>
      </c>
      <c r="E289" s="32">
        <f>IF('Daily Data'!E289="","",'Daily Data'!E289)</f>
        <v/>
      </c>
      <c r="F289" s="32">
        <f>IF($E289="","",'Daily Data'!F289)</f>
        <v/>
      </c>
      <c r="G289" s="32">
        <f>IF($E289="","",'Daily Data'!G289)</f>
        <v/>
      </c>
      <c r="H289" s="31">
        <f>IF($E289="","",F289-G289)</f>
        <v/>
      </c>
      <c r="I289" s="32">
        <f>IF($E289="","",'Daily Data'!H289)</f>
        <v/>
      </c>
      <c r="J289" s="31">
        <f>IF($E289="","",E289-H289-I289)</f>
        <v/>
      </c>
      <c r="K289" s="33">
        <f>IF($E289="","",IF(A289&lt;HLP_ChangeDate,HLP_Legacy,HLP_Current))</f>
        <v/>
      </c>
      <c r="L289" s="31">
        <f>IF($E289="","",J289/(1-K289))</f>
        <v/>
      </c>
      <c r="M289" s="31">
        <f>IF($E289="","",I289/(1-K289))</f>
        <v/>
      </c>
      <c r="N289" s="31">
        <f>IF($E289="","",(B289+C289+D289)*Rate_Builder)</f>
        <v/>
      </c>
      <c r="O289" s="31">
        <f>IF($E289="","",E289*K289/(1-K289))</f>
        <v/>
      </c>
      <c r="P289" s="34">
        <f>IF(OR($E289="",B289=0),"",L289/B289*10000)</f>
        <v/>
      </c>
      <c r="Q289" s="34">
        <f>IF(OR($E289="",C289=0),"",F289/C289*10000)</f>
        <v/>
      </c>
      <c r="R289" s="34">
        <f>IF(OR($E289="",D289=0),"",'Daily Data'!I289/D289*10000)</f>
        <v/>
      </c>
    </row>
    <row r="290">
      <c r="A290" s="30" t="n">
        <v>45944</v>
      </c>
      <c r="B290" s="31">
        <f>'Daily Data'!B290-'Daily Data'!D290</f>
        <v/>
      </c>
      <c r="C290" s="32">
        <f>'Daily Data'!D290</f>
        <v/>
      </c>
      <c r="D290" s="32">
        <f>'Daily Data'!C290</f>
        <v/>
      </c>
      <c r="E290" s="32">
        <f>IF('Daily Data'!E290="","",'Daily Data'!E290)</f>
        <v/>
      </c>
      <c r="F290" s="32">
        <f>IF($E290="","",'Daily Data'!F290)</f>
        <v/>
      </c>
      <c r="G290" s="32">
        <f>IF($E290="","",'Daily Data'!G290)</f>
        <v/>
      </c>
      <c r="H290" s="31">
        <f>IF($E290="","",F290-G290)</f>
        <v/>
      </c>
      <c r="I290" s="32">
        <f>IF($E290="","",'Daily Data'!H290)</f>
        <v/>
      </c>
      <c r="J290" s="31">
        <f>IF($E290="","",E290-H290-I290)</f>
        <v/>
      </c>
      <c r="K290" s="33">
        <f>IF($E290="","",IF(A290&lt;HLP_ChangeDate,HLP_Legacy,HLP_Current))</f>
        <v/>
      </c>
      <c r="L290" s="31">
        <f>IF($E290="","",J290/(1-K290))</f>
        <v/>
      </c>
      <c r="M290" s="31">
        <f>IF($E290="","",I290/(1-K290))</f>
        <v/>
      </c>
      <c r="N290" s="31">
        <f>IF($E290="","",(B290+C290+D290)*Rate_Builder)</f>
        <v/>
      </c>
      <c r="O290" s="31">
        <f>IF($E290="","",E290*K290/(1-K290))</f>
        <v/>
      </c>
      <c r="P290" s="34">
        <f>IF(OR($E290="",B290=0),"",L290/B290*10000)</f>
        <v/>
      </c>
      <c r="Q290" s="34">
        <f>IF(OR($E290="",C290=0),"",F290/C290*10000)</f>
        <v/>
      </c>
      <c r="R290" s="34">
        <f>IF(OR($E290="",D290=0),"",'Daily Data'!I290/D290*10000)</f>
        <v/>
      </c>
    </row>
    <row r="291">
      <c r="A291" s="30" t="n">
        <v>45945</v>
      </c>
      <c r="B291" s="31">
        <f>'Daily Data'!B291-'Daily Data'!D291</f>
        <v/>
      </c>
      <c r="C291" s="32">
        <f>'Daily Data'!D291</f>
        <v/>
      </c>
      <c r="D291" s="32">
        <f>'Daily Data'!C291</f>
        <v/>
      </c>
      <c r="E291" s="32">
        <f>IF('Daily Data'!E291="","",'Daily Data'!E291)</f>
        <v/>
      </c>
      <c r="F291" s="32">
        <f>IF($E291="","",'Daily Data'!F291)</f>
        <v/>
      </c>
      <c r="G291" s="32">
        <f>IF($E291="","",'Daily Data'!G291)</f>
        <v/>
      </c>
      <c r="H291" s="31">
        <f>IF($E291="","",F291-G291)</f>
        <v/>
      </c>
      <c r="I291" s="32">
        <f>IF($E291="","",'Daily Data'!H291)</f>
        <v/>
      </c>
      <c r="J291" s="31">
        <f>IF($E291="","",E291-H291-I291)</f>
        <v/>
      </c>
      <c r="K291" s="33">
        <f>IF($E291="","",IF(A291&lt;HLP_ChangeDate,HLP_Legacy,HLP_Current))</f>
        <v/>
      </c>
      <c r="L291" s="31">
        <f>IF($E291="","",J291/(1-K291))</f>
        <v/>
      </c>
      <c r="M291" s="31">
        <f>IF($E291="","",I291/(1-K291))</f>
        <v/>
      </c>
      <c r="N291" s="31">
        <f>IF($E291="","",(B291+C291+D291)*Rate_Builder)</f>
        <v/>
      </c>
      <c r="O291" s="31">
        <f>IF($E291="","",E291*K291/(1-K291))</f>
        <v/>
      </c>
      <c r="P291" s="34">
        <f>IF(OR($E291="",B291=0),"",L291/B291*10000)</f>
        <v/>
      </c>
      <c r="Q291" s="34">
        <f>IF(OR($E291="",C291=0),"",F291/C291*10000)</f>
        <v/>
      </c>
      <c r="R291" s="34">
        <f>IF(OR($E291="",D291=0),"",'Daily Data'!I291/D291*10000)</f>
        <v/>
      </c>
    </row>
    <row r="292">
      <c r="A292" s="30" t="n">
        <v>45946</v>
      </c>
      <c r="B292" s="31">
        <f>'Daily Data'!B292-'Daily Data'!D292</f>
        <v/>
      </c>
      <c r="C292" s="32">
        <f>'Daily Data'!D292</f>
        <v/>
      </c>
      <c r="D292" s="32">
        <f>'Daily Data'!C292</f>
        <v/>
      </c>
      <c r="E292" s="32">
        <f>IF('Daily Data'!E292="","",'Daily Data'!E292)</f>
        <v/>
      </c>
      <c r="F292" s="32">
        <f>IF($E292="","",'Daily Data'!F292)</f>
        <v/>
      </c>
      <c r="G292" s="32">
        <f>IF($E292="","",'Daily Data'!G292)</f>
        <v/>
      </c>
      <c r="H292" s="31">
        <f>IF($E292="","",F292-G292)</f>
        <v/>
      </c>
      <c r="I292" s="32">
        <f>IF($E292="","",'Daily Data'!H292)</f>
        <v/>
      </c>
      <c r="J292" s="31">
        <f>IF($E292="","",E292-H292-I292)</f>
        <v/>
      </c>
      <c r="K292" s="33">
        <f>IF($E292="","",IF(A292&lt;HLP_ChangeDate,HLP_Legacy,HLP_Current))</f>
        <v/>
      </c>
      <c r="L292" s="31">
        <f>IF($E292="","",J292/(1-K292))</f>
        <v/>
      </c>
      <c r="M292" s="31">
        <f>IF($E292="","",I292/(1-K292))</f>
        <v/>
      </c>
      <c r="N292" s="31">
        <f>IF($E292="","",(B292+C292+D292)*Rate_Builder)</f>
        <v/>
      </c>
      <c r="O292" s="31">
        <f>IF($E292="","",E292*K292/(1-K292))</f>
        <v/>
      </c>
      <c r="P292" s="34">
        <f>IF(OR($E292="",B292=0),"",L292/B292*10000)</f>
        <v/>
      </c>
      <c r="Q292" s="34">
        <f>IF(OR($E292="",C292=0),"",F292/C292*10000)</f>
        <v/>
      </c>
      <c r="R292" s="34">
        <f>IF(OR($E292="",D292=0),"",'Daily Data'!I292/D292*10000)</f>
        <v/>
      </c>
    </row>
    <row r="293">
      <c r="A293" s="30" t="n">
        <v>45947</v>
      </c>
      <c r="B293" s="31">
        <f>'Daily Data'!B293-'Daily Data'!D293</f>
        <v/>
      </c>
      <c r="C293" s="32">
        <f>'Daily Data'!D293</f>
        <v/>
      </c>
      <c r="D293" s="32">
        <f>'Daily Data'!C293</f>
        <v/>
      </c>
      <c r="E293" s="32">
        <f>IF('Daily Data'!E293="","",'Daily Data'!E293)</f>
        <v/>
      </c>
      <c r="F293" s="32">
        <f>IF($E293="","",'Daily Data'!F293)</f>
        <v/>
      </c>
      <c r="G293" s="32">
        <f>IF($E293="","",'Daily Data'!G293)</f>
        <v/>
      </c>
      <c r="H293" s="31">
        <f>IF($E293="","",F293-G293)</f>
        <v/>
      </c>
      <c r="I293" s="32">
        <f>IF($E293="","",'Daily Data'!H293)</f>
        <v/>
      </c>
      <c r="J293" s="31">
        <f>IF($E293="","",E293-H293-I293)</f>
        <v/>
      </c>
      <c r="K293" s="33">
        <f>IF($E293="","",IF(A293&lt;HLP_ChangeDate,HLP_Legacy,HLP_Current))</f>
        <v/>
      </c>
      <c r="L293" s="31">
        <f>IF($E293="","",J293/(1-K293))</f>
        <v/>
      </c>
      <c r="M293" s="31">
        <f>IF($E293="","",I293/(1-K293))</f>
        <v/>
      </c>
      <c r="N293" s="31">
        <f>IF($E293="","",(B293+C293+D293)*Rate_Builder)</f>
        <v/>
      </c>
      <c r="O293" s="31">
        <f>IF($E293="","",E293*K293/(1-K293))</f>
        <v/>
      </c>
      <c r="P293" s="34">
        <f>IF(OR($E293="",B293=0),"",L293/B293*10000)</f>
        <v/>
      </c>
      <c r="Q293" s="34">
        <f>IF(OR($E293="",C293=0),"",F293/C293*10000)</f>
        <v/>
      </c>
      <c r="R293" s="34">
        <f>IF(OR($E293="",D293=0),"",'Daily Data'!I293/D293*10000)</f>
        <v/>
      </c>
    </row>
    <row r="294">
      <c r="A294" s="30" t="n">
        <v>45948</v>
      </c>
      <c r="B294" s="31">
        <f>'Daily Data'!B294-'Daily Data'!D294</f>
        <v/>
      </c>
      <c r="C294" s="32">
        <f>'Daily Data'!D294</f>
        <v/>
      </c>
      <c r="D294" s="32">
        <f>'Daily Data'!C294</f>
        <v/>
      </c>
      <c r="E294" s="32">
        <f>IF('Daily Data'!E294="","",'Daily Data'!E294)</f>
        <v/>
      </c>
      <c r="F294" s="32">
        <f>IF($E294="","",'Daily Data'!F294)</f>
        <v/>
      </c>
      <c r="G294" s="32">
        <f>IF($E294="","",'Daily Data'!G294)</f>
        <v/>
      </c>
      <c r="H294" s="31">
        <f>IF($E294="","",F294-G294)</f>
        <v/>
      </c>
      <c r="I294" s="32">
        <f>IF($E294="","",'Daily Data'!H294)</f>
        <v/>
      </c>
      <c r="J294" s="31">
        <f>IF($E294="","",E294-H294-I294)</f>
        <v/>
      </c>
      <c r="K294" s="33">
        <f>IF($E294="","",IF(A294&lt;HLP_ChangeDate,HLP_Legacy,HLP_Current))</f>
        <v/>
      </c>
      <c r="L294" s="31">
        <f>IF($E294="","",J294/(1-K294))</f>
        <v/>
      </c>
      <c r="M294" s="31">
        <f>IF($E294="","",I294/(1-K294))</f>
        <v/>
      </c>
      <c r="N294" s="31">
        <f>IF($E294="","",(B294+C294+D294)*Rate_Builder)</f>
        <v/>
      </c>
      <c r="O294" s="31">
        <f>IF($E294="","",E294*K294/(1-K294))</f>
        <v/>
      </c>
      <c r="P294" s="34">
        <f>IF(OR($E294="",B294=0),"",L294/B294*10000)</f>
        <v/>
      </c>
      <c r="Q294" s="34">
        <f>IF(OR($E294="",C294=0),"",F294/C294*10000)</f>
        <v/>
      </c>
      <c r="R294" s="34">
        <f>IF(OR($E294="",D294=0),"",'Daily Data'!I294/D294*10000)</f>
        <v/>
      </c>
    </row>
    <row r="295">
      <c r="A295" s="30" t="n">
        <v>45949</v>
      </c>
      <c r="B295" s="31">
        <f>'Daily Data'!B295-'Daily Data'!D295</f>
        <v/>
      </c>
      <c r="C295" s="32">
        <f>'Daily Data'!D295</f>
        <v/>
      </c>
      <c r="D295" s="32">
        <f>'Daily Data'!C295</f>
        <v/>
      </c>
      <c r="E295" s="32">
        <f>IF('Daily Data'!E295="","",'Daily Data'!E295)</f>
        <v/>
      </c>
      <c r="F295" s="32">
        <f>IF($E295="","",'Daily Data'!F295)</f>
        <v/>
      </c>
      <c r="G295" s="32">
        <f>IF($E295="","",'Daily Data'!G295)</f>
        <v/>
      </c>
      <c r="H295" s="31">
        <f>IF($E295="","",F295-G295)</f>
        <v/>
      </c>
      <c r="I295" s="32">
        <f>IF($E295="","",'Daily Data'!H295)</f>
        <v/>
      </c>
      <c r="J295" s="31">
        <f>IF($E295="","",E295-H295-I295)</f>
        <v/>
      </c>
      <c r="K295" s="33">
        <f>IF($E295="","",IF(A295&lt;HLP_ChangeDate,HLP_Legacy,HLP_Current))</f>
        <v/>
      </c>
      <c r="L295" s="31">
        <f>IF($E295="","",J295/(1-K295))</f>
        <v/>
      </c>
      <c r="M295" s="31">
        <f>IF($E295="","",I295/(1-K295))</f>
        <v/>
      </c>
      <c r="N295" s="31">
        <f>IF($E295="","",(B295+C295+D295)*Rate_Builder)</f>
        <v/>
      </c>
      <c r="O295" s="31">
        <f>IF($E295="","",E295*K295/(1-K295))</f>
        <v/>
      </c>
      <c r="P295" s="34">
        <f>IF(OR($E295="",B295=0),"",L295/B295*10000)</f>
        <v/>
      </c>
      <c r="Q295" s="34">
        <f>IF(OR($E295="",C295=0),"",F295/C295*10000)</f>
        <v/>
      </c>
      <c r="R295" s="34">
        <f>IF(OR($E295="",D295=0),"",'Daily Data'!I295/D295*10000)</f>
        <v/>
      </c>
    </row>
    <row r="296">
      <c r="A296" s="30" t="n">
        <v>45950</v>
      </c>
      <c r="B296" s="31">
        <f>'Daily Data'!B296-'Daily Data'!D296</f>
        <v/>
      </c>
      <c r="C296" s="32">
        <f>'Daily Data'!D296</f>
        <v/>
      </c>
      <c r="D296" s="32">
        <f>'Daily Data'!C296</f>
        <v/>
      </c>
      <c r="E296" s="32">
        <f>IF('Daily Data'!E296="","",'Daily Data'!E296)</f>
        <v/>
      </c>
      <c r="F296" s="32">
        <f>IF($E296="","",'Daily Data'!F296)</f>
        <v/>
      </c>
      <c r="G296" s="32">
        <f>IF($E296="","",'Daily Data'!G296)</f>
        <v/>
      </c>
      <c r="H296" s="31">
        <f>IF($E296="","",F296-G296)</f>
        <v/>
      </c>
      <c r="I296" s="32">
        <f>IF($E296="","",'Daily Data'!H296)</f>
        <v/>
      </c>
      <c r="J296" s="31">
        <f>IF($E296="","",E296-H296-I296)</f>
        <v/>
      </c>
      <c r="K296" s="33">
        <f>IF($E296="","",IF(A296&lt;HLP_ChangeDate,HLP_Legacy,HLP_Current))</f>
        <v/>
      </c>
      <c r="L296" s="31">
        <f>IF($E296="","",J296/(1-K296))</f>
        <v/>
      </c>
      <c r="M296" s="31">
        <f>IF($E296="","",I296/(1-K296))</f>
        <v/>
      </c>
      <c r="N296" s="31">
        <f>IF($E296="","",(B296+C296+D296)*Rate_Builder)</f>
        <v/>
      </c>
      <c r="O296" s="31">
        <f>IF($E296="","",E296*K296/(1-K296))</f>
        <v/>
      </c>
      <c r="P296" s="34">
        <f>IF(OR($E296="",B296=0),"",L296/B296*10000)</f>
        <v/>
      </c>
      <c r="Q296" s="34">
        <f>IF(OR($E296="",C296=0),"",F296/C296*10000)</f>
        <v/>
      </c>
      <c r="R296" s="34">
        <f>IF(OR($E296="",D296=0),"",'Daily Data'!I296/D296*10000)</f>
        <v/>
      </c>
    </row>
    <row r="297">
      <c r="A297" s="30" t="n">
        <v>45951</v>
      </c>
      <c r="B297" s="31">
        <f>'Daily Data'!B297-'Daily Data'!D297</f>
        <v/>
      </c>
      <c r="C297" s="32">
        <f>'Daily Data'!D297</f>
        <v/>
      </c>
      <c r="D297" s="32">
        <f>'Daily Data'!C297</f>
        <v/>
      </c>
      <c r="E297" s="32">
        <f>IF('Daily Data'!E297="","",'Daily Data'!E297)</f>
        <v/>
      </c>
      <c r="F297" s="32">
        <f>IF($E297="","",'Daily Data'!F297)</f>
        <v/>
      </c>
      <c r="G297" s="32">
        <f>IF($E297="","",'Daily Data'!G297)</f>
        <v/>
      </c>
      <c r="H297" s="31">
        <f>IF($E297="","",F297-G297)</f>
        <v/>
      </c>
      <c r="I297" s="32">
        <f>IF($E297="","",'Daily Data'!H297)</f>
        <v/>
      </c>
      <c r="J297" s="31">
        <f>IF($E297="","",E297-H297-I297)</f>
        <v/>
      </c>
      <c r="K297" s="33">
        <f>IF($E297="","",IF(A297&lt;HLP_ChangeDate,HLP_Legacy,HLP_Current))</f>
        <v/>
      </c>
      <c r="L297" s="31">
        <f>IF($E297="","",J297/(1-K297))</f>
        <v/>
      </c>
      <c r="M297" s="31">
        <f>IF($E297="","",I297/(1-K297))</f>
        <v/>
      </c>
      <c r="N297" s="31">
        <f>IF($E297="","",(B297+C297+D297)*Rate_Builder)</f>
        <v/>
      </c>
      <c r="O297" s="31">
        <f>IF($E297="","",E297*K297/(1-K297))</f>
        <v/>
      </c>
      <c r="P297" s="34">
        <f>IF(OR($E297="",B297=0),"",L297/B297*10000)</f>
        <v/>
      </c>
      <c r="Q297" s="34">
        <f>IF(OR($E297="",C297=0),"",F297/C297*10000)</f>
        <v/>
      </c>
      <c r="R297" s="34">
        <f>IF(OR($E297="",D297=0),"",'Daily Data'!I297/D297*10000)</f>
        <v/>
      </c>
    </row>
    <row r="298">
      <c r="A298" s="30" t="n">
        <v>45952</v>
      </c>
      <c r="B298" s="31">
        <f>'Daily Data'!B298-'Daily Data'!D298</f>
        <v/>
      </c>
      <c r="C298" s="32">
        <f>'Daily Data'!D298</f>
        <v/>
      </c>
      <c r="D298" s="32">
        <f>'Daily Data'!C298</f>
        <v/>
      </c>
      <c r="E298" s="32">
        <f>IF('Daily Data'!E298="","",'Daily Data'!E298)</f>
        <v/>
      </c>
      <c r="F298" s="32">
        <f>IF($E298="","",'Daily Data'!F298)</f>
        <v/>
      </c>
      <c r="G298" s="32">
        <f>IF($E298="","",'Daily Data'!G298)</f>
        <v/>
      </c>
      <c r="H298" s="31">
        <f>IF($E298="","",F298-G298)</f>
        <v/>
      </c>
      <c r="I298" s="32">
        <f>IF($E298="","",'Daily Data'!H298)</f>
        <v/>
      </c>
      <c r="J298" s="31">
        <f>IF($E298="","",E298-H298-I298)</f>
        <v/>
      </c>
      <c r="K298" s="33">
        <f>IF($E298="","",IF(A298&lt;HLP_ChangeDate,HLP_Legacy,HLP_Current))</f>
        <v/>
      </c>
      <c r="L298" s="31">
        <f>IF($E298="","",J298/(1-K298))</f>
        <v/>
      </c>
      <c r="M298" s="31">
        <f>IF($E298="","",I298/(1-K298))</f>
        <v/>
      </c>
      <c r="N298" s="31">
        <f>IF($E298="","",(B298+C298+D298)*Rate_Builder)</f>
        <v/>
      </c>
      <c r="O298" s="31">
        <f>IF($E298="","",E298*K298/(1-K298))</f>
        <v/>
      </c>
      <c r="P298" s="34">
        <f>IF(OR($E298="",B298=0),"",L298/B298*10000)</f>
        <v/>
      </c>
      <c r="Q298" s="34">
        <f>IF(OR($E298="",C298=0),"",F298/C298*10000)</f>
        <v/>
      </c>
      <c r="R298" s="34">
        <f>IF(OR($E298="",D298=0),"",'Daily Data'!I298/D298*10000)</f>
        <v/>
      </c>
    </row>
    <row r="299">
      <c r="A299" s="30" t="n">
        <v>45953</v>
      </c>
      <c r="B299" s="31">
        <f>'Daily Data'!B299-'Daily Data'!D299</f>
        <v/>
      </c>
      <c r="C299" s="32">
        <f>'Daily Data'!D299</f>
        <v/>
      </c>
      <c r="D299" s="32">
        <f>'Daily Data'!C299</f>
        <v/>
      </c>
      <c r="E299" s="32">
        <f>IF('Daily Data'!E299="","",'Daily Data'!E299)</f>
        <v/>
      </c>
      <c r="F299" s="32">
        <f>IF($E299="","",'Daily Data'!F299)</f>
        <v/>
      </c>
      <c r="G299" s="32">
        <f>IF($E299="","",'Daily Data'!G299)</f>
        <v/>
      </c>
      <c r="H299" s="31">
        <f>IF($E299="","",F299-G299)</f>
        <v/>
      </c>
      <c r="I299" s="32">
        <f>IF($E299="","",'Daily Data'!H299)</f>
        <v/>
      </c>
      <c r="J299" s="31">
        <f>IF($E299="","",E299-H299-I299)</f>
        <v/>
      </c>
      <c r="K299" s="33">
        <f>IF($E299="","",IF(A299&lt;HLP_ChangeDate,HLP_Legacy,HLP_Current))</f>
        <v/>
      </c>
      <c r="L299" s="31">
        <f>IF($E299="","",J299/(1-K299))</f>
        <v/>
      </c>
      <c r="M299" s="31">
        <f>IF($E299="","",I299/(1-K299))</f>
        <v/>
      </c>
      <c r="N299" s="31">
        <f>IF($E299="","",(B299+C299+D299)*Rate_Builder)</f>
        <v/>
      </c>
      <c r="O299" s="31">
        <f>IF($E299="","",E299*K299/(1-K299))</f>
        <v/>
      </c>
      <c r="P299" s="34">
        <f>IF(OR($E299="",B299=0),"",L299/B299*10000)</f>
        <v/>
      </c>
      <c r="Q299" s="34">
        <f>IF(OR($E299="",C299=0),"",F299/C299*10000)</f>
        <v/>
      </c>
      <c r="R299" s="34">
        <f>IF(OR($E299="",D299=0),"",'Daily Data'!I299/D299*10000)</f>
        <v/>
      </c>
    </row>
    <row r="300">
      <c r="A300" s="30" t="n">
        <v>45954</v>
      </c>
      <c r="B300" s="31">
        <f>'Daily Data'!B300-'Daily Data'!D300</f>
        <v/>
      </c>
      <c r="C300" s="32">
        <f>'Daily Data'!D300</f>
        <v/>
      </c>
      <c r="D300" s="32">
        <f>'Daily Data'!C300</f>
        <v/>
      </c>
      <c r="E300" s="32">
        <f>IF('Daily Data'!E300="","",'Daily Data'!E300)</f>
        <v/>
      </c>
      <c r="F300" s="32">
        <f>IF($E300="","",'Daily Data'!F300)</f>
        <v/>
      </c>
      <c r="G300" s="32">
        <f>IF($E300="","",'Daily Data'!G300)</f>
        <v/>
      </c>
      <c r="H300" s="31">
        <f>IF($E300="","",F300-G300)</f>
        <v/>
      </c>
      <c r="I300" s="32">
        <f>IF($E300="","",'Daily Data'!H300)</f>
        <v/>
      </c>
      <c r="J300" s="31">
        <f>IF($E300="","",E300-H300-I300)</f>
        <v/>
      </c>
      <c r="K300" s="33">
        <f>IF($E300="","",IF(A300&lt;HLP_ChangeDate,HLP_Legacy,HLP_Current))</f>
        <v/>
      </c>
      <c r="L300" s="31">
        <f>IF($E300="","",J300/(1-K300))</f>
        <v/>
      </c>
      <c r="M300" s="31">
        <f>IF($E300="","",I300/(1-K300))</f>
        <v/>
      </c>
      <c r="N300" s="31">
        <f>IF($E300="","",(B300+C300+D300)*Rate_Builder)</f>
        <v/>
      </c>
      <c r="O300" s="31">
        <f>IF($E300="","",E300*K300/(1-K300))</f>
        <v/>
      </c>
      <c r="P300" s="34">
        <f>IF(OR($E300="",B300=0),"",L300/B300*10000)</f>
        <v/>
      </c>
      <c r="Q300" s="34">
        <f>IF(OR($E300="",C300=0),"",F300/C300*10000)</f>
        <v/>
      </c>
      <c r="R300" s="34">
        <f>IF(OR($E300="",D300=0),"",'Daily Data'!I300/D300*10000)</f>
        <v/>
      </c>
    </row>
    <row r="301">
      <c r="A301" s="30" t="n">
        <v>45955</v>
      </c>
      <c r="B301" s="31">
        <f>'Daily Data'!B301-'Daily Data'!D301</f>
        <v/>
      </c>
      <c r="C301" s="32">
        <f>'Daily Data'!D301</f>
        <v/>
      </c>
      <c r="D301" s="32">
        <f>'Daily Data'!C301</f>
        <v/>
      </c>
      <c r="E301" s="32">
        <f>IF('Daily Data'!E301="","",'Daily Data'!E301)</f>
        <v/>
      </c>
      <c r="F301" s="32">
        <f>IF($E301="","",'Daily Data'!F301)</f>
        <v/>
      </c>
      <c r="G301" s="32">
        <f>IF($E301="","",'Daily Data'!G301)</f>
        <v/>
      </c>
      <c r="H301" s="31">
        <f>IF($E301="","",F301-G301)</f>
        <v/>
      </c>
      <c r="I301" s="32">
        <f>IF($E301="","",'Daily Data'!H301)</f>
        <v/>
      </c>
      <c r="J301" s="31">
        <f>IF($E301="","",E301-H301-I301)</f>
        <v/>
      </c>
      <c r="K301" s="33">
        <f>IF($E301="","",IF(A301&lt;HLP_ChangeDate,HLP_Legacy,HLP_Current))</f>
        <v/>
      </c>
      <c r="L301" s="31">
        <f>IF($E301="","",J301/(1-K301))</f>
        <v/>
      </c>
      <c r="M301" s="31">
        <f>IF($E301="","",I301/(1-K301))</f>
        <v/>
      </c>
      <c r="N301" s="31">
        <f>IF($E301="","",(B301+C301+D301)*Rate_Builder)</f>
        <v/>
      </c>
      <c r="O301" s="31">
        <f>IF($E301="","",E301*K301/(1-K301))</f>
        <v/>
      </c>
      <c r="P301" s="34">
        <f>IF(OR($E301="",B301=0),"",L301/B301*10000)</f>
        <v/>
      </c>
      <c r="Q301" s="34">
        <f>IF(OR($E301="",C301=0),"",F301/C301*10000)</f>
        <v/>
      </c>
      <c r="R301" s="34">
        <f>IF(OR($E301="",D301=0),"",'Daily Data'!I301/D301*10000)</f>
        <v/>
      </c>
    </row>
    <row r="302">
      <c r="A302" s="30" t="n">
        <v>45956</v>
      </c>
      <c r="B302" s="31">
        <f>'Daily Data'!B302-'Daily Data'!D302</f>
        <v/>
      </c>
      <c r="C302" s="32">
        <f>'Daily Data'!D302</f>
        <v/>
      </c>
      <c r="D302" s="32">
        <f>'Daily Data'!C302</f>
        <v/>
      </c>
      <c r="E302" s="32">
        <f>IF('Daily Data'!E302="","",'Daily Data'!E302)</f>
        <v/>
      </c>
      <c r="F302" s="32">
        <f>IF($E302="","",'Daily Data'!F302)</f>
        <v/>
      </c>
      <c r="G302" s="32">
        <f>IF($E302="","",'Daily Data'!G302)</f>
        <v/>
      </c>
      <c r="H302" s="31">
        <f>IF($E302="","",F302-G302)</f>
        <v/>
      </c>
      <c r="I302" s="32">
        <f>IF($E302="","",'Daily Data'!H302)</f>
        <v/>
      </c>
      <c r="J302" s="31">
        <f>IF($E302="","",E302-H302-I302)</f>
        <v/>
      </c>
      <c r="K302" s="33">
        <f>IF($E302="","",IF(A302&lt;HLP_ChangeDate,HLP_Legacy,HLP_Current))</f>
        <v/>
      </c>
      <c r="L302" s="31">
        <f>IF($E302="","",J302/(1-K302))</f>
        <v/>
      </c>
      <c r="M302" s="31">
        <f>IF($E302="","",I302/(1-K302))</f>
        <v/>
      </c>
      <c r="N302" s="31">
        <f>IF($E302="","",(B302+C302+D302)*Rate_Builder)</f>
        <v/>
      </c>
      <c r="O302" s="31">
        <f>IF($E302="","",E302*K302/(1-K302))</f>
        <v/>
      </c>
      <c r="P302" s="34">
        <f>IF(OR($E302="",B302=0),"",L302/B302*10000)</f>
        <v/>
      </c>
      <c r="Q302" s="34">
        <f>IF(OR($E302="",C302=0),"",F302/C302*10000)</f>
        <v/>
      </c>
      <c r="R302" s="34">
        <f>IF(OR($E302="",D302=0),"",'Daily Data'!I302/D302*10000)</f>
        <v/>
      </c>
    </row>
    <row r="303">
      <c r="A303" s="30" t="n">
        <v>45957</v>
      </c>
      <c r="B303" s="31">
        <f>'Daily Data'!B303-'Daily Data'!D303</f>
        <v/>
      </c>
      <c r="C303" s="32">
        <f>'Daily Data'!D303</f>
        <v/>
      </c>
      <c r="D303" s="32">
        <f>'Daily Data'!C303</f>
        <v/>
      </c>
      <c r="E303" s="32">
        <f>IF('Daily Data'!E303="","",'Daily Data'!E303)</f>
        <v/>
      </c>
      <c r="F303" s="32">
        <f>IF($E303="","",'Daily Data'!F303)</f>
        <v/>
      </c>
      <c r="G303" s="32">
        <f>IF($E303="","",'Daily Data'!G303)</f>
        <v/>
      </c>
      <c r="H303" s="31">
        <f>IF($E303="","",F303-G303)</f>
        <v/>
      </c>
      <c r="I303" s="32">
        <f>IF($E303="","",'Daily Data'!H303)</f>
        <v/>
      </c>
      <c r="J303" s="31">
        <f>IF($E303="","",E303-H303-I303)</f>
        <v/>
      </c>
      <c r="K303" s="33">
        <f>IF($E303="","",IF(A303&lt;HLP_ChangeDate,HLP_Legacy,HLP_Current))</f>
        <v/>
      </c>
      <c r="L303" s="31">
        <f>IF($E303="","",J303/(1-K303))</f>
        <v/>
      </c>
      <c r="M303" s="31">
        <f>IF($E303="","",I303/(1-K303))</f>
        <v/>
      </c>
      <c r="N303" s="31">
        <f>IF($E303="","",(B303+C303+D303)*Rate_Builder)</f>
        <v/>
      </c>
      <c r="O303" s="31">
        <f>IF($E303="","",E303*K303/(1-K303))</f>
        <v/>
      </c>
      <c r="P303" s="34">
        <f>IF(OR($E303="",B303=0),"",L303/B303*10000)</f>
        <v/>
      </c>
      <c r="Q303" s="34">
        <f>IF(OR($E303="",C303=0),"",F303/C303*10000)</f>
        <v/>
      </c>
      <c r="R303" s="34">
        <f>IF(OR($E303="",D303=0),"",'Daily Data'!I303/D303*10000)</f>
        <v/>
      </c>
    </row>
    <row r="304">
      <c r="A304" s="30" t="n">
        <v>45958</v>
      </c>
      <c r="B304" s="31">
        <f>'Daily Data'!B304-'Daily Data'!D304</f>
        <v/>
      </c>
      <c r="C304" s="32">
        <f>'Daily Data'!D304</f>
        <v/>
      </c>
      <c r="D304" s="32">
        <f>'Daily Data'!C304</f>
        <v/>
      </c>
      <c r="E304" s="32">
        <f>IF('Daily Data'!E304="","",'Daily Data'!E304)</f>
        <v/>
      </c>
      <c r="F304" s="32">
        <f>IF($E304="","",'Daily Data'!F304)</f>
        <v/>
      </c>
      <c r="G304" s="32">
        <f>IF($E304="","",'Daily Data'!G304)</f>
        <v/>
      </c>
      <c r="H304" s="31">
        <f>IF($E304="","",F304-G304)</f>
        <v/>
      </c>
      <c r="I304" s="32">
        <f>IF($E304="","",'Daily Data'!H304)</f>
        <v/>
      </c>
      <c r="J304" s="31">
        <f>IF($E304="","",E304-H304-I304)</f>
        <v/>
      </c>
      <c r="K304" s="33">
        <f>IF($E304="","",IF(A304&lt;HLP_ChangeDate,HLP_Legacy,HLP_Current))</f>
        <v/>
      </c>
      <c r="L304" s="31">
        <f>IF($E304="","",J304/(1-K304))</f>
        <v/>
      </c>
      <c r="M304" s="31">
        <f>IF($E304="","",I304/(1-K304))</f>
        <v/>
      </c>
      <c r="N304" s="31">
        <f>IF($E304="","",(B304+C304+D304)*Rate_Builder)</f>
        <v/>
      </c>
      <c r="O304" s="31">
        <f>IF($E304="","",E304*K304/(1-K304))</f>
        <v/>
      </c>
      <c r="P304" s="34">
        <f>IF(OR($E304="",B304=0),"",L304/B304*10000)</f>
        <v/>
      </c>
      <c r="Q304" s="34">
        <f>IF(OR($E304="",C304=0),"",F304/C304*10000)</f>
        <v/>
      </c>
      <c r="R304" s="34">
        <f>IF(OR($E304="",D304=0),"",'Daily Data'!I304/D304*10000)</f>
        <v/>
      </c>
    </row>
    <row r="305">
      <c r="A305" s="30" t="n">
        <v>45959</v>
      </c>
      <c r="B305" s="31">
        <f>'Daily Data'!B305-'Daily Data'!D305</f>
        <v/>
      </c>
      <c r="C305" s="32">
        <f>'Daily Data'!D305</f>
        <v/>
      </c>
      <c r="D305" s="32">
        <f>'Daily Data'!C305</f>
        <v/>
      </c>
      <c r="E305" s="32">
        <f>IF('Daily Data'!E305="","",'Daily Data'!E305)</f>
        <v/>
      </c>
      <c r="F305" s="32">
        <f>IF($E305="","",'Daily Data'!F305)</f>
        <v/>
      </c>
      <c r="G305" s="32">
        <f>IF($E305="","",'Daily Data'!G305)</f>
        <v/>
      </c>
      <c r="H305" s="31">
        <f>IF($E305="","",F305-G305)</f>
        <v/>
      </c>
      <c r="I305" s="32">
        <f>IF($E305="","",'Daily Data'!H305)</f>
        <v/>
      </c>
      <c r="J305" s="31">
        <f>IF($E305="","",E305-H305-I305)</f>
        <v/>
      </c>
      <c r="K305" s="33">
        <f>IF($E305="","",IF(A305&lt;HLP_ChangeDate,HLP_Legacy,HLP_Current))</f>
        <v/>
      </c>
      <c r="L305" s="31">
        <f>IF($E305="","",J305/(1-K305))</f>
        <v/>
      </c>
      <c r="M305" s="31">
        <f>IF($E305="","",I305/(1-K305))</f>
        <v/>
      </c>
      <c r="N305" s="31">
        <f>IF($E305="","",(B305+C305+D305)*Rate_Builder)</f>
        <v/>
      </c>
      <c r="O305" s="31">
        <f>IF($E305="","",E305*K305/(1-K305))</f>
        <v/>
      </c>
      <c r="P305" s="34">
        <f>IF(OR($E305="",B305=0),"",L305/B305*10000)</f>
        <v/>
      </c>
      <c r="Q305" s="34">
        <f>IF(OR($E305="",C305=0),"",F305/C305*10000)</f>
        <v/>
      </c>
      <c r="R305" s="34">
        <f>IF(OR($E305="",D305=0),"",'Daily Data'!I305/D305*10000)</f>
        <v/>
      </c>
    </row>
    <row r="306">
      <c r="A306" s="30" t="n">
        <v>45960</v>
      </c>
      <c r="B306" s="31">
        <f>'Daily Data'!B306-'Daily Data'!D306</f>
        <v/>
      </c>
      <c r="C306" s="32">
        <f>'Daily Data'!D306</f>
        <v/>
      </c>
      <c r="D306" s="32">
        <f>'Daily Data'!C306</f>
        <v/>
      </c>
      <c r="E306" s="32">
        <f>IF('Daily Data'!E306="","",'Daily Data'!E306)</f>
        <v/>
      </c>
      <c r="F306" s="32">
        <f>IF($E306="","",'Daily Data'!F306)</f>
        <v/>
      </c>
      <c r="G306" s="32">
        <f>IF($E306="","",'Daily Data'!G306)</f>
        <v/>
      </c>
      <c r="H306" s="31">
        <f>IF($E306="","",F306-G306)</f>
        <v/>
      </c>
      <c r="I306" s="32">
        <f>IF($E306="","",'Daily Data'!H306)</f>
        <v/>
      </c>
      <c r="J306" s="31">
        <f>IF($E306="","",E306-H306-I306)</f>
        <v/>
      </c>
      <c r="K306" s="33">
        <f>IF($E306="","",IF(A306&lt;HLP_ChangeDate,HLP_Legacy,HLP_Current))</f>
        <v/>
      </c>
      <c r="L306" s="31">
        <f>IF($E306="","",J306/(1-K306))</f>
        <v/>
      </c>
      <c r="M306" s="31">
        <f>IF($E306="","",I306/(1-K306))</f>
        <v/>
      </c>
      <c r="N306" s="31">
        <f>IF($E306="","",(B306+C306+D306)*Rate_Builder)</f>
        <v/>
      </c>
      <c r="O306" s="31">
        <f>IF($E306="","",E306*K306/(1-K306))</f>
        <v/>
      </c>
      <c r="P306" s="34">
        <f>IF(OR($E306="",B306=0),"",L306/B306*10000)</f>
        <v/>
      </c>
      <c r="Q306" s="34">
        <f>IF(OR($E306="",C306=0),"",F306/C306*10000)</f>
        <v/>
      </c>
      <c r="R306" s="34">
        <f>IF(OR($E306="",D306=0),"",'Daily Data'!I306/D306*10000)</f>
        <v/>
      </c>
    </row>
    <row r="307">
      <c r="A307" s="30" t="n">
        <v>45961</v>
      </c>
      <c r="B307" s="31">
        <f>'Daily Data'!B307-'Daily Data'!D307</f>
        <v/>
      </c>
      <c r="C307" s="32">
        <f>'Daily Data'!D307</f>
        <v/>
      </c>
      <c r="D307" s="32">
        <f>'Daily Data'!C307</f>
        <v/>
      </c>
      <c r="E307" s="32">
        <f>IF('Daily Data'!E307="","",'Daily Data'!E307)</f>
        <v/>
      </c>
      <c r="F307" s="32">
        <f>IF($E307="","",'Daily Data'!F307)</f>
        <v/>
      </c>
      <c r="G307" s="32">
        <f>IF($E307="","",'Daily Data'!G307)</f>
        <v/>
      </c>
      <c r="H307" s="31">
        <f>IF($E307="","",F307-G307)</f>
        <v/>
      </c>
      <c r="I307" s="32">
        <f>IF($E307="","",'Daily Data'!H307)</f>
        <v/>
      </c>
      <c r="J307" s="31">
        <f>IF($E307="","",E307-H307-I307)</f>
        <v/>
      </c>
      <c r="K307" s="33">
        <f>IF($E307="","",IF(A307&lt;HLP_ChangeDate,HLP_Legacy,HLP_Current))</f>
        <v/>
      </c>
      <c r="L307" s="31">
        <f>IF($E307="","",J307/(1-K307))</f>
        <v/>
      </c>
      <c r="M307" s="31">
        <f>IF($E307="","",I307/(1-K307))</f>
        <v/>
      </c>
      <c r="N307" s="31">
        <f>IF($E307="","",(B307+C307+D307)*Rate_Builder)</f>
        <v/>
      </c>
      <c r="O307" s="31">
        <f>IF($E307="","",E307*K307/(1-K307))</f>
        <v/>
      </c>
      <c r="P307" s="34">
        <f>IF(OR($E307="",B307=0),"",L307/B307*10000)</f>
        <v/>
      </c>
      <c r="Q307" s="34">
        <f>IF(OR($E307="",C307=0),"",F307/C307*10000)</f>
        <v/>
      </c>
      <c r="R307" s="34">
        <f>IF(OR($E307="",D307=0),"",'Daily Data'!I307/D307*10000)</f>
        <v/>
      </c>
    </row>
    <row r="308">
      <c r="A308" s="30" t="n">
        <v>45962</v>
      </c>
      <c r="B308" s="31">
        <f>'Daily Data'!B308-'Daily Data'!D308</f>
        <v/>
      </c>
      <c r="C308" s="32">
        <f>'Daily Data'!D308</f>
        <v/>
      </c>
      <c r="D308" s="32">
        <f>'Daily Data'!C308</f>
        <v/>
      </c>
      <c r="E308" s="32">
        <f>IF('Daily Data'!E308="","",'Daily Data'!E308)</f>
        <v/>
      </c>
      <c r="F308" s="32">
        <f>IF($E308="","",'Daily Data'!F308)</f>
        <v/>
      </c>
      <c r="G308" s="32">
        <f>IF($E308="","",'Daily Data'!G308)</f>
        <v/>
      </c>
      <c r="H308" s="31">
        <f>IF($E308="","",F308-G308)</f>
        <v/>
      </c>
      <c r="I308" s="32">
        <f>IF($E308="","",'Daily Data'!H308)</f>
        <v/>
      </c>
      <c r="J308" s="31">
        <f>IF($E308="","",E308-H308-I308)</f>
        <v/>
      </c>
      <c r="K308" s="33">
        <f>IF($E308="","",IF(A308&lt;HLP_ChangeDate,HLP_Legacy,HLP_Current))</f>
        <v/>
      </c>
      <c r="L308" s="31">
        <f>IF($E308="","",J308/(1-K308))</f>
        <v/>
      </c>
      <c r="M308" s="31">
        <f>IF($E308="","",I308/(1-K308))</f>
        <v/>
      </c>
      <c r="N308" s="31">
        <f>IF($E308="","",(B308+C308+D308)*Rate_Builder)</f>
        <v/>
      </c>
      <c r="O308" s="31">
        <f>IF($E308="","",E308*K308/(1-K308))</f>
        <v/>
      </c>
      <c r="P308" s="34">
        <f>IF(OR($E308="",B308=0),"",L308/B308*10000)</f>
        <v/>
      </c>
      <c r="Q308" s="34">
        <f>IF(OR($E308="",C308=0),"",F308/C308*10000)</f>
        <v/>
      </c>
      <c r="R308" s="34">
        <f>IF(OR($E308="",D308=0),"",'Daily Data'!I308/D308*10000)</f>
        <v/>
      </c>
    </row>
    <row r="309">
      <c r="A309" s="30" t="n">
        <v>45963</v>
      </c>
      <c r="B309" s="31">
        <f>'Daily Data'!B309-'Daily Data'!D309</f>
        <v/>
      </c>
      <c r="C309" s="32">
        <f>'Daily Data'!D309</f>
        <v/>
      </c>
      <c r="D309" s="32">
        <f>'Daily Data'!C309</f>
        <v/>
      </c>
      <c r="E309" s="32">
        <f>IF('Daily Data'!E309="","",'Daily Data'!E309)</f>
        <v/>
      </c>
      <c r="F309" s="32">
        <f>IF($E309="","",'Daily Data'!F309)</f>
        <v/>
      </c>
      <c r="G309" s="32">
        <f>IF($E309="","",'Daily Data'!G309)</f>
        <v/>
      </c>
      <c r="H309" s="31">
        <f>IF($E309="","",F309-G309)</f>
        <v/>
      </c>
      <c r="I309" s="32">
        <f>IF($E309="","",'Daily Data'!H309)</f>
        <v/>
      </c>
      <c r="J309" s="31">
        <f>IF($E309="","",E309-H309-I309)</f>
        <v/>
      </c>
      <c r="K309" s="33">
        <f>IF($E309="","",IF(A309&lt;HLP_ChangeDate,HLP_Legacy,HLP_Current))</f>
        <v/>
      </c>
      <c r="L309" s="31">
        <f>IF($E309="","",J309/(1-K309))</f>
        <v/>
      </c>
      <c r="M309" s="31">
        <f>IF($E309="","",I309/(1-K309))</f>
        <v/>
      </c>
      <c r="N309" s="31">
        <f>IF($E309="","",(B309+C309+D309)*Rate_Builder)</f>
        <v/>
      </c>
      <c r="O309" s="31">
        <f>IF($E309="","",E309*K309/(1-K309))</f>
        <v/>
      </c>
      <c r="P309" s="34">
        <f>IF(OR($E309="",B309=0),"",L309/B309*10000)</f>
        <v/>
      </c>
      <c r="Q309" s="34">
        <f>IF(OR($E309="",C309=0),"",F309/C309*10000)</f>
        <v/>
      </c>
      <c r="R309" s="34">
        <f>IF(OR($E309="",D309=0),"",'Daily Data'!I309/D309*10000)</f>
        <v/>
      </c>
    </row>
    <row r="310">
      <c r="A310" s="30" t="n">
        <v>45964</v>
      </c>
      <c r="B310" s="31">
        <f>'Daily Data'!B310-'Daily Data'!D310</f>
        <v/>
      </c>
      <c r="C310" s="32">
        <f>'Daily Data'!D310</f>
        <v/>
      </c>
      <c r="D310" s="32">
        <f>'Daily Data'!C310</f>
        <v/>
      </c>
      <c r="E310" s="32">
        <f>IF('Daily Data'!E310="","",'Daily Data'!E310)</f>
        <v/>
      </c>
      <c r="F310" s="32">
        <f>IF($E310="","",'Daily Data'!F310)</f>
        <v/>
      </c>
      <c r="G310" s="32">
        <f>IF($E310="","",'Daily Data'!G310)</f>
        <v/>
      </c>
      <c r="H310" s="31">
        <f>IF($E310="","",F310-G310)</f>
        <v/>
      </c>
      <c r="I310" s="32">
        <f>IF($E310="","",'Daily Data'!H310)</f>
        <v/>
      </c>
      <c r="J310" s="31">
        <f>IF($E310="","",E310-H310-I310)</f>
        <v/>
      </c>
      <c r="K310" s="33">
        <f>IF($E310="","",IF(A310&lt;HLP_ChangeDate,HLP_Legacy,HLP_Current))</f>
        <v/>
      </c>
      <c r="L310" s="31">
        <f>IF($E310="","",J310/(1-K310))</f>
        <v/>
      </c>
      <c r="M310" s="31">
        <f>IF($E310="","",I310/(1-K310))</f>
        <v/>
      </c>
      <c r="N310" s="31">
        <f>IF($E310="","",(B310+C310+D310)*Rate_Builder)</f>
        <v/>
      </c>
      <c r="O310" s="31">
        <f>IF($E310="","",E310*K310/(1-K310))</f>
        <v/>
      </c>
      <c r="P310" s="34">
        <f>IF(OR($E310="",B310=0),"",L310/B310*10000)</f>
        <v/>
      </c>
      <c r="Q310" s="34">
        <f>IF(OR($E310="",C310=0),"",F310/C310*10000)</f>
        <v/>
      </c>
      <c r="R310" s="34">
        <f>IF(OR($E310="",D310=0),"",'Daily Data'!I310/D310*10000)</f>
        <v/>
      </c>
    </row>
    <row r="311">
      <c r="A311" s="30" t="n">
        <v>45965</v>
      </c>
      <c r="B311" s="31">
        <f>'Daily Data'!B311-'Daily Data'!D311</f>
        <v/>
      </c>
      <c r="C311" s="32">
        <f>'Daily Data'!D311</f>
        <v/>
      </c>
      <c r="D311" s="32">
        <f>'Daily Data'!C311</f>
        <v/>
      </c>
      <c r="E311" s="32">
        <f>IF('Daily Data'!E311="","",'Daily Data'!E311)</f>
        <v/>
      </c>
      <c r="F311" s="32">
        <f>IF($E311="","",'Daily Data'!F311)</f>
        <v/>
      </c>
      <c r="G311" s="32">
        <f>IF($E311="","",'Daily Data'!G311)</f>
        <v/>
      </c>
      <c r="H311" s="31">
        <f>IF($E311="","",F311-G311)</f>
        <v/>
      </c>
      <c r="I311" s="32">
        <f>IF($E311="","",'Daily Data'!H311)</f>
        <v/>
      </c>
      <c r="J311" s="31">
        <f>IF($E311="","",E311-H311-I311)</f>
        <v/>
      </c>
      <c r="K311" s="33">
        <f>IF($E311="","",IF(A311&lt;HLP_ChangeDate,HLP_Legacy,HLP_Current))</f>
        <v/>
      </c>
      <c r="L311" s="31">
        <f>IF($E311="","",J311/(1-K311))</f>
        <v/>
      </c>
      <c r="M311" s="31">
        <f>IF($E311="","",I311/(1-K311))</f>
        <v/>
      </c>
      <c r="N311" s="31">
        <f>IF($E311="","",(B311+C311+D311)*Rate_Builder)</f>
        <v/>
      </c>
      <c r="O311" s="31">
        <f>IF($E311="","",E311*K311/(1-K311))</f>
        <v/>
      </c>
      <c r="P311" s="34">
        <f>IF(OR($E311="",B311=0),"",L311/B311*10000)</f>
        <v/>
      </c>
      <c r="Q311" s="34">
        <f>IF(OR($E311="",C311=0),"",F311/C311*10000)</f>
        <v/>
      </c>
      <c r="R311" s="34">
        <f>IF(OR($E311="",D311=0),"",'Daily Data'!I311/D311*10000)</f>
        <v/>
      </c>
    </row>
    <row r="312">
      <c r="A312" s="30" t="n">
        <v>45966</v>
      </c>
      <c r="B312" s="31">
        <f>'Daily Data'!B312-'Daily Data'!D312</f>
        <v/>
      </c>
      <c r="C312" s="32">
        <f>'Daily Data'!D312</f>
        <v/>
      </c>
      <c r="D312" s="32">
        <f>'Daily Data'!C312</f>
        <v/>
      </c>
      <c r="E312" s="32">
        <f>IF('Daily Data'!E312="","",'Daily Data'!E312)</f>
        <v/>
      </c>
      <c r="F312" s="32">
        <f>IF($E312="","",'Daily Data'!F312)</f>
        <v/>
      </c>
      <c r="G312" s="32">
        <f>IF($E312="","",'Daily Data'!G312)</f>
        <v/>
      </c>
      <c r="H312" s="31">
        <f>IF($E312="","",F312-G312)</f>
        <v/>
      </c>
      <c r="I312" s="32">
        <f>IF($E312="","",'Daily Data'!H312)</f>
        <v/>
      </c>
      <c r="J312" s="31">
        <f>IF($E312="","",E312-H312-I312)</f>
        <v/>
      </c>
      <c r="K312" s="33">
        <f>IF($E312="","",IF(A312&lt;HLP_ChangeDate,HLP_Legacy,HLP_Current))</f>
        <v/>
      </c>
      <c r="L312" s="31">
        <f>IF($E312="","",J312/(1-K312))</f>
        <v/>
      </c>
      <c r="M312" s="31">
        <f>IF($E312="","",I312/(1-K312))</f>
        <v/>
      </c>
      <c r="N312" s="31">
        <f>IF($E312="","",(B312+C312+D312)*Rate_Builder)</f>
        <v/>
      </c>
      <c r="O312" s="31">
        <f>IF($E312="","",E312*K312/(1-K312))</f>
        <v/>
      </c>
      <c r="P312" s="34">
        <f>IF(OR($E312="",B312=0),"",L312/B312*10000)</f>
        <v/>
      </c>
      <c r="Q312" s="34">
        <f>IF(OR($E312="",C312=0),"",F312/C312*10000)</f>
        <v/>
      </c>
      <c r="R312" s="34">
        <f>IF(OR($E312="",D312=0),"",'Daily Data'!I312/D312*10000)</f>
        <v/>
      </c>
    </row>
    <row r="313">
      <c r="A313" s="30" t="n">
        <v>45967</v>
      </c>
      <c r="B313" s="31">
        <f>'Daily Data'!B313-'Daily Data'!D313</f>
        <v/>
      </c>
      <c r="C313" s="32">
        <f>'Daily Data'!D313</f>
        <v/>
      </c>
      <c r="D313" s="32">
        <f>'Daily Data'!C313</f>
        <v/>
      </c>
      <c r="E313" s="32">
        <f>IF('Daily Data'!E313="","",'Daily Data'!E313)</f>
        <v/>
      </c>
      <c r="F313" s="32">
        <f>IF($E313="","",'Daily Data'!F313)</f>
        <v/>
      </c>
      <c r="G313" s="32">
        <f>IF($E313="","",'Daily Data'!G313)</f>
        <v/>
      </c>
      <c r="H313" s="31">
        <f>IF($E313="","",F313-G313)</f>
        <v/>
      </c>
      <c r="I313" s="32">
        <f>IF($E313="","",'Daily Data'!H313)</f>
        <v/>
      </c>
      <c r="J313" s="31">
        <f>IF($E313="","",E313-H313-I313)</f>
        <v/>
      </c>
      <c r="K313" s="33">
        <f>IF($E313="","",IF(A313&lt;HLP_ChangeDate,HLP_Legacy,HLP_Current))</f>
        <v/>
      </c>
      <c r="L313" s="31">
        <f>IF($E313="","",J313/(1-K313))</f>
        <v/>
      </c>
      <c r="M313" s="31">
        <f>IF($E313="","",I313/(1-K313))</f>
        <v/>
      </c>
      <c r="N313" s="31">
        <f>IF($E313="","",(B313+C313+D313)*Rate_Builder)</f>
        <v/>
      </c>
      <c r="O313" s="31">
        <f>IF($E313="","",E313*K313/(1-K313))</f>
        <v/>
      </c>
      <c r="P313" s="34">
        <f>IF(OR($E313="",B313=0),"",L313/B313*10000)</f>
        <v/>
      </c>
      <c r="Q313" s="34">
        <f>IF(OR($E313="",C313=0),"",F313/C313*10000)</f>
        <v/>
      </c>
      <c r="R313" s="34">
        <f>IF(OR($E313="",D313=0),"",'Daily Data'!I313/D313*10000)</f>
        <v/>
      </c>
    </row>
    <row r="314">
      <c r="A314" s="30" t="n">
        <v>45968</v>
      </c>
      <c r="B314" s="31">
        <f>'Daily Data'!B314-'Daily Data'!D314</f>
        <v/>
      </c>
      <c r="C314" s="32">
        <f>'Daily Data'!D314</f>
        <v/>
      </c>
      <c r="D314" s="32">
        <f>'Daily Data'!C314</f>
        <v/>
      </c>
      <c r="E314" s="32">
        <f>IF('Daily Data'!E314="","",'Daily Data'!E314)</f>
        <v/>
      </c>
      <c r="F314" s="32">
        <f>IF($E314="","",'Daily Data'!F314)</f>
        <v/>
      </c>
      <c r="G314" s="32">
        <f>IF($E314="","",'Daily Data'!G314)</f>
        <v/>
      </c>
      <c r="H314" s="31">
        <f>IF($E314="","",F314-G314)</f>
        <v/>
      </c>
      <c r="I314" s="32">
        <f>IF($E314="","",'Daily Data'!H314)</f>
        <v/>
      </c>
      <c r="J314" s="31">
        <f>IF($E314="","",E314-H314-I314)</f>
        <v/>
      </c>
      <c r="K314" s="33">
        <f>IF($E314="","",IF(A314&lt;HLP_ChangeDate,HLP_Legacy,HLP_Current))</f>
        <v/>
      </c>
      <c r="L314" s="31">
        <f>IF($E314="","",J314/(1-K314))</f>
        <v/>
      </c>
      <c r="M314" s="31">
        <f>IF($E314="","",I314/(1-K314))</f>
        <v/>
      </c>
      <c r="N314" s="31">
        <f>IF($E314="","",(B314+C314+D314)*Rate_Builder)</f>
        <v/>
      </c>
      <c r="O314" s="31">
        <f>IF($E314="","",E314*K314/(1-K314))</f>
        <v/>
      </c>
      <c r="P314" s="34">
        <f>IF(OR($E314="",B314=0),"",L314/B314*10000)</f>
        <v/>
      </c>
      <c r="Q314" s="34">
        <f>IF(OR($E314="",C314=0),"",F314/C314*10000)</f>
        <v/>
      </c>
      <c r="R314" s="34">
        <f>IF(OR($E314="",D314=0),"",'Daily Data'!I314/D314*10000)</f>
        <v/>
      </c>
    </row>
    <row r="315">
      <c r="A315" s="30" t="n">
        <v>45969</v>
      </c>
      <c r="B315" s="31">
        <f>'Daily Data'!B315-'Daily Data'!D315</f>
        <v/>
      </c>
      <c r="C315" s="32">
        <f>'Daily Data'!D315</f>
        <v/>
      </c>
      <c r="D315" s="32">
        <f>'Daily Data'!C315</f>
        <v/>
      </c>
      <c r="E315" s="32">
        <f>IF('Daily Data'!E315="","",'Daily Data'!E315)</f>
        <v/>
      </c>
      <c r="F315" s="32">
        <f>IF($E315="","",'Daily Data'!F315)</f>
        <v/>
      </c>
      <c r="G315" s="32">
        <f>IF($E315="","",'Daily Data'!G315)</f>
        <v/>
      </c>
      <c r="H315" s="31">
        <f>IF($E315="","",F315-G315)</f>
        <v/>
      </c>
      <c r="I315" s="32">
        <f>IF($E315="","",'Daily Data'!H315)</f>
        <v/>
      </c>
      <c r="J315" s="31">
        <f>IF($E315="","",E315-H315-I315)</f>
        <v/>
      </c>
      <c r="K315" s="33">
        <f>IF($E315="","",IF(A315&lt;HLP_ChangeDate,HLP_Legacy,HLP_Current))</f>
        <v/>
      </c>
      <c r="L315" s="31">
        <f>IF($E315="","",J315/(1-K315))</f>
        <v/>
      </c>
      <c r="M315" s="31">
        <f>IF($E315="","",I315/(1-K315))</f>
        <v/>
      </c>
      <c r="N315" s="31">
        <f>IF($E315="","",(B315+C315+D315)*Rate_Builder)</f>
        <v/>
      </c>
      <c r="O315" s="31">
        <f>IF($E315="","",E315*K315/(1-K315))</f>
        <v/>
      </c>
      <c r="P315" s="34">
        <f>IF(OR($E315="",B315=0),"",L315/B315*10000)</f>
        <v/>
      </c>
      <c r="Q315" s="34">
        <f>IF(OR($E315="",C315=0),"",F315/C315*10000)</f>
        <v/>
      </c>
      <c r="R315" s="34">
        <f>IF(OR($E315="",D315=0),"",'Daily Data'!I315/D315*10000)</f>
        <v/>
      </c>
    </row>
    <row r="316">
      <c r="A316" s="30" t="n">
        <v>45970</v>
      </c>
      <c r="B316" s="31">
        <f>'Daily Data'!B316-'Daily Data'!D316</f>
        <v/>
      </c>
      <c r="C316" s="32">
        <f>'Daily Data'!D316</f>
        <v/>
      </c>
      <c r="D316" s="32">
        <f>'Daily Data'!C316</f>
        <v/>
      </c>
      <c r="E316" s="32">
        <f>IF('Daily Data'!E316="","",'Daily Data'!E316)</f>
        <v/>
      </c>
      <c r="F316" s="32">
        <f>IF($E316="","",'Daily Data'!F316)</f>
        <v/>
      </c>
      <c r="G316" s="32">
        <f>IF($E316="","",'Daily Data'!G316)</f>
        <v/>
      </c>
      <c r="H316" s="31">
        <f>IF($E316="","",F316-G316)</f>
        <v/>
      </c>
      <c r="I316" s="32">
        <f>IF($E316="","",'Daily Data'!H316)</f>
        <v/>
      </c>
      <c r="J316" s="31">
        <f>IF($E316="","",E316-H316-I316)</f>
        <v/>
      </c>
      <c r="K316" s="33">
        <f>IF($E316="","",IF(A316&lt;HLP_ChangeDate,HLP_Legacy,HLP_Current))</f>
        <v/>
      </c>
      <c r="L316" s="31">
        <f>IF($E316="","",J316/(1-K316))</f>
        <v/>
      </c>
      <c r="M316" s="31">
        <f>IF($E316="","",I316/(1-K316))</f>
        <v/>
      </c>
      <c r="N316" s="31">
        <f>IF($E316="","",(B316+C316+D316)*Rate_Builder)</f>
        <v/>
      </c>
      <c r="O316" s="31">
        <f>IF($E316="","",E316*K316/(1-K316))</f>
        <v/>
      </c>
      <c r="P316" s="34">
        <f>IF(OR($E316="",B316=0),"",L316/B316*10000)</f>
        <v/>
      </c>
      <c r="Q316" s="34">
        <f>IF(OR($E316="",C316=0),"",F316/C316*10000)</f>
        <v/>
      </c>
      <c r="R316" s="34">
        <f>IF(OR($E316="",D316=0),"",'Daily Data'!I316/D316*10000)</f>
        <v/>
      </c>
    </row>
    <row r="317">
      <c r="A317" s="30" t="n">
        <v>45971</v>
      </c>
      <c r="B317" s="31">
        <f>'Daily Data'!B317-'Daily Data'!D317</f>
        <v/>
      </c>
      <c r="C317" s="32">
        <f>'Daily Data'!D317</f>
        <v/>
      </c>
      <c r="D317" s="32">
        <f>'Daily Data'!C317</f>
        <v/>
      </c>
      <c r="E317" s="32">
        <f>IF('Daily Data'!E317="","",'Daily Data'!E317)</f>
        <v/>
      </c>
      <c r="F317" s="32">
        <f>IF($E317="","",'Daily Data'!F317)</f>
        <v/>
      </c>
      <c r="G317" s="32">
        <f>IF($E317="","",'Daily Data'!G317)</f>
        <v/>
      </c>
      <c r="H317" s="31">
        <f>IF($E317="","",F317-G317)</f>
        <v/>
      </c>
      <c r="I317" s="32">
        <f>IF($E317="","",'Daily Data'!H317)</f>
        <v/>
      </c>
      <c r="J317" s="31">
        <f>IF($E317="","",E317-H317-I317)</f>
        <v/>
      </c>
      <c r="K317" s="33">
        <f>IF($E317="","",IF(A317&lt;HLP_ChangeDate,HLP_Legacy,HLP_Current))</f>
        <v/>
      </c>
      <c r="L317" s="31">
        <f>IF($E317="","",J317/(1-K317))</f>
        <v/>
      </c>
      <c r="M317" s="31">
        <f>IF($E317="","",I317/(1-K317))</f>
        <v/>
      </c>
      <c r="N317" s="31">
        <f>IF($E317="","",(B317+C317+D317)*Rate_Builder)</f>
        <v/>
      </c>
      <c r="O317" s="31">
        <f>IF($E317="","",E317*K317/(1-K317))</f>
        <v/>
      </c>
      <c r="P317" s="34">
        <f>IF(OR($E317="",B317=0),"",L317/B317*10000)</f>
        <v/>
      </c>
      <c r="Q317" s="34">
        <f>IF(OR($E317="",C317=0),"",F317/C317*10000)</f>
        <v/>
      </c>
      <c r="R317" s="34">
        <f>IF(OR($E317="",D317=0),"",'Daily Data'!I317/D317*10000)</f>
        <v/>
      </c>
    </row>
    <row r="318">
      <c r="A318" s="30" t="n">
        <v>45972</v>
      </c>
      <c r="B318" s="31">
        <f>'Daily Data'!B318-'Daily Data'!D318</f>
        <v/>
      </c>
      <c r="C318" s="32">
        <f>'Daily Data'!D318</f>
        <v/>
      </c>
      <c r="D318" s="32">
        <f>'Daily Data'!C318</f>
        <v/>
      </c>
      <c r="E318" s="32">
        <f>IF('Daily Data'!E318="","",'Daily Data'!E318)</f>
        <v/>
      </c>
      <c r="F318" s="32">
        <f>IF($E318="","",'Daily Data'!F318)</f>
        <v/>
      </c>
      <c r="G318" s="32">
        <f>IF($E318="","",'Daily Data'!G318)</f>
        <v/>
      </c>
      <c r="H318" s="31">
        <f>IF($E318="","",F318-G318)</f>
        <v/>
      </c>
      <c r="I318" s="32">
        <f>IF($E318="","",'Daily Data'!H318)</f>
        <v/>
      </c>
      <c r="J318" s="31">
        <f>IF($E318="","",E318-H318-I318)</f>
        <v/>
      </c>
      <c r="K318" s="33">
        <f>IF($E318="","",IF(A318&lt;HLP_ChangeDate,HLP_Legacy,HLP_Current))</f>
        <v/>
      </c>
      <c r="L318" s="31">
        <f>IF($E318="","",J318/(1-K318))</f>
        <v/>
      </c>
      <c r="M318" s="31">
        <f>IF($E318="","",I318/(1-K318))</f>
        <v/>
      </c>
      <c r="N318" s="31">
        <f>IF($E318="","",(B318+C318+D318)*Rate_Builder)</f>
        <v/>
      </c>
      <c r="O318" s="31">
        <f>IF($E318="","",E318*K318/(1-K318))</f>
        <v/>
      </c>
      <c r="P318" s="34">
        <f>IF(OR($E318="",B318=0),"",L318/B318*10000)</f>
        <v/>
      </c>
      <c r="Q318" s="34">
        <f>IF(OR($E318="",C318=0),"",F318/C318*10000)</f>
        <v/>
      </c>
      <c r="R318" s="34">
        <f>IF(OR($E318="",D318=0),"",'Daily Data'!I318/D318*10000)</f>
        <v/>
      </c>
    </row>
    <row r="319">
      <c r="A319" s="30" t="n">
        <v>45973</v>
      </c>
      <c r="B319" s="31">
        <f>'Daily Data'!B319-'Daily Data'!D319</f>
        <v/>
      </c>
      <c r="C319" s="32">
        <f>'Daily Data'!D319</f>
        <v/>
      </c>
      <c r="D319" s="32">
        <f>'Daily Data'!C319</f>
        <v/>
      </c>
      <c r="E319" s="32">
        <f>IF('Daily Data'!E319="","",'Daily Data'!E319)</f>
        <v/>
      </c>
      <c r="F319" s="32">
        <f>IF($E319="","",'Daily Data'!F319)</f>
        <v/>
      </c>
      <c r="G319" s="32">
        <f>IF($E319="","",'Daily Data'!G319)</f>
        <v/>
      </c>
      <c r="H319" s="31">
        <f>IF($E319="","",F319-G319)</f>
        <v/>
      </c>
      <c r="I319" s="32">
        <f>IF($E319="","",'Daily Data'!H319)</f>
        <v/>
      </c>
      <c r="J319" s="31">
        <f>IF($E319="","",E319-H319-I319)</f>
        <v/>
      </c>
      <c r="K319" s="33">
        <f>IF($E319="","",IF(A319&lt;HLP_ChangeDate,HLP_Legacy,HLP_Current))</f>
        <v/>
      </c>
      <c r="L319" s="31">
        <f>IF($E319="","",J319/(1-K319))</f>
        <v/>
      </c>
      <c r="M319" s="31">
        <f>IF($E319="","",I319/(1-K319))</f>
        <v/>
      </c>
      <c r="N319" s="31">
        <f>IF($E319="","",(B319+C319+D319)*Rate_Builder)</f>
        <v/>
      </c>
      <c r="O319" s="31">
        <f>IF($E319="","",E319*K319/(1-K319))</f>
        <v/>
      </c>
      <c r="P319" s="34">
        <f>IF(OR($E319="",B319=0),"",L319/B319*10000)</f>
        <v/>
      </c>
      <c r="Q319" s="34">
        <f>IF(OR($E319="",C319=0),"",F319/C319*10000)</f>
        <v/>
      </c>
      <c r="R319" s="34">
        <f>IF(OR($E319="",D319=0),"",'Daily Data'!I319/D319*10000)</f>
        <v/>
      </c>
    </row>
    <row r="320">
      <c r="A320" s="30" t="n">
        <v>45974</v>
      </c>
      <c r="B320" s="31">
        <f>'Daily Data'!B320-'Daily Data'!D320</f>
        <v/>
      </c>
      <c r="C320" s="32">
        <f>'Daily Data'!D320</f>
        <v/>
      </c>
      <c r="D320" s="32">
        <f>'Daily Data'!C320</f>
        <v/>
      </c>
      <c r="E320" s="32">
        <f>IF('Daily Data'!E320="","",'Daily Data'!E320)</f>
        <v/>
      </c>
      <c r="F320" s="32">
        <f>IF($E320="","",'Daily Data'!F320)</f>
        <v/>
      </c>
      <c r="G320" s="32">
        <f>IF($E320="","",'Daily Data'!G320)</f>
        <v/>
      </c>
      <c r="H320" s="31">
        <f>IF($E320="","",F320-G320)</f>
        <v/>
      </c>
      <c r="I320" s="32">
        <f>IF($E320="","",'Daily Data'!H320)</f>
        <v/>
      </c>
      <c r="J320" s="31">
        <f>IF($E320="","",E320-H320-I320)</f>
        <v/>
      </c>
      <c r="K320" s="33">
        <f>IF($E320="","",IF(A320&lt;HLP_ChangeDate,HLP_Legacy,HLP_Current))</f>
        <v/>
      </c>
      <c r="L320" s="31">
        <f>IF($E320="","",J320/(1-K320))</f>
        <v/>
      </c>
      <c r="M320" s="31">
        <f>IF($E320="","",I320/(1-K320))</f>
        <v/>
      </c>
      <c r="N320" s="31">
        <f>IF($E320="","",(B320+C320+D320)*Rate_Builder)</f>
        <v/>
      </c>
      <c r="O320" s="31">
        <f>IF($E320="","",E320*K320/(1-K320))</f>
        <v/>
      </c>
      <c r="P320" s="34">
        <f>IF(OR($E320="",B320=0),"",L320/B320*10000)</f>
        <v/>
      </c>
      <c r="Q320" s="34">
        <f>IF(OR($E320="",C320=0),"",F320/C320*10000)</f>
        <v/>
      </c>
      <c r="R320" s="34">
        <f>IF(OR($E320="",D320=0),"",'Daily Data'!I320/D320*10000)</f>
        <v/>
      </c>
    </row>
    <row r="321">
      <c r="A321" s="30" t="n">
        <v>45975</v>
      </c>
      <c r="B321" s="31">
        <f>'Daily Data'!B321-'Daily Data'!D321</f>
        <v/>
      </c>
      <c r="C321" s="32">
        <f>'Daily Data'!D321</f>
        <v/>
      </c>
      <c r="D321" s="32">
        <f>'Daily Data'!C321</f>
        <v/>
      </c>
      <c r="E321" s="32">
        <f>IF('Daily Data'!E321="","",'Daily Data'!E321)</f>
        <v/>
      </c>
      <c r="F321" s="32">
        <f>IF($E321="","",'Daily Data'!F321)</f>
        <v/>
      </c>
      <c r="G321" s="32">
        <f>IF($E321="","",'Daily Data'!G321)</f>
        <v/>
      </c>
      <c r="H321" s="31">
        <f>IF($E321="","",F321-G321)</f>
        <v/>
      </c>
      <c r="I321" s="32">
        <f>IF($E321="","",'Daily Data'!H321)</f>
        <v/>
      </c>
      <c r="J321" s="31">
        <f>IF($E321="","",E321-H321-I321)</f>
        <v/>
      </c>
      <c r="K321" s="33">
        <f>IF($E321="","",IF(A321&lt;HLP_ChangeDate,HLP_Legacy,HLP_Current))</f>
        <v/>
      </c>
      <c r="L321" s="31">
        <f>IF($E321="","",J321/(1-K321))</f>
        <v/>
      </c>
      <c r="M321" s="31">
        <f>IF($E321="","",I321/(1-K321))</f>
        <v/>
      </c>
      <c r="N321" s="31">
        <f>IF($E321="","",(B321+C321+D321)*Rate_Builder)</f>
        <v/>
      </c>
      <c r="O321" s="31">
        <f>IF($E321="","",E321*K321/(1-K321))</f>
        <v/>
      </c>
      <c r="P321" s="34">
        <f>IF(OR($E321="",B321=0),"",L321/B321*10000)</f>
        <v/>
      </c>
      <c r="Q321" s="34">
        <f>IF(OR($E321="",C321=0),"",F321/C321*10000)</f>
        <v/>
      </c>
      <c r="R321" s="34">
        <f>IF(OR($E321="",D321=0),"",'Daily Data'!I321/D321*10000)</f>
        <v/>
      </c>
    </row>
    <row r="322">
      <c r="A322" s="30" t="n">
        <v>45976</v>
      </c>
      <c r="B322" s="31">
        <f>'Daily Data'!B322-'Daily Data'!D322</f>
        <v/>
      </c>
      <c r="C322" s="32">
        <f>'Daily Data'!D322</f>
        <v/>
      </c>
      <c r="D322" s="32">
        <f>'Daily Data'!C322</f>
        <v/>
      </c>
      <c r="E322" s="32">
        <f>IF('Daily Data'!E322="","",'Daily Data'!E322)</f>
        <v/>
      </c>
      <c r="F322" s="32">
        <f>IF($E322="","",'Daily Data'!F322)</f>
        <v/>
      </c>
      <c r="G322" s="32">
        <f>IF($E322="","",'Daily Data'!G322)</f>
        <v/>
      </c>
      <c r="H322" s="31">
        <f>IF($E322="","",F322-G322)</f>
        <v/>
      </c>
      <c r="I322" s="32">
        <f>IF($E322="","",'Daily Data'!H322)</f>
        <v/>
      </c>
      <c r="J322" s="31">
        <f>IF($E322="","",E322-H322-I322)</f>
        <v/>
      </c>
      <c r="K322" s="33">
        <f>IF($E322="","",IF(A322&lt;HLP_ChangeDate,HLP_Legacy,HLP_Current))</f>
        <v/>
      </c>
      <c r="L322" s="31">
        <f>IF($E322="","",J322/(1-K322))</f>
        <v/>
      </c>
      <c r="M322" s="31">
        <f>IF($E322="","",I322/(1-K322))</f>
        <v/>
      </c>
      <c r="N322" s="31">
        <f>IF($E322="","",(B322+C322+D322)*Rate_Builder)</f>
        <v/>
      </c>
      <c r="O322" s="31">
        <f>IF($E322="","",E322*K322/(1-K322))</f>
        <v/>
      </c>
      <c r="P322" s="34">
        <f>IF(OR($E322="",B322=0),"",L322/B322*10000)</f>
        <v/>
      </c>
      <c r="Q322" s="34">
        <f>IF(OR($E322="",C322=0),"",F322/C322*10000)</f>
        <v/>
      </c>
      <c r="R322" s="34">
        <f>IF(OR($E322="",D322=0),"",'Daily Data'!I322/D322*10000)</f>
        <v/>
      </c>
    </row>
    <row r="323">
      <c r="A323" s="30" t="n">
        <v>45977</v>
      </c>
      <c r="B323" s="31">
        <f>'Daily Data'!B323-'Daily Data'!D323</f>
        <v/>
      </c>
      <c r="C323" s="32">
        <f>'Daily Data'!D323</f>
        <v/>
      </c>
      <c r="D323" s="32">
        <f>'Daily Data'!C323</f>
        <v/>
      </c>
      <c r="E323" s="32">
        <f>IF('Daily Data'!E323="","",'Daily Data'!E323)</f>
        <v/>
      </c>
      <c r="F323" s="32">
        <f>IF($E323="","",'Daily Data'!F323)</f>
        <v/>
      </c>
      <c r="G323" s="32">
        <f>IF($E323="","",'Daily Data'!G323)</f>
        <v/>
      </c>
      <c r="H323" s="31">
        <f>IF($E323="","",F323-G323)</f>
        <v/>
      </c>
      <c r="I323" s="32">
        <f>IF($E323="","",'Daily Data'!H323)</f>
        <v/>
      </c>
      <c r="J323" s="31">
        <f>IF($E323="","",E323-H323-I323)</f>
        <v/>
      </c>
      <c r="K323" s="33">
        <f>IF($E323="","",IF(A323&lt;HLP_ChangeDate,HLP_Legacy,HLP_Current))</f>
        <v/>
      </c>
      <c r="L323" s="31">
        <f>IF($E323="","",J323/(1-K323))</f>
        <v/>
      </c>
      <c r="M323" s="31">
        <f>IF($E323="","",I323/(1-K323))</f>
        <v/>
      </c>
      <c r="N323" s="31">
        <f>IF($E323="","",(B323+C323+D323)*Rate_Builder)</f>
        <v/>
      </c>
      <c r="O323" s="31">
        <f>IF($E323="","",E323*K323/(1-K323))</f>
        <v/>
      </c>
      <c r="P323" s="34">
        <f>IF(OR($E323="",B323=0),"",L323/B323*10000)</f>
        <v/>
      </c>
      <c r="Q323" s="34">
        <f>IF(OR($E323="",C323=0),"",F323/C323*10000)</f>
        <v/>
      </c>
      <c r="R323" s="34">
        <f>IF(OR($E323="",D323=0),"",'Daily Data'!I323/D323*10000)</f>
        <v/>
      </c>
    </row>
    <row r="324">
      <c r="A324" s="30" t="n">
        <v>45978</v>
      </c>
      <c r="B324" s="31">
        <f>'Daily Data'!B324-'Daily Data'!D324</f>
        <v/>
      </c>
      <c r="C324" s="32">
        <f>'Daily Data'!D324</f>
        <v/>
      </c>
      <c r="D324" s="32">
        <f>'Daily Data'!C324</f>
        <v/>
      </c>
      <c r="E324" s="32">
        <f>IF('Daily Data'!E324="","",'Daily Data'!E324)</f>
        <v/>
      </c>
      <c r="F324" s="32">
        <f>IF($E324="","",'Daily Data'!F324)</f>
        <v/>
      </c>
      <c r="G324" s="32">
        <f>IF($E324="","",'Daily Data'!G324)</f>
        <v/>
      </c>
      <c r="H324" s="31">
        <f>IF($E324="","",F324-G324)</f>
        <v/>
      </c>
      <c r="I324" s="32">
        <f>IF($E324="","",'Daily Data'!H324)</f>
        <v/>
      </c>
      <c r="J324" s="31">
        <f>IF($E324="","",E324-H324-I324)</f>
        <v/>
      </c>
      <c r="K324" s="33">
        <f>IF($E324="","",IF(A324&lt;HLP_ChangeDate,HLP_Legacy,HLP_Current))</f>
        <v/>
      </c>
      <c r="L324" s="31">
        <f>IF($E324="","",J324/(1-K324))</f>
        <v/>
      </c>
      <c r="M324" s="31">
        <f>IF($E324="","",I324/(1-K324))</f>
        <v/>
      </c>
      <c r="N324" s="31">
        <f>IF($E324="","",(B324+C324+D324)*Rate_Builder)</f>
        <v/>
      </c>
      <c r="O324" s="31">
        <f>IF($E324="","",E324*K324/(1-K324))</f>
        <v/>
      </c>
      <c r="P324" s="34">
        <f>IF(OR($E324="",B324=0),"",L324/B324*10000)</f>
        <v/>
      </c>
      <c r="Q324" s="34">
        <f>IF(OR($E324="",C324=0),"",F324/C324*10000)</f>
        <v/>
      </c>
      <c r="R324" s="34">
        <f>IF(OR($E324="",D324=0),"",'Daily Data'!I324/D324*10000)</f>
        <v/>
      </c>
    </row>
    <row r="325">
      <c r="A325" s="30" t="n">
        <v>45979</v>
      </c>
      <c r="B325" s="31">
        <f>'Daily Data'!B325-'Daily Data'!D325</f>
        <v/>
      </c>
      <c r="C325" s="32">
        <f>'Daily Data'!D325</f>
        <v/>
      </c>
      <c r="D325" s="32">
        <f>'Daily Data'!C325</f>
        <v/>
      </c>
      <c r="E325" s="32">
        <f>IF('Daily Data'!E325="","",'Daily Data'!E325)</f>
        <v/>
      </c>
      <c r="F325" s="32">
        <f>IF($E325="","",'Daily Data'!F325)</f>
        <v/>
      </c>
      <c r="G325" s="32">
        <f>IF($E325="","",'Daily Data'!G325)</f>
        <v/>
      </c>
      <c r="H325" s="31">
        <f>IF($E325="","",F325-G325)</f>
        <v/>
      </c>
      <c r="I325" s="32">
        <f>IF($E325="","",'Daily Data'!H325)</f>
        <v/>
      </c>
      <c r="J325" s="31">
        <f>IF($E325="","",E325-H325-I325)</f>
        <v/>
      </c>
      <c r="K325" s="33">
        <f>IF($E325="","",IF(A325&lt;HLP_ChangeDate,HLP_Legacy,HLP_Current))</f>
        <v/>
      </c>
      <c r="L325" s="31">
        <f>IF($E325="","",J325/(1-K325))</f>
        <v/>
      </c>
      <c r="M325" s="31">
        <f>IF($E325="","",I325/(1-K325))</f>
        <v/>
      </c>
      <c r="N325" s="31">
        <f>IF($E325="","",(B325+C325+D325)*Rate_Builder)</f>
        <v/>
      </c>
      <c r="O325" s="31">
        <f>IF($E325="","",E325*K325/(1-K325))</f>
        <v/>
      </c>
      <c r="P325" s="34">
        <f>IF(OR($E325="",B325=0),"",L325/B325*10000)</f>
        <v/>
      </c>
      <c r="Q325" s="34">
        <f>IF(OR($E325="",C325=0),"",F325/C325*10000)</f>
        <v/>
      </c>
      <c r="R325" s="34">
        <f>IF(OR($E325="",D325=0),"",'Daily Data'!I325/D325*10000)</f>
        <v/>
      </c>
    </row>
    <row r="326">
      <c r="A326" s="30" t="n">
        <v>45980</v>
      </c>
      <c r="B326" s="31">
        <f>'Daily Data'!B326-'Daily Data'!D326</f>
        <v/>
      </c>
      <c r="C326" s="32">
        <f>'Daily Data'!D326</f>
        <v/>
      </c>
      <c r="D326" s="32">
        <f>'Daily Data'!C326</f>
        <v/>
      </c>
      <c r="E326" s="32">
        <f>IF('Daily Data'!E326="","",'Daily Data'!E326)</f>
        <v/>
      </c>
      <c r="F326" s="32">
        <f>IF($E326="","",'Daily Data'!F326)</f>
        <v/>
      </c>
      <c r="G326" s="32">
        <f>IF($E326="","",'Daily Data'!G326)</f>
        <v/>
      </c>
      <c r="H326" s="31">
        <f>IF($E326="","",F326-G326)</f>
        <v/>
      </c>
      <c r="I326" s="32">
        <f>IF($E326="","",'Daily Data'!H326)</f>
        <v/>
      </c>
      <c r="J326" s="31">
        <f>IF($E326="","",E326-H326-I326)</f>
        <v/>
      </c>
      <c r="K326" s="33">
        <f>IF($E326="","",IF(A326&lt;HLP_ChangeDate,HLP_Legacy,HLP_Current))</f>
        <v/>
      </c>
      <c r="L326" s="31">
        <f>IF($E326="","",J326/(1-K326))</f>
        <v/>
      </c>
      <c r="M326" s="31">
        <f>IF($E326="","",I326/(1-K326))</f>
        <v/>
      </c>
      <c r="N326" s="31">
        <f>IF($E326="","",(B326+C326+D326)*Rate_Builder)</f>
        <v/>
      </c>
      <c r="O326" s="31">
        <f>IF($E326="","",E326*K326/(1-K326))</f>
        <v/>
      </c>
      <c r="P326" s="34">
        <f>IF(OR($E326="",B326=0),"",L326/B326*10000)</f>
        <v/>
      </c>
      <c r="Q326" s="34">
        <f>IF(OR($E326="",C326=0),"",F326/C326*10000)</f>
        <v/>
      </c>
      <c r="R326" s="34">
        <f>IF(OR($E326="",D326=0),"",'Daily Data'!I326/D326*10000)</f>
        <v/>
      </c>
    </row>
    <row r="327">
      <c r="A327" s="30" t="n">
        <v>45981</v>
      </c>
      <c r="B327" s="31">
        <f>'Daily Data'!B327-'Daily Data'!D327</f>
        <v/>
      </c>
      <c r="C327" s="32">
        <f>'Daily Data'!D327</f>
        <v/>
      </c>
      <c r="D327" s="32">
        <f>'Daily Data'!C327</f>
        <v/>
      </c>
      <c r="E327" s="32">
        <f>IF('Daily Data'!E327="","",'Daily Data'!E327)</f>
        <v/>
      </c>
      <c r="F327" s="32">
        <f>IF($E327="","",'Daily Data'!F327)</f>
        <v/>
      </c>
      <c r="G327" s="32">
        <f>IF($E327="","",'Daily Data'!G327)</f>
        <v/>
      </c>
      <c r="H327" s="31">
        <f>IF($E327="","",F327-G327)</f>
        <v/>
      </c>
      <c r="I327" s="32">
        <f>IF($E327="","",'Daily Data'!H327)</f>
        <v/>
      </c>
      <c r="J327" s="31">
        <f>IF($E327="","",E327-H327-I327)</f>
        <v/>
      </c>
      <c r="K327" s="33">
        <f>IF($E327="","",IF(A327&lt;HLP_ChangeDate,HLP_Legacy,HLP_Current))</f>
        <v/>
      </c>
      <c r="L327" s="31">
        <f>IF($E327="","",J327/(1-K327))</f>
        <v/>
      </c>
      <c r="M327" s="31">
        <f>IF($E327="","",I327/(1-K327))</f>
        <v/>
      </c>
      <c r="N327" s="31">
        <f>IF($E327="","",(B327+C327+D327)*Rate_Builder)</f>
        <v/>
      </c>
      <c r="O327" s="31">
        <f>IF($E327="","",E327*K327/(1-K327))</f>
        <v/>
      </c>
      <c r="P327" s="34">
        <f>IF(OR($E327="",B327=0),"",L327/B327*10000)</f>
        <v/>
      </c>
      <c r="Q327" s="34">
        <f>IF(OR($E327="",C327=0),"",F327/C327*10000)</f>
        <v/>
      </c>
      <c r="R327" s="34">
        <f>IF(OR($E327="",D327=0),"",'Daily Data'!I327/D327*10000)</f>
        <v/>
      </c>
    </row>
    <row r="328">
      <c r="A328" s="30" t="n">
        <v>45982</v>
      </c>
      <c r="B328" s="31">
        <f>'Daily Data'!B328-'Daily Data'!D328</f>
        <v/>
      </c>
      <c r="C328" s="32">
        <f>'Daily Data'!D328</f>
        <v/>
      </c>
      <c r="D328" s="32">
        <f>'Daily Data'!C328</f>
        <v/>
      </c>
      <c r="E328" s="32">
        <f>IF('Daily Data'!E328="","",'Daily Data'!E328)</f>
        <v/>
      </c>
      <c r="F328" s="32">
        <f>IF($E328="","",'Daily Data'!F328)</f>
        <v/>
      </c>
      <c r="G328" s="32">
        <f>IF($E328="","",'Daily Data'!G328)</f>
        <v/>
      </c>
      <c r="H328" s="31">
        <f>IF($E328="","",F328-G328)</f>
        <v/>
      </c>
      <c r="I328" s="32">
        <f>IF($E328="","",'Daily Data'!H328)</f>
        <v/>
      </c>
      <c r="J328" s="31">
        <f>IF($E328="","",E328-H328-I328)</f>
        <v/>
      </c>
      <c r="K328" s="33">
        <f>IF($E328="","",IF(A328&lt;HLP_ChangeDate,HLP_Legacy,HLP_Current))</f>
        <v/>
      </c>
      <c r="L328" s="31">
        <f>IF($E328="","",J328/(1-K328))</f>
        <v/>
      </c>
      <c r="M328" s="31">
        <f>IF($E328="","",I328/(1-K328))</f>
        <v/>
      </c>
      <c r="N328" s="31">
        <f>IF($E328="","",(B328+C328+D328)*Rate_Builder)</f>
        <v/>
      </c>
      <c r="O328" s="31">
        <f>IF($E328="","",E328*K328/(1-K328))</f>
        <v/>
      </c>
      <c r="P328" s="34">
        <f>IF(OR($E328="",B328=0),"",L328/B328*10000)</f>
        <v/>
      </c>
      <c r="Q328" s="34">
        <f>IF(OR($E328="",C328=0),"",F328/C328*10000)</f>
        <v/>
      </c>
      <c r="R328" s="34">
        <f>IF(OR($E328="",D328=0),"",'Daily Data'!I328/D328*10000)</f>
        <v/>
      </c>
    </row>
    <row r="329">
      <c r="A329" s="30" t="n">
        <v>45983</v>
      </c>
      <c r="B329" s="31">
        <f>'Daily Data'!B329-'Daily Data'!D329</f>
        <v/>
      </c>
      <c r="C329" s="32">
        <f>'Daily Data'!D329</f>
        <v/>
      </c>
      <c r="D329" s="32">
        <f>'Daily Data'!C329</f>
        <v/>
      </c>
      <c r="E329" s="32">
        <f>IF('Daily Data'!E329="","",'Daily Data'!E329)</f>
        <v/>
      </c>
      <c r="F329" s="32">
        <f>IF($E329="","",'Daily Data'!F329)</f>
        <v/>
      </c>
      <c r="G329" s="32">
        <f>IF($E329="","",'Daily Data'!G329)</f>
        <v/>
      </c>
      <c r="H329" s="31">
        <f>IF($E329="","",F329-G329)</f>
        <v/>
      </c>
      <c r="I329" s="32">
        <f>IF($E329="","",'Daily Data'!H329)</f>
        <v/>
      </c>
      <c r="J329" s="31">
        <f>IF($E329="","",E329-H329-I329)</f>
        <v/>
      </c>
      <c r="K329" s="33">
        <f>IF($E329="","",IF(A329&lt;HLP_ChangeDate,HLP_Legacy,HLP_Current))</f>
        <v/>
      </c>
      <c r="L329" s="31">
        <f>IF($E329="","",J329/(1-K329))</f>
        <v/>
      </c>
      <c r="M329" s="31">
        <f>IF($E329="","",I329/(1-K329))</f>
        <v/>
      </c>
      <c r="N329" s="31">
        <f>IF($E329="","",(B329+C329+D329)*Rate_Builder)</f>
        <v/>
      </c>
      <c r="O329" s="31">
        <f>IF($E329="","",E329*K329/(1-K329))</f>
        <v/>
      </c>
      <c r="P329" s="34">
        <f>IF(OR($E329="",B329=0),"",L329/B329*10000)</f>
        <v/>
      </c>
      <c r="Q329" s="34">
        <f>IF(OR($E329="",C329=0),"",F329/C329*10000)</f>
        <v/>
      </c>
      <c r="R329" s="34">
        <f>IF(OR($E329="",D329=0),"",'Daily Data'!I329/D329*10000)</f>
        <v/>
      </c>
    </row>
    <row r="330">
      <c r="A330" s="30" t="n">
        <v>45984</v>
      </c>
      <c r="B330" s="31">
        <f>'Daily Data'!B330-'Daily Data'!D330</f>
        <v/>
      </c>
      <c r="C330" s="32">
        <f>'Daily Data'!D330</f>
        <v/>
      </c>
      <c r="D330" s="32">
        <f>'Daily Data'!C330</f>
        <v/>
      </c>
      <c r="E330" s="32">
        <f>IF('Daily Data'!E330="","",'Daily Data'!E330)</f>
        <v/>
      </c>
      <c r="F330" s="32">
        <f>IF($E330="","",'Daily Data'!F330)</f>
        <v/>
      </c>
      <c r="G330" s="32">
        <f>IF($E330="","",'Daily Data'!G330)</f>
        <v/>
      </c>
      <c r="H330" s="31">
        <f>IF($E330="","",F330-G330)</f>
        <v/>
      </c>
      <c r="I330" s="32">
        <f>IF($E330="","",'Daily Data'!H330)</f>
        <v/>
      </c>
      <c r="J330" s="31">
        <f>IF($E330="","",E330-H330-I330)</f>
        <v/>
      </c>
      <c r="K330" s="33">
        <f>IF($E330="","",IF(A330&lt;HLP_ChangeDate,HLP_Legacy,HLP_Current))</f>
        <v/>
      </c>
      <c r="L330" s="31">
        <f>IF($E330="","",J330/(1-K330))</f>
        <v/>
      </c>
      <c r="M330" s="31">
        <f>IF($E330="","",I330/(1-K330))</f>
        <v/>
      </c>
      <c r="N330" s="31">
        <f>IF($E330="","",(B330+C330+D330)*Rate_Builder)</f>
        <v/>
      </c>
      <c r="O330" s="31">
        <f>IF($E330="","",E330*K330/(1-K330))</f>
        <v/>
      </c>
      <c r="P330" s="34">
        <f>IF(OR($E330="",B330=0),"",L330/B330*10000)</f>
        <v/>
      </c>
      <c r="Q330" s="34">
        <f>IF(OR($E330="",C330=0),"",F330/C330*10000)</f>
        <v/>
      </c>
      <c r="R330" s="34">
        <f>IF(OR($E330="",D330=0),"",'Daily Data'!I330/D330*10000)</f>
        <v/>
      </c>
    </row>
    <row r="331">
      <c r="A331" s="30" t="n">
        <v>45985</v>
      </c>
      <c r="B331" s="31">
        <f>'Daily Data'!B331-'Daily Data'!D331</f>
        <v/>
      </c>
      <c r="C331" s="32">
        <f>'Daily Data'!D331</f>
        <v/>
      </c>
      <c r="D331" s="32">
        <f>'Daily Data'!C331</f>
        <v/>
      </c>
      <c r="E331" s="32">
        <f>IF('Daily Data'!E331="","",'Daily Data'!E331)</f>
        <v/>
      </c>
      <c r="F331" s="32">
        <f>IF($E331="","",'Daily Data'!F331)</f>
        <v/>
      </c>
      <c r="G331" s="32">
        <f>IF($E331="","",'Daily Data'!G331)</f>
        <v/>
      </c>
      <c r="H331" s="31">
        <f>IF($E331="","",F331-G331)</f>
        <v/>
      </c>
      <c r="I331" s="32">
        <f>IF($E331="","",'Daily Data'!H331)</f>
        <v/>
      </c>
      <c r="J331" s="31">
        <f>IF($E331="","",E331-H331-I331)</f>
        <v/>
      </c>
      <c r="K331" s="33">
        <f>IF($E331="","",IF(A331&lt;HLP_ChangeDate,HLP_Legacy,HLP_Current))</f>
        <v/>
      </c>
      <c r="L331" s="31">
        <f>IF($E331="","",J331/(1-K331))</f>
        <v/>
      </c>
      <c r="M331" s="31">
        <f>IF($E331="","",I331/(1-K331))</f>
        <v/>
      </c>
      <c r="N331" s="31">
        <f>IF($E331="","",(B331+C331+D331)*Rate_Builder)</f>
        <v/>
      </c>
      <c r="O331" s="31">
        <f>IF($E331="","",E331*K331/(1-K331))</f>
        <v/>
      </c>
      <c r="P331" s="34">
        <f>IF(OR($E331="",B331=0),"",L331/B331*10000)</f>
        <v/>
      </c>
      <c r="Q331" s="34">
        <f>IF(OR($E331="",C331=0),"",F331/C331*10000)</f>
        <v/>
      </c>
      <c r="R331" s="34">
        <f>IF(OR($E331="",D331=0),"",'Daily Data'!I331/D331*10000)</f>
        <v/>
      </c>
    </row>
    <row r="332">
      <c r="A332" s="30" t="n">
        <v>45986</v>
      </c>
      <c r="B332" s="31">
        <f>'Daily Data'!B332-'Daily Data'!D332</f>
        <v/>
      </c>
      <c r="C332" s="32">
        <f>'Daily Data'!D332</f>
        <v/>
      </c>
      <c r="D332" s="32">
        <f>'Daily Data'!C332</f>
        <v/>
      </c>
      <c r="E332" s="32">
        <f>IF('Daily Data'!E332="","",'Daily Data'!E332)</f>
        <v/>
      </c>
      <c r="F332" s="32">
        <f>IF($E332="","",'Daily Data'!F332)</f>
        <v/>
      </c>
      <c r="G332" s="32">
        <f>IF($E332="","",'Daily Data'!G332)</f>
        <v/>
      </c>
      <c r="H332" s="31">
        <f>IF($E332="","",F332-G332)</f>
        <v/>
      </c>
      <c r="I332" s="32">
        <f>IF($E332="","",'Daily Data'!H332)</f>
        <v/>
      </c>
      <c r="J332" s="31">
        <f>IF($E332="","",E332-H332-I332)</f>
        <v/>
      </c>
      <c r="K332" s="33">
        <f>IF($E332="","",IF(A332&lt;HLP_ChangeDate,HLP_Legacy,HLP_Current))</f>
        <v/>
      </c>
      <c r="L332" s="31">
        <f>IF($E332="","",J332/(1-K332))</f>
        <v/>
      </c>
      <c r="M332" s="31">
        <f>IF($E332="","",I332/(1-K332))</f>
        <v/>
      </c>
      <c r="N332" s="31">
        <f>IF($E332="","",(B332+C332+D332)*Rate_Builder)</f>
        <v/>
      </c>
      <c r="O332" s="31">
        <f>IF($E332="","",E332*K332/(1-K332))</f>
        <v/>
      </c>
      <c r="P332" s="34">
        <f>IF(OR($E332="",B332=0),"",L332/B332*10000)</f>
        <v/>
      </c>
      <c r="Q332" s="34">
        <f>IF(OR($E332="",C332=0),"",F332/C332*10000)</f>
        <v/>
      </c>
      <c r="R332" s="34">
        <f>IF(OR($E332="",D332=0),"",'Daily Data'!I332/D332*10000)</f>
        <v/>
      </c>
    </row>
    <row r="333">
      <c r="A333" s="30" t="n">
        <v>45987</v>
      </c>
      <c r="B333" s="31">
        <f>'Daily Data'!B333-'Daily Data'!D333</f>
        <v/>
      </c>
      <c r="C333" s="32">
        <f>'Daily Data'!D333</f>
        <v/>
      </c>
      <c r="D333" s="32">
        <f>'Daily Data'!C333</f>
        <v/>
      </c>
      <c r="E333" s="32">
        <f>IF('Daily Data'!E333="","",'Daily Data'!E333)</f>
        <v/>
      </c>
      <c r="F333" s="32">
        <f>IF($E333="","",'Daily Data'!F333)</f>
        <v/>
      </c>
      <c r="G333" s="32">
        <f>IF($E333="","",'Daily Data'!G333)</f>
        <v/>
      </c>
      <c r="H333" s="31">
        <f>IF($E333="","",F333-G333)</f>
        <v/>
      </c>
      <c r="I333" s="32">
        <f>IF($E333="","",'Daily Data'!H333)</f>
        <v/>
      </c>
      <c r="J333" s="31">
        <f>IF($E333="","",E333-H333-I333)</f>
        <v/>
      </c>
      <c r="K333" s="33">
        <f>IF($E333="","",IF(A333&lt;HLP_ChangeDate,HLP_Legacy,HLP_Current))</f>
        <v/>
      </c>
      <c r="L333" s="31">
        <f>IF($E333="","",J333/(1-K333))</f>
        <v/>
      </c>
      <c r="M333" s="31">
        <f>IF($E333="","",I333/(1-K333))</f>
        <v/>
      </c>
      <c r="N333" s="31">
        <f>IF($E333="","",(B333+C333+D333)*Rate_Builder)</f>
        <v/>
      </c>
      <c r="O333" s="31">
        <f>IF($E333="","",E333*K333/(1-K333))</f>
        <v/>
      </c>
      <c r="P333" s="34">
        <f>IF(OR($E333="",B333=0),"",L333/B333*10000)</f>
        <v/>
      </c>
      <c r="Q333" s="34">
        <f>IF(OR($E333="",C333=0),"",F333/C333*10000)</f>
        <v/>
      </c>
      <c r="R333" s="34">
        <f>IF(OR($E333="",D333=0),"",'Daily Data'!I333/D333*10000)</f>
        <v/>
      </c>
    </row>
    <row r="334">
      <c r="A334" s="30" t="n">
        <v>45988</v>
      </c>
      <c r="B334" s="31">
        <f>'Daily Data'!B334-'Daily Data'!D334</f>
        <v/>
      </c>
      <c r="C334" s="32">
        <f>'Daily Data'!D334</f>
        <v/>
      </c>
      <c r="D334" s="32">
        <f>'Daily Data'!C334</f>
        <v/>
      </c>
      <c r="E334" s="32">
        <f>IF('Daily Data'!E334="","",'Daily Data'!E334)</f>
        <v/>
      </c>
      <c r="F334" s="32">
        <f>IF($E334="","",'Daily Data'!F334)</f>
        <v/>
      </c>
      <c r="G334" s="32">
        <f>IF($E334="","",'Daily Data'!G334)</f>
        <v/>
      </c>
      <c r="H334" s="31">
        <f>IF($E334="","",F334-G334)</f>
        <v/>
      </c>
      <c r="I334" s="32">
        <f>IF($E334="","",'Daily Data'!H334)</f>
        <v/>
      </c>
      <c r="J334" s="31">
        <f>IF($E334="","",E334-H334-I334)</f>
        <v/>
      </c>
      <c r="K334" s="33">
        <f>IF($E334="","",IF(A334&lt;HLP_ChangeDate,HLP_Legacy,HLP_Current))</f>
        <v/>
      </c>
      <c r="L334" s="31">
        <f>IF($E334="","",J334/(1-K334))</f>
        <v/>
      </c>
      <c r="M334" s="31">
        <f>IF($E334="","",I334/(1-K334))</f>
        <v/>
      </c>
      <c r="N334" s="31">
        <f>IF($E334="","",(B334+C334+D334)*Rate_Builder)</f>
        <v/>
      </c>
      <c r="O334" s="31">
        <f>IF($E334="","",E334*K334/(1-K334))</f>
        <v/>
      </c>
      <c r="P334" s="34">
        <f>IF(OR($E334="",B334=0),"",L334/B334*10000)</f>
        <v/>
      </c>
      <c r="Q334" s="34">
        <f>IF(OR($E334="",C334=0),"",F334/C334*10000)</f>
        <v/>
      </c>
      <c r="R334" s="34">
        <f>IF(OR($E334="",D334=0),"",'Daily Data'!I334/D334*10000)</f>
        <v/>
      </c>
    </row>
    <row r="335">
      <c r="A335" s="30" t="n">
        <v>45989</v>
      </c>
      <c r="B335" s="31">
        <f>'Daily Data'!B335-'Daily Data'!D335</f>
        <v/>
      </c>
      <c r="C335" s="32">
        <f>'Daily Data'!D335</f>
        <v/>
      </c>
      <c r="D335" s="32">
        <f>'Daily Data'!C335</f>
        <v/>
      </c>
      <c r="E335" s="32">
        <f>IF('Daily Data'!E335="","",'Daily Data'!E335)</f>
        <v/>
      </c>
      <c r="F335" s="32">
        <f>IF($E335="","",'Daily Data'!F335)</f>
        <v/>
      </c>
      <c r="G335" s="32">
        <f>IF($E335="","",'Daily Data'!G335)</f>
        <v/>
      </c>
      <c r="H335" s="31">
        <f>IF($E335="","",F335-G335)</f>
        <v/>
      </c>
      <c r="I335" s="32">
        <f>IF($E335="","",'Daily Data'!H335)</f>
        <v/>
      </c>
      <c r="J335" s="31">
        <f>IF($E335="","",E335-H335-I335)</f>
        <v/>
      </c>
      <c r="K335" s="33">
        <f>IF($E335="","",IF(A335&lt;HLP_ChangeDate,HLP_Legacy,HLP_Current))</f>
        <v/>
      </c>
      <c r="L335" s="31">
        <f>IF($E335="","",J335/(1-K335))</f>
        <v/>
      </c>
      <c r="M335" s="31">
        <f>IF($E335="","",I335/(1-K335))</f>
        <v/>
      </c>
      <c r="N335" s="31">
        <f>IF($E335="","",(B335+C335+D335)*Rate_Builder)</f>
        <v/>
      </c>
      <c r="O335" s="31">
        <f>IF($E335="","",E335*K335/(1-K335))</f>
        <v/>
      </c>
      <c r="P335" s="34">
        <f>IF(OR($E335="",B335=0),"",L335/B335*10000)</f>
        <v/>
      </c>
      <c r="Q335" s="34">
        <f>IF(OR($E335="",C335=0),"",F335/C335*10000)</f>
        <v/>
      </c>
      <c r="R335" s="34">
        <f>IF(OR($E335="",D335=0),"",'Daily Data'!I335/D335*10000)</f>
        <v/>
      </c>
    </row>
    <row r="336">
      <c r="A336" s="30" t="n">
        <v>45990</v>
      </c>
      <c r="B336" s="31">
        <f>'Daily Data'!B336-'Daily Data'!D336</f>
        <v/>
      </c>
      <c r="C336" s="32">
        <f>'Daily Data'!D336</f>
        <v/>
      </c>
      <c r="D336" s="32">
        <f>'Daily Data'!C336</f>
        <v/>
      </c>
      <c r="E336" s="32">
        <f>IF('Daily Data'!E336="","",'Daily Data'!E336)</f>
        <v/>
      </c>
      <c r="F336" s="32">
        <f>IF($E336="","",'Daily Data'!F336)</f>
        <v/>
      </c>
      <c r="G336" s="32">
        <f>IF($E336="","",'Daily Data'!G336)</f>
        <v/>
      </c>
      <c r="H336" s="31">
        <f>IF($E336="","",F336-G336)</f>
        <v/>
      </c>
      <c r="I336" s="32">
        <f>IF($E336="","",'Daily Data'!H336)</f>
        <v/>
      </c>
      <c r="J336" s="31">
        <f>IF($E336="","",E336-H336-I336)</f>
        <v/>
      </c>
      <c r="K336" s="33">
        <f>IF($E336="","",IF(A336&lt;HLP_ChangeDate,HLP_Legacy,HLP_Current))</f>
        <v/>
      </c>
      <c r="L336" s="31">
        <f>IF($E336="","",J336/(1-K336))</f>
        <v/>
      </c>
      <c r="M336" s="31">
        <f>IF($E336="","",I336/(1-K336))</f>
        <v/>
      </c>
      <c r="N336" s="31">
        <f>IF($E336="","",(B336+C336+D336)*Rate_Builder)</f>
        <v/>
      </c>
      <c r="O336" s="31">
        <f>IF($E336="","",E336*K336/(1-K336))</f>
        <v/>
      </c>
      <c r="P336" s="34">
        <f>IF(OR($E336="",B336=0),"",L336/B336*10000)</f>
        <v/>
      </c>
      <c r="Q336" s="34">
        <f>IF(OR($E336="",C336=0),"",F336/C336*10000)</f>
        <v/>
      </c>
      <c r="R336" s="34">
        <f>IF(OR($E336="",D336=0),"",'Daily Data'!I336/D336*10000)</f>
        <v/>
      </c>
    </row>
    <row r="337">
      <c r="A337" s="30" t="n">
        <v>45991</v>
      </c>
      <c r="B337" s="31">
        <f>'Daily Data'!B337-'Daily Data'!D337</f>
        <v/>
      </c>
      <c r="C337" s="32">
        <f>'Daily Data'!D337</f>
        <v/>
      </c>
      <c r="D337" s="32">
        <f>'Daily Data'!C337</f>
        <v/>
      </c>
      <c r="E337" s="32">
        <f>IF('Daily Data'!E337="","",'Daily Data'!E337)</f>
        <v/>
      </c>
      <c r="F337" s="32">
        <f>IF($E337="","",'Daily Data'!F337)</f>
        <v/>
      </c>
      <c r="G337" s="32">
        <f>IF($E337="","",'Daily Data'!G337)</f>
        <v/>
      </c>
      <c r="H337" s="31">
        <f>IF($E337="","",F337-G337)</f>
        <v/>
      </c>
      <c r="I337" s="32">
        <f>IF($E337="","",'Daily Data'!H337)</f>
        <v/>
      </c>
      <c r="J337" s="31">
        <f>IF($E337="","",E337-H337-I337)</f>
        <v/>
      </c>
      <c r="K337" s="33">
        <f>IF($E337="","",IF(A337&lt;HLP_ChangeDate,HLP_Legacy,HLP_Current))</f>
        <v/>
      </c>
      <c r="L337" s="31">
        <f>IF($E337="","",J337/(1-K337))</f>
        <v/>
      </c>
      <c r="M337" s="31">
        <f>IF($E337="","",I337/(1-K337))</f>
        <v/>
      </c>
      <c r="N337" s="31">
        <f>IF($E337="","",(B337+C337+D337)*Rate_Builder)</f>
        <v/>
      </c>
      <c r="O337" s="31">
        <f>IF($E337="","",E337*K337/(1-K337))</f>
        <v/>
      </c>
      <c r="P337" s="34">
        <f>IF(OR($E337="",B337=0),"",L337/B337*10000)</f>
        <v/>
      </c>
      <c r="Q337" s="34">
        <f>IF(OR($E337="",C337=0),"",F337/C337*10000)</f>
        <v/>
      </c>
      <c r="R337" s="34">
        <f>IF(OR($E337="",D337=0),"",'Daily Data'!I337/D337*10000)</f>
        <v/>
      </c>
    </row>
    <row r="338">
      <c r="A338" s="30" t="n">
        <v>45992</v>
      </c>
      <c r="B338" s="31">
        <f>'Daily Data'!B338-'Daily Data'!D338</f>
        <v/>
      </c>
      <c r="C338" s="32">
        <f>'Daily Data'!D338</f>
        <v/>
      </c>
      <c r="D338" s="32">
        <f>'Daily Data'!C338</f>
        <v/>
      </c>
      <c r="E338" s="32">
        <f>IF('Daily Data'!E338="","",'Daily Data'!E338)</f>
        <v/>
      </c>
      <c r="F338" s="32">
        <f>IF($E338="","",'Daily Data'!F338)</f>
        <v/>
      </c>
      <c r="G338" s="32">
        <f>IF($E338="","",'Daily Data'!G338)</f>
        <v/>
      </c>
      <c r="H338" s="31">
        <f>IF($E338="","",F338-G338)</f>
        <v/>
      </c>
      <c r="I338" s="32">
        <f>IF($E338="","",'Daily Data'!H338)</f>
        <v/>
      </c>
      <c r="J338" s="31">
        <f>IF($E338="","",E338-H338-I338)</f>
        <v/>
      </c>
      <c r="K338" s="33">
        <f>IF($E338="","",IF(A338&lt;HLP_ChangeDate,HLP_Legacy,HLP_Current))</f>
        <v/>
      </c>
      <c r="L338" s="31">
        <f>IF($E338="","",J338/(1-K338))</f>
        <v/>
      </c>
      <c r="M338" s="31">
        <f>IF($E338="","",I338/(1-K338))</f>
        <v/>
      </c>
      <c r="N338" s="31">
        <f>IF($E338="","",(B338+C338+D338)*Rate_Builder)</f>
        <v/>
      </c>
      <c r="O338" s="31">
        <f>IF($E338="","",E338*K338/(1-K338))</f>
        <v/>
      </c>
      <c r="P338" s="34">
        <f>IF(OR($E338="",B338=0),"",L338/B338*10000)</f>
        <v/>
      </c>
      <c r="Q338" s="34">
        <f>IF(OR($E338="",C338=0),"",F338/C338*10000)</f>
        <v/>
      </c>
      <c r="R338" s="34">
        <f>IF(OR($E338="",D338=0),"",'Daily Data'!I338/D338*10000)</f>
        <v/>
      </c>
    </row>
    <row r="339">
      <c r="A339" s="30" t="n">
        <v>45993</v>
      </c>
      <c r="B339" s="31">
        <f>'Daily Data'!B339-'Daily Data'!D339</f>
        <v/>
      </c>
      <c r="C339" s="32">
        <f>'Daily Data'!D339</f>
        <v/>
      </c>
      <c r="D339" s="32">
        <f>'Daily Data'!C339</f>
        <v/>
      </c>
      <c r="E339" s="32">
        <f>IF('Daily Data'!E339="","",'Daily Data'!E339)</f>
        <v/>
      </c>
      <c r="F339" s="32">
        <f>IF($E339="","",'Daily Data'!F339)</f>
        <v/>
      </c>
      <c r="G339" s="32">
        <f>IF($E339="","",'Daily Data'!G339)</f>
        <v/>
      </c>
      <c r="H339" s="31">
        <f>IF($E339="","",F339-G339)</f>
        <v/>
      </c>
      <c r="I339" s="32">
        <f>IF($E339="","",'Daily Data'!H339)</f>
        <v/>
      </c>
      <c r="J339" s="31">
        <f>IF($E339="","",E339-H339-I339)</f>
        <v/>
      </c>
      <c r="K339" s="33">
        <f>IF($E339="","",IF(A339&lt;HLP_ChangeDate,HLP_Legacy,HLP_Current))</f>
        <v/>
      </c>
      <c r="L339" s="31">
        <f>IF($E339="","",J339/(1-K339))</f>
        <v/>
      </c>
      <c r="M339" s="31">
        <f>IF($E339="","",I339/(1-K339))</f>
        <v/>
      </c>
      <c r="N339" s="31">
        <f>IF($E339="","",(B339+C339+D339)*Rate_Builder)</f>
        <v/>
      </c>
      <c r="O339" s="31">
        <f>IF($E339="","",E339*K339/(1-K339))</f>
        <v/>
      </c>
      <c r="P339" s="34">
        <f>IF(OR($E339="",B339=0),"",L339/B339*10000)</f>
        <v/>
      </c>
      <c r="Q339" s="34">
        <f>IF(OR($E339="",C339=0),"",F339/C339*10000)</f>
        <v/>
      </c>
      <c r="R339" s="34">
        <f>IF(OR($E339="",D339=0),"",'Daily Data'!I339/D339*10000)</f>
        <v/>
      </c>
    </row>
    <row r="340">
      <c r="A340" s="30" t="n">
        <v>45994</v>
      </c>
      <c r="B340" s="31">
        <f>'Daily Data'!B340-'Daily Data'!D340</f>
        <v/>
      </c>
      <c r="C340" s="32">
        <f>'Daily Data'!D340</f>
        <v/>
      </c>
      <c r="D340" s="32">
        <f>'Daily Data'!C340</f>
        <v/>
      </c>
      <c r="E340" s="32">
        <f>IF('Daily Data'!E340="","",'Daily Data'!E340)</f>
        <v/>
      </c>
      <c r="F340" s="32">
        <f>IF($E340="","",'Daily Data'!F340)</f>
        <v/>
      </c>
      <c r="G340" s="32">
        <f>IF($E340="","",'Daily Data'!G340)</f>
        <v/>
      </c>
      <c r="H340" s="31">
        <f>IF($E340="","",F340-G340)</f>
        <v/>
      </c>
      <c r="I340" s="32">
        <f>IF($E340="","",'Daily Data'!H340)</f>
        <v/>
      </c>
      <c r="J340" s="31">
        <f>IF($E340="","",E340-H340-I340)</f>
        <v/>
      </c>
      <c r="K340" s="33">
        <f>IF($E340="","",IF(A340&lt;HLP_ChangeDate,HLP_Legacy,HLP_Current))</f>
        <v/>
      </c>
      <c r="L340" s="31">
        <f>IF($E340="","",J340/(1-K340))</f>
        <v/>
      </c>
      <c r="M340" s="31">
        <f>IF($E340="","",I340/(1-K340))</f>
        <v/>
      </c>
      <c r="N340" s="31">
        <f>IF($E340="","",(B340+C340+D340)*Rate_Builder)</f>
        <v/>
      </c>
      <c r="O340" s="31">
        <f>IF($E340="","",E340*K340/(1-K340))</f>
        <v/>
      </c>
      <c r="P340" s="34">
        <f>IF(OR($E340="",B340=0),"",L340/B340*10000)</f>
        <v/>
      </c>
      <c r="Q340" s="34">
        <f>IF(OR($E340="",C340=0),"",F340/C340*10000)</f>
        <v/>
      </c>
      <c r="R340" s="34">
        <f>IF(OR($E340="",D340=0),"",'Daily Data'!I340/D340*10000)</f>
        <v/>
      </c>
    </row>
    <row r="341">
      <c r="A341" s="30" t="n">
        <v>45995</v>
      </c>
      <c r="B341" s="31">
        <f>'Daily Data'!B341-'Daily Data'!D341</f>
        <v/>
      </c>
      <c r="C341" s="32">
        <f>'Daily Data'!D341</f>
        <v/>
      </c>
      <c r="D341" s="32">
        <f>'Daily Data'!C341</f>
        <v/>
      </c>
      <c r="E341" s="32">
        <f>IF('Daily Data'!E341="","",'Daily Data'!E341)</f>
        <v/>
      </c>
      <c r="F341" s="32">
        <f>IF($E341="","",'Daily Data'!F341)</f>
        <v/>
      </c>
      <c r="G341" s="32">
        <f>IF($E341="","",'Daily Data'!G341)</f>
        <v/>
      </c>
      <c r="H341" s="31">
        <f>IF($E341="","",F341-G341)</f>
        <v/>
      </c>
      <c r="I341" s="32">
        <f>IF($E341="","",'Daily Data'!H341)</f>
        <v/>
      </c>
      <c r="J341" s="31">
        <f>IF($E341="","",E341-H341-I341)</f>
        <v/>
      </c>
      <c r="K341" s="33">
        <f>IF($E341="","",IF(A341&lt;HLP_ChangeDate,HLP_Legacy,HLP_Current))</f>
        <v/>
      </c>
      <c r="L341" s="31">
        <f>IF($E341="","",J341/(1-K341))</f>
        <v/>
      </c>
      <c r="M341" s="31">
        <f>IF($E341="","",I341/(1-K341))</f>
        <v/>
      </c>
      <c r="N341" s="31">
        <f>IF($E341="","",(B341+C341+D341)*Rate_Builder)</f>
        <v/>
      </c>
      <c r="O341" s="31">
        <f>IF($E341="","",E341*K341/(1-K341))</f>
        <v/>
      </c>
      <c r="P341" s="34">
        <f>IF(OR($E341="",B341=0),"",L341/B341*10000)</f>
        <v/>
      </c>
      <c r="Q341" s="34">
        <f>IF(OR($E341="",C341=0),"",F341/C341*10000)</f>
        <v/>
      </c>
      <c r="R341" s="34">
        <f>IF(OR($E341="",D341=0),"",'Daily Data'!I341/D341*10000)</f>
        <v/>
      </c>
    </row>
    <row r="342">
      <c r="A342" s="30" t="n">
        <v>45996</v>
      </c>
      <c r="B342" s="31">
        <f>'Daily Data'!B342-'Daily Data'!D342</f>
        <v/>
      </c>
      <c r="C342" s="32">
        <f>'Daily Data'!D342</f>
        <v/>
      </c>
      <c r="D342" s="32">
        <f>'Daily Data'!C342</f>
        <v/>
      </c>
      <c r="E342" s="32">
        <f>IF('Daily Data'!E342="","",'Daily Data'!E342)</f>
        <v/>
      </c>
      <c r="F342" s="32">
        <f>IF($E342="","",'Daily Data'!F342)</f>
        <v/>
      </c>
      <c r="G342" s="32">
        <f>IF($E342="","",'Daily Data'!G342)</f>
        <v/>
      </c>
      <c r="H342" s="31">
        <f>IF($E342="","",F342-G342)</f>
        <v/>
      </c>
      <c r="I342" s="32">
        <f>IF($E342="","",'Daily Data'!H342)</f>
        <v/>
      </c>
      <c r="J342" s="31">
        <f>IF($E342="","",E342-H342-I342)</f>
        <v/>
      </c>
      <c r="K342" s="33">
        <f>IF($E342="","",IF(A342&lt;HLP_ChangeDate,HLP_Legacy,HLP_Current))</f>
        <v/>
      </c>
      <c r="L342" s="31">
        <f>IF($E342="","",J342/(1-K342))</f>
        <v/>
      </c>
      <c r="M342" s="31">
        <f>IF($E342="","",I342/(1-K342))</f>
        <v/>
      </c>
      <c r="N342" s="31">
        <f>IF($E342="","",(B342+C342+D342)*Rate_Builder)</f>
        <v/>
      </c>
      <c r="O342" s="31">
        <f>IF($E342="","",E342*K342/(1-K342))</f>
        <v/>
      </c>
      <c r="P342" s="34">
        <f>IF(OR($E342="",B342=0),"",L342/B342*10000)</f>
        <v/>
      </c>
      <c r="Q342" s="34">
        <f>IF(OR($E342="",C342=0),"",F342/C342*10000)</f>
        <v/>
      </c>
      <c r="R342" s="34">
        <f>IF(OR($E342="",D342=0),"",'Daily Data'!I342/D342*10000)</f>
        <v/>
      </c>
    </row>
    <row r="343">
      <c r="A343" s="30" t="n">
        <v>45997</v>
      </c>
      <c r="B343" s="31">
        <f>'Daily Data'!B343-'Daily Data'!D343</f>
        <v/>
      </c>
      <c r="C343" s="32">
        <f>'Daily Data'!D343</f>
        <v/>
      </c>
      <c r="D343" s="32">
        <f>'Daily Data'!C343</f>
        <v/>
      </c>
      <c r="E343" s="32">
        <f>IF('Daily Data'!E343="","",'Daily Data'!E343)</f>
        <v/>
      </c>
      <c r="F343" s="32">
        <f>IF($E343="","",'Daily Data'!F343)</f>
        <v/>
      </c>
      <c r="G343" s="32">
        <f>IF($E343="","",'Daily Data'!G343)</f>
        <v/>
      </c>
      <c r="H343" s="31">
        <f>IF($E343="","",F343-G343)</f>
        <v/>
      </c>
      <c r="I343" s="32">
        <f>IF($E343="","",'Daily Data'!H343)</f>
        <v/>
      </c>
      <c r="J343" s="31">
        <f>IF($E343="","",E343-H343-I343)</f>
        <v/>
      </c>
      <c r="K343" s="33">
        <f>IF($E343="","",IF(A343&lt;HLP_ChangeDate,HLP_Legacy,HLP_Current))</f>
        <v/>
      </c>
      <c r="L343" s="31">
        <f>IF($E343="","",J343/(1-K343))</f>
        <v/>
      </c>
      <c r="M343" s="31">
        <f>IF($E343="","",I343/(1-K343))</f>
        <v/>
      </c>
      <c r="N343" s="31">
        <f>IF($E343="","",(B343+C343+D343)*Rate_Builder)</f>
        <v/>
      </c>
      <c r="O343" s="31">
        <f>IF($E343="","",E343*K343/(1-K343))</f>
        <v/>
      </c>
      <c r="P343" s="34">
        <f>IF(OR($E343="",B343=0),"",L343/B343*10000)</f>
        <v/>
      </c>
      <c r="Q343" s="34">
        <f>IF(OR($E343="",C343=0),"",F343/C343*10000)</f>
        <v/>
      </c>
      <c r="R343" s="34">
        <f>IF(OR($E343="",D343=0),"",'Daily Data'!I343/D343*10000)</f>
        <v/>
      </c>
    </row>
    <row r="344">
      <c r="A344" s="30" t="n">
        <v>45998</v>
      </c>
      <c r="B344" s="31">
        <f>'Daily Data'!B344-'Daily Data'!D344</f>
        <v/>
      </c>
      <c r="C344" s="32">
        <f>'Daily Data'!D344</f>
        <v/>
      </c>
      <c r="D344" s="32">
        <f>'Daily Data'!C344</f>
        <v/>
      </c>
      <c r="E344" s="32">
        <f>IF('Daily Data'!E344="","",'Daily Data'!E344)</f>
        <v/>
      </c>
      <c r="F344" s="32">
        <f>IF($E344="","",'Daily Data'!F344)</f>
        <v/>
      </c>
      <c r="G344" s="32">
        <f>IF($E344="","",'Daily Data'!G344)</f>
        <v/>
      </c>
      <c r="H344" s="31">
        <f>IF($E344="","",F344-G344)</f>
        <v/>
      </c>
      <c r="I344" s="32">
        <f>IF($E344="","",'Daily Data'!H344)</f>
        <v/>
      </c>
      <c r="J344" s="31">
        <f>IF($E344="","",E344-H344-I344)</f>
        <v/>
      </c>
      <c r="K344" s="33">
        <f>IF($E344="","",IF(A344&lt;HLP_ChangeDate,HLP_Legacy,HLP_Current))</f>
        <v/>
      </c>
      <c r="L344" s="31">
        <f>IF($E344="","",J344/(1-K344))</f>
        <v/>
      </c>
      <c r="M344" s="31">
        <f>IF($E344="","",I344/(1-K344))</f>
        <v/>
      </c>
      <c r="N344" s="31">
        <f>IF($E344="","",(B344+C344+D344)*Rate_Builder)</f>
        <v/>
      </c>
      <c r="O344" s="31">
        <f>IF($E344="","",E344*K344/(1-K344))</f>
        <v/>
      </c>
      <c r="P344" s="34">
        <f>IF(OR($E344="",B344=0),"",L344/B344*10000)</f>
        <v/>
      </c>
      <c r="Q344" s="34">
        <f>IF(OR($E344="",C344=0),"",F344/C344*10000)</f>
        <v/>
      </c>
      <c r="R344" s="34">
        <f>IF(OR($E344="",D344=0),"",'Daily Data'!I344/D344*10000)</f>
        <v/>
      </c>
    </row>
    <row r="345">
      <c r="A345" s="30" t="n">
        <v>45999</v>
      </c>
      <c r="B345" s="31">
        <f>'Daily Data'!B345-'Daily Data'!D345</f>
        <v/>
      </c>
      <c r="C345" s="32">
        <f>'Daily Data'!D345</f>
        <v/>
      </c>
      <c r="D345" s="32">
        <f>'Daily Data'!C345</f>
        <v/>
      </c>
      <c r="E345" s="32">
        <f>IF('Daily Data'!E345="","",'Daily Data'!E345)</f>
        <v/>
      </c>
      <c r="F345" s="32">
        <f>IF($E345="","",'Daily Data'!F345)</f>
        <v/>
      </c>
      <c r="G345" s="32">
        <f>IF($E345="","",'Daily Data'!G345)</f>
        <v/>
      </c>
      <c r="H345" s="31">
        <f>IF($E345="","",F345-G345)</f>
        <v/>
      </c>
      <c r="I345" s="32">
        <f>IF($E345="","",'Daily Data'!H345)</f>
        <v/>
      </c>
      <c r="J345" s="31">
        <f>IF($E345="","",E345-H345-I345)</f>
        <v/>
      </c>
      <c r="K345" s="33">
        <f>IF($E345="","",IF(A345&lt;HLP_ChangeDate,HLP_Legacy,HLP_Current))</f>
        <v/>
      </c>
      <c r="L345" s="31">
        <f>IF($E345="","",J345/(1-K345))</f>
        <v/>
      </c>
      <c r="M345" s="31">
        <f>IF($E345="","",I345/(1-K345))</f>
        <v/>
      </c>
      <c r="N345" s="31">
        <f>IF($E345="","",(B345+C345+D345)*Rate_Builder)</f>
        <v/>
      </c>
      <c r="O345" s="31">
        <f>IF($E345="","",E345*K345/(1-K345))</f>
        <v/>
      </c>
      <c r="P345" s="34">
        <f>IF(OR($E345="",B345=0),"",L345/B345*10000)</f>
        <v/>
      </c>
      <c r="Q345" s="34">
        <f>IF(OR($E345="",C345=0),"",F345/C345*10000)</f>
        <v/>
      </c>
      <c r="R345" s="34">
        <f>IF(OR($E345="",D345=0),"",'Daily Data'!I345/D345*10000)</f>
        <v/>
      </c>
    </row>
    <row r="346">
      <c r="A346" s="30" t="n">
        <v>46000</v>
      </c>
      <c r="B346" s="31">
        <f>'Daily Data'!B346-'Daily Data'!D346</f>
        <v/>
      </c>
      <c r="C346" s="32">
        <f>'Daily Data'!D346</f>
        <v/>
      </c>
      <c r="D346" s="32">
        <f>'Daily Data'!C346</f>
        <v/>
      </c>
      <c r="E346" s="32">
        <f>IF('Daily Data'!E346="","",'Daily Data'!E346)</f>
        <v/>
      </c>
      <c r="F346" s="32">
        <f>IF($E346="","",'Daily Data'!F346)</f>
        <v/>
      </c>
      <c r="G346" s="32">
        <f>IF($E346="","",'Daily Data'!G346)</f>
        <v/>
      </c>
      <c r="H346" s="31">
        <f>IF($E346="","",F346-G346)</f>
        <v/>
      </c>
      <c r="I346" s="32">
        <f>IF($E346="","",'Daily Data'!H346)</f>
        <v/>
      </c>
      <c r="J346" s="31">
        <f>IF($E346="","",E346-H346-I346)</f>
        <v/>
      </c>
      <c r="K346" s="33">
        <f>IF($E346="","",IF(A346&lt;HLP_ChangeDate,HLP_Legacy,HLP_Current))</f>
        <v/>
      </c>
      <c r="L346" s="31">
        <f>IF($E346="","",J346/(1-K346))</f>
        <v/>
      </c>
      <c r="M346" s="31">
        <f>IF($E346="","",I346/(1-K346))</f>
        <v/>
      </c>
      <c r="N346" s="31">
        <f>IF($E346="","",(B346+C346+D346)*Rate_Builder)</f>
        <v/>
      </c>
      <c r="O346" s="31">
        <f>IF($E346="","",E346*K346/(1-K346))</f>
        <v/>
      </c>
      <c r="P346" s="34">
        <f>IF(OR($E346="",B346=0),"",L346/B346*10000)</f>
        <v/>
      </c>
      <c r="Q346" s="34">
        <f>IF(OR($E346="",C346=0),"",F346/C346*10000)</f>
        <v/>
      </c>
      <c r="R346" s="34">
        <f>IF(OR($E346="",D346=0),"",'Daily Data'!I346/D346*10000)</f>
        <v/>
      </c>
    </row>
    <row r="347">
      <c r="A347" s="30" t="n">
        <v>46001</v>
      </c>
      <c r="B347" s="31">
        <f>'Daily Data'!B347-'Daily Data'!D347</f>
        <v/>
      </c>
      <c r="C347" s="32">
        <f>'Daily Data'!D347</f>
        <v/>
      </c>
      <c r="D347" s="32">
        <f>'Daily Data'!C347</f>
        <v/>
      </c>
      <c r="E347" s="32">
        <f>IF('Daily Data'!E347="","",'Daily Data'!E347)</f>
        <v/>
      </c>
      <c r="F347" s="32">
        <f>IF($E347="","",'Daily Data'!F347)</f>
        <v/>
      </c>
      <c r="G347" s="32">
        <f>IF($E347="","",'Daily Data'!G347)</f>
        <v/>
      </c>
      <c r="H347" s="31">
        <f>IF($E347="","",F347-G347)</f>
        <v/>
      </c>
      <c r="I347" s="32">
        <f>IF($E347="","",'Daily Data'!H347)</f>
        <v/>
      </c>
      <c r="J347" s="31">
        <f>IF($E347="","",E347-H347-I347)</f>
        <v/>
      </c>
      <c r="K347" s="33">
        <f>IF($E347="","",IF(A347&lt;HLP_ChangeDate,HLP_Legacy,HLP_Current))</f>
        <v/>
      </c>
      <c r="L347" s="31">
        <f>IF($E347="","",J347/(1-K347))</f>
        <v/>
      </c>
      <c r="M347" s="31">
        <f>IF($E347="","",I347/(1-K347))</f>
        <v/>
      </c>
      <c r="N347" s="31">
        <f>IF($E347="","",(B347+C347+D347)*Rate_Builder)</f>
        <v/>
      </c>
      <c r="O347" s="31">
        <f>IF($E347="","",E347*K347/(1-K347))</f>
        <v/>
      </c>
      <c r="P347" s="34">
        <f>IF(OR($E347="",B347=0),"",L347/B347*10000)</f>
        <v/>
      </c>
      <c r="Q347" s="34">
        <f>IF(OR($E347="",C347=0),"",F347/C347*10000)</f>
        <v/>
      </c>
      <c r="R347" s="34">
        <f>IF(OR($E347="",D347=0),"",'Daily Data'!I347/D347*10000)</f>
        <v/>
      </c>
    </row>
    <row r="348">
      <c r="A348" s="30" t="n">
        <v>46002</v>
      </c>
      <c r="B348" s="31">
        <f>'Daily Data'!B348-'Daily Data'!D348</f>
        <v/>
      </c>
      <c r="C348" s="32">
        <f>'Daily Data'!D348</f>
        <v/>
      </c>
      <c r="D348" s="32">
        <f>'Daily Data'!C348</f>
        <v/>
      </c>
      <c r="E348" s="32">
        <f>IF('Daily Data'!E348="","",'Daily Data'!E348)</f>
        <v/>
      </c>
      <c r="F348" s="32">
        <f>IF($E348="","",'Daily Data'!F348)</f>
        <v/>
      </c>
      <c r="G348" s="32">
        <f>IF($E348="","",'Daily Data'!G348)</f>
        <v/>
      </c>
      <c r="H348" s="31">
        <f>IF($E348="","",F348-G348)</f>
        <v/>
      </c>
      <c r="I348" s="32">
        <f>IF($E348="","",'Daily Data'!H348)</f>
        <v/>
      </c>
      <c r="J348" s="31">
        <f>IF($E348="","",E348-H348-I348)</f>
        <v/>
      </c>
      <c r="K348" s="33">
        <f>IF($E348="","",IF(A348&lt;HLP_ChangeDate,HLP_Legacy,HLP_Current))</f>
        <v/>
      </c>
      <c r="L348" s="31">
        <f>IF($E348="","",J348/(1-K348))</f>
        <v/>
      </c>
      <c r="M348" s="31">
        <f>IF($E348="","",I348/(1-K348))</f>
        <v/>
      </c>
      <c r="N348" s="31">
        <f>IF($E348="","",(B348+C348+D348)*Rate_Builder)</f>
        <v/>
      </c>
      <c r="O348" s="31">
        <f>IF($E348="","",E348*K348/(1-K348))</f>
        <v/>
      </c>
      <c r="P348" s="34">
        <f>IF(OR($E348="",B348=0),"",L348/B348*10000)</f>
        <v/>
      </c>
      <c r="Q348" s="34">
        <f>IF(OR($E348="",C348=0),"",F348/C348*10000)</f>
        <v/>
      </c>
      <c r="R348" s="34">
        <f>IF(OR($E348="",D348=0),"",'Daily Data'!I348/D348*10000)</f>
        <v/>
      </c>
    </row>
    <row r="349">
      <c r="A349" s="30" t="n">
        <v>46003</v>
      </c>
      <c r="B349" s="31">
        <f>'Daily Data'!B349-'Daily Data'!D349</f>
        <v/>
      </c>
      <c r="C349" s="32">
        <f>'Daily Data'!D349</f>
        <v/>
      </c>
      <c r="D349" s="32">
        <f>'Daily Data'!C349</f>
        <v/>
      </c>
      <c r="E349" s="32">
        <f>IF('Daily Data'!E349="","",'Daily Data'!E349)</f>
        <v/>
      </c>
      <c r="F349" s="32">
        <f>IF($E349="","",'Daily Data'!F349)</f>
        <v/>
      </c>
      <c r="G349" s="32">
        <f>IF($E349="","",'Daily Data'!G349)</f>
        <v/>
      </c>
      <c r="H349" s="31">
        <f>IF($E349="","",F349-G349)</f>
        <v/>
      </c>
      <c r="I349" s="32">
        <f>IF($E349="","",'Daily Data'!H349)</f>
        <v/>
      </c>
      <c r="J349" s="31">
        <f>IF($E349="","",E349-H349-I349)</f>
        <v/>
      </c>
      <c r="K349" s="33">
        <f>IF($E349="","",IF(A349&lt;HLP_ChangeDate,HLP_Legacy,HLP_Current))</f>
        <v/>
      </c>
      <c r="L349" s="31">
        <f>IF($E349="","",J349/(1-K349))</f>
        <v/>
      </c>
      <c r="M349" s="31">
        <f>IF($E349="","",I349/(1-K349))</f>
        <v/>
      </c>
      <c r="N349" s="31">
        <f>IF($E349="","",(B349+C349+D349)*Rate_Builder)</f>
        <v/>
      </c>
      <c r="O349" s="31">
        <f>IF($E349="","",E349*K349/(1-K349))</f>
        <v/>
      </c>
      <c r="P349" s="34">
        <f>IF(OR($E349="",B349=0),"",L349/B349*10000)</f>
        <v/>
      </c>
      <c r="Q349" s="34">
        <f>IF(OR($E349="",C349=0),"",F349/C349*10000)</f>
        <v/>
      </c>
      <c r="R349" s="34">
        <f>IF(OR($E349="",D349=0),"",'Daily Data'!I349/D349*10000)</f>
        <v/>
      </c>
    </row>
    <row r="350">
      <c r="A350" s="30" t="n">
        <v>46004</v>
      </c>
      <c r="B350" s="31">
        <f>'Daily Data'!B350-'Daily Data'!D350</f>
        <v/>
      </c>
      <c r="C350" s="32">
        <f>'Daily Data'!D350</f>
        <v/>
      </c>
      <c r="D350" s="32">
        <f>'Daily Data'!C350</f>
        <v/>
      </c>
      <c r="E350" s="32">
        <f>IF('Daily Data'!E350="","",'Daily Data'!E350)</f>
        <v/>
      </c>
      <c r="F350" s="32">
        <f>IF($E350="","",'Daily Data'!F350)</f>
        <v/>
      </c>
      <c r="G350" s="32">
        <f>IF($E350="","",'Daily Data'!G350)</f>
        <v/>
      </c>
      <c r="H350" s="31">
        <f>IF($E350="","",F350-G350)</f>
        <v/>
      </c>
      <c r="I350" s="32">
        <f>IF($E350="","",'Daily Data'!H350)</f>
        <v/>
      </c>
      <c r="J350" s="31">
        <f>IF($E350="","",E350-H350-I350)</f>
        <v/>
      </c>
      <c r="K350" s="33">
        <f>IF($E350="","",IF(A350&lt;HLP_ChangeDate,HLP_Legacy,HLP_Current))</f>
        <v/>
      </c>
      <c r="L350" s="31">
        <f>IF($E350="","",J350/(1-K350))</f>
        <v/>
      </c>
      <c r="M350" s="31">
        <f>IF($E350="","",I350/(1-K350))</f>
        <v/>
      </c>
      <c r="N350" s="31">
        <f>IF($E350="","",(B350+C350+D350)*Rate_Builder)</f>
        <v/>
      </c>
      <c r="O350" s="31">
        <f>IF($E350="","",E350*K350/(1-K350))</f>
        <v/>
      </c>
      <c r="P350" s="34">
        <f>IF(OR($E350="",B350=0),"",L350/B350*10000)</f>
        <v/>
      </c>
      <c r="Q350" s="34">
        <f>IF(OR($E350="",C350=0),"",F350/C350*10000)</f>
        <v/>
      </c>
      <c r="R350" s="34">
        <f>IF(OR($E350="",D350=0),"",'Daily Data'!I350/D350*10000)</f>
        <v/>
      </c>
    </row>
    <row r="351">
      <c r="A351" s="30" t="n">
        <v>46005</v>
      </c>
      <c r="B351" s="31">
        <f>'Daily Data'!B351-'Daily Data'!D351</f>
        <v/>
      </c>
      <c r="C351" s="32">
        <f>'Daily Data'!D351</f>
        <v/>
      </c>
      <c r="D351" s="32">
        <f>'Daily Data'!C351</f>
        <v/>
      </c>
      <c r="E351" s="32">
        <f>IF('Daily Data'!E351="","",'Daily Data'!E351)</f>
        <v/>
      </c>
      <c r="F351" s="32">
        <f>IF($E351="","",'Daily Data'!F351)</f>
        <v/>
      </c>
      <c r="G351" s="32">
        <f>IF($E351="","",'Daily Data'!G351)</f>
        <v/>
      </c>
      <c r="H351" s="31">
        <f>IF($E351="","",F351-G351)</f>
        <v/>
      </c>
      <c r="I351" s="32">
        <f>IF($E351="","",'Daily Data'!H351)</f>
        <v/>
      </c>
      <c r="J351" s="31">
        <f>IF($E351="","",E351-H351-I351)</f>
        <v/>
      </c>
      <c r="K351" s="33">
        <f>IF($E351="","",IF(A351&lt;HLP_ChangeDate,HLP_Legacy,HLP_Current))</f>
        <v/>
      </c>
      <c r="L351" s="31">
        <f>IF($E351="","",J351/(1-K351))</f>
        <v/>
      </c>
      <c r="M351" s="31">
        <f>IF($E351="","",I351/(1-K351))</f>
        <v/>
      </c>
      <c r="N351" s="31">
        <f>IF($E351="","",(B351+C351+D351)*Rate_Builder)</f>
        <v/>
      </c>
      <c r="O351" s="31">
        <f>IF($E351="","",E351*K351/(1-K351))</f>
        <v/>
      </c>
      <c r="P351" s="34">
        <f>IF(OR($E351="",B351=0),"",L351/B351*10000)</f>
        <v/>
      </c>
      <c r="Q351" s="34">
        <f>IF(OR($E351="",C351=0),"",F351/C351*10000)</f>
        <v/>
      </c>
      <c r="R351" s="34">
        <f>IF(OR($E351="",D351=0),"",'Daily Data'!I351/D351*10000)</f>
        <v/>
      </c>
    </row>
    <row r="352">
      <c r="A352" s="30" t="n">
        <v>46006</v>
      </c>
      <c r="B352" s="31">
        <f>'Daily Data'!B352-'Daily Data'!D352</f>
        <v/>
      </c>
      <c r="C352" s="32">
        <f>'Daily Data'!D352</f>
        <v/>
      </c>
      <c r="D352" s="32">
        <f>'Daily Data'!C352</f>
        <v/>
      </c>
      <c r="E352" s="32">
        <f>IF('Daily Data'!E352="","",'Daily Data'!E352)</f>
        <v/>
      </c>
      <c r="F352" s="32">
        <f>IF($E352="","",'Daily Data'!F352)</f>
        <v/>
      </c>
      <c r="G352" s="32">
        <f>IF($E352="","",'Daily Data'!G352)</f>
        <v/>
      </c>
      <c r="H352" s="31">
        <f>IF($E352="","",F352-G352)</f>
        <v/>
      </c>
      <c r="I352" s="32">
        <f>IF($E352="","",'Daily Data'!H352)</f>
        <v/>
      </c>
      <c r="J352" s="31">
        <f>IF($E352="","",E352-H352-I352)</f>
        <v/>
      </c>
      <c r="K352" s="33">
        <f>IF($E352="","",IF(A352&lt;HLP_ChangeDate,HLP_Legacy,HLP_Current))</f>
        <v/>
      </c>
      <c r="L352" s="31">
        <f>IF($E352="","",J352/(1-K352))</f>
        <v/>
      </c>
      <c r="M352" s="31">
        <f>IF($E352="","",I352/(1-K352))</f>
        <v/>
      </c>
      <c r="N352" s="31">
        <f>IF($E352="","",(B352+C352+D352)*Rate_Builder)</f>
        <v/>
      </c>
      <c r="O352" s="31">
        <f>IF($E352="","",E352*K352/(1-K352))</f>
        <v/>
      </c>
      <c r="P352" s="34">
        <f>IF(OR($E352="",B352=0),"",L352/B352*10000)</f>
        <v/>
      </c>
      <c r="Q352" s="34">
        <f>IF(OR($E352="",C352=0),"",F352/C352*10000)</f>
        <v/>
      </c>
      <c r="R352" s="34">
        <f>IF(OR($E352="",D352=0),"",'Daily Data'!I352/D352*10000)</f>
        <v/>
      </c>
    </row>
    <row r="353">
      <c r="A353" s="30" t="n">
        <v>46007</v>
      </c>
      <c r="B353" s="31">
        <f>'Daily Data'!B353-'Daily Data'!D353</f>
        <v/>
      </c>
      <c r="C353" s="32">
        <f>'Daily Data'!D353</f>
        <v/>
      </c>
      <c r="D353" s="32">
        <f>'Daily Data'!C353</f>
        <v/>
      </c>
      <c r="E353" s="32">
        <f>IF('Daily Data'!E353="","",'Daily Data'!E353)</f>
        <v/>
      </c>
      <c r="F353" s="32">
        <f>IF($E353="","",'Daily Data'!F353)</f>
        <v/>
      </c>
      <c r="G353" s="32">
        <f>IF($E353="","",'Daily Data'!G353)</f>
        <v/>
      </c>
      <c r="H353" s="31">
        <f>IF($E353="","",F353-G353)</f>
        <v/>
      </c>
      <c r="I353" s="32">
        <f>IF($E353="","",'Daily Data'!H353)</f>
        <v/>
      </c>
      <c r="J353" s="31">
        <f>IF($E353="","",E353-H353-I353)</f>
        <v/>
      </c>
      <c r="K353" s="33">
        <f>IF($E353="","",IF(A353&lt;HLP_ChangeDate,HLP_Legacy,HLP_Current))</f>
        <v/>
      </c>
      <c r="L353" s="31">
        <f>IF($E353="","",J353/(1-K353))</f>
        <v/>
      </c>
      <c r="M353" s="31">
        <f>IF($E353="","",I353/(1-K353))</f>
        <v/>
      </c>
      <c r="N353" s="31">
        <f>IF($E353="","",(B353+C353+D353)*Rate_Builder)</f>
        <v/>
      </c>
      <c r="O353" s="31">
        <f>IF($E353="","",E353*K353/(1-K353))</f>
        <v/>
      </c>
      <c r="P353" s="34">
        <f>IF(OR($E353="",B353=0),"",L353/B353*10000)</f>
        <v/>
      </c>
      <c r="Q353" s="34">
        <f>IF(OR($E353="",C353=0),"",F353/C353*10000)</f>
        <v/>
      </c>
      <c r="R353" s="34">
        <f>IF(OR($E353="",D353=0),"",'Daily Data'!I353/D353*10000)</f>
        <v/>
      </c>
    </row>
    <row r="354">
      <c r="A354" s="30" t="n">
        <v>46008</v>
      </c>
      <c r="B354" s="31">
        <f>'Daily Data'!B354-'Daily Data'!D354</f>
        <v/>
      </c>
      <c r="C354" s="32">
        <f>'Daily Data'!D354</f>
        <v/>
      </c>
      <c r="D354" s="32">
        <f>'Daily Data'!C354</f>
        <v/>
      </c>
      <c r="E354" s="32">
        <f>IF('Daily Data'!E354="","",'Daily Data'!E354)</f>
        <v/>
      </c>
      <c r="F354" s="32">
        <f>IF($E354="","",'Daily Data'!F354)</f>
        <v/>
      </c>
      <c r="G354" s="32">
        <f>IF($E354="","",'Daily Data'!G354)</f>
        <v/>
      </c>
      <c r="H354" s="31">
        <f>IF($E354="","",F354-G354)</f>
        <v/>
      </c>
      <c r="I354" s="32">
        <f>IF($E354="","",'Daily Data'!H354)</f>
        <v/>
      </c>
      <c r="J354" s="31">
        <f>IF($E354="","",E354-H354-I354)</f>
        <v/>
      </c>
      <c r="K354" s="33">
        <f>IF($E354="","",IF(A354&lt;HLP_ChangeDate,HLP_Legacy,HLP_Current))</f>
        <v/>
      </c>
      <c r="L354" s="31">
        <f>IF($E354="","",J354/(1-K354))</f>
        <v/>
      </c>
      <c r="M354" s="31">
        <f>IF($E354="","",I354/(1-K354))</f>
        <v/>
      </c>
      <c r="N354" s="31">
        <f>IF($E354="","",(B354+C354+D354)*Rate_Builder)</f>
        <v/>
      </c>
      <c r="O354" s="31">
        <f>IF($E354="","",E354*K354/(1-K354))</f>
        <v/>
      </c>
      <c r="P354" s="34">
        <f>IF(OR($E354="",B354=0),"",L354/B354*10000)</f>
        <v/>
      </c>
      <c r="Q354" s="34">
        <f>IF(OR($E354="",C354=0),"",F354/C354*10000)</f>
        <v/>
      </c>
      <c r="R354" s="34">
        <f>IF(OR($E354="",D354=0),"",'Daily Data'!I354/D354*10000)</f>
        <v/>
      </c>
    </row>
    <row r="355">
      <c r="A355" s="30" t="n">
        <v>46009</v>
      </c>
      <c r="B355" s="31">
        <f>'Daily Data'!B355-'Daily Data'!D355</f>
        <v/>
      </c>
      <c r="C355" s="32">
        <f>'Daily Data'!D355</f>
        <v/>
      </c>
      <c r="D355" s="32">
        <f>'Daily Data'!C355</f>
        <v/>
      </c>
      <c r="E355" s="32">
        <f>IF('Daily Data'!E355="","",'Daily Data'!E355)</f>
        <v/>
      </c>
      <c r="F355" s="32">
        <f>IF($E355="","",'Daily Data'!F355)</f>
        <v/>
      </c>
      <c r="G355" s="32">
        <f>IF($E355="","",'Daily Data'!G355)</f>
        <v/>
      </c>
      <c r="H355" s="31">
        <f>IF($E355="","",F355-G355)</f>
        <v/>
      </c>
      <c r="I355" s="32">
        <f>IF($E355="","",'Daily Data'!H355)</f>
        <v/>
      </c>
      <c r="J355" s="31">
        <f>IF($E355="","",E355-H355-I355)</f>
        <v/>
      </c>
      <c r="K355" s="33">
        <f>IF($E355="","",IF(A355&lt;HLP_ChangeDate,HLP_Legacy,HLP_Current))</f>
        <v/>
      </c>
      <c r="L355" s="31">
        <f>IF($E355="","",J355/(1-K355))</f>
        <v/>
      </c>
      <c r="M355" s="31">
        <f>IF($E355="","",I355/(1-K355))</f>
        <v/>
      </c>
      <c r="N355" s="31">
        <f>IF($E355="","",(B355+C355+D355)*Rate_Builder)</f>
        <v/>
      </c>
      <c r="O355" s="31">
        <f>IF($E355="","",E355*K355/(1-K355))</f>
        <v/>
      </c>
      <c r="P355" s="34">
        <f>IF(OR($E355="",B355=0),"",L355/B355*10000)</f>
        <v/>
      </c>
      <c r="Q355" s="34">
        <f>IF(OR($E355="",C355=0),"",F355/C355*10000)</f>
        <v/>
      </c>
      <c r="R355" s="34">
        <f>IF(OR($E355="",D355=0),"",'Daily Data'!I355/D355*10000)</f>
        <v/>
      </c>
    </row>
    <row r="356">
      <c r="A356" s="30" t="n">
        <v>46010</v>
      </c>
      <c r="B356" s="31">
        <f>'Daily Data'!B356-'Daily Data'!D356</f>
        <v/>
      </c>
      <c r="C356" s="32">
        <f>'Daily Data'!D356</f>
        <v/>
      </c>
      <c r="D356" s="32">
        <f>'Daily Data'!C356</f>
        <v/>
      </c>
      <c r="E356" s="32">
        <f>IF('Daily Data'!E356="","",'Daily Data'!E356)</f>
        <v/>
      </c>
      <c r="F356" s="32">
        <f>IF($E356="","",'Daily Data'!F356)</f>
        <v/>
      </c>
      <c r="G356" s="32">
        <f>IF($E356="","",'Daily Data'!G356)</f>
        <v/>
      </c>
      <c r="H356" s="31">
        <f>IF($E356="","",F356-G356)</f>
        <v/>
      </c>
      <c r="I356" s="32">
        <f>IF($E356="","",'Daily Data'!H356)</f>
        <v/>
      </c>
      <c r="J356" s="31">
        <f>IF($E356="","",E356-H356-I356)</f>
        <v/>
      </c>
      <c r="K356" s="33">
        <f>IF($E356="","",IF(A356&lt;HLP_ChangeDate,HLP_Legacy,HLP_Current))</f>
        <v/>
      </c>
      <c r="L356" s="31">
        <f>IF($E356="","",J356/(1-K356))</f>
        <v/>
      </c>
      <c r="M356" s="31">
        <f>IF($E356="","",I356/(1-K356))</f>
        <v/>
      </c>
      <c r="N356" s="31">
        <f>IF($E356="","",(B356+C356+D356)*Rate_Builder)</f>
        <v/>
      </c>
      <c r="O356" s="31">
        <f>IF($E356="","",E356*K356/(1-K356))</f>
        <v/>
      </c>
      <c r="P356" s="34">
        <f>IF(OR($E356="",B356=0),"",L356/B356*10000)</f>
        <v/>
      </c>
      <c r="Q356" s="34">
        <f>IF(OR($E356="",C356=0),"",F356/C356*10000)</f>
        <v/>
      </c>
      <c r="R356" s="34">
        <f>IF(OR($E356="",D356=0),"",'Daily Data'!I356/D356*10000)</f>
        <v/>
      </c>
    </row>
    <row r="357">
      <c r="A357" s="30" t="n">
        <v>46011</v>
      </c>
      <c r="B357" s="31">
        <f>'Daily Data'!B357-'Daily Data'!D357</f>
        <v/>
      </c>
      <c r="C357" s="32">
        <f>'Daily Data'!D357</f>
        <v/>
      </c>
      <c r="D357" s="32">
        <f>'Daily Data'!C357</f>
        <v/>
      </c>
      <c r="E357" s="32">
        <f>IF('Daily Data'!E357="","",'Daily Data'!E357)</f>
        <v/>
      </c>
      <c r="F357" s="32">
        <f>IF($E357="","",'Daily Data'!F357)</f>
        <v/>
      </c>
      <c r="G357" s="32">
        <f>IF($E357="","",'Daily Data'!G357)</f>
        <v/>
      </c>
      <c r="H357" s="31">
        <f>IF($E357="","",F357-G357)</f>
        <v/>
      </c>
      <c r="I357" s="32">
        <f>IF($E357="","",'Daily Data'!H357)</f>
        <v/>
      </c>
      <c r="J357" s="31">
        <f>IF($E357="","",E357-H357-I357)</f>
        <v/>
      </c>
      <c r="K357" s="33">
        <f>IF($E357="","",IF(A357&lt;HLP_ChangeDate,HLP_Legacy,HLP_Current))</f>
        <v/>
      </c>
      <c r="L357" s="31">
        <f>IF($E357="","",J357/(1-K357))</f>
        <v/>
      </c>
      <c r="M357" s="31">
        <f>IF($E357="","",I357/(1-K357))</f>
        <v/>
      </c>
      <c r="N357" s="31">
        <f>IF($E357="","",(B357+C357+D357)*Rate_Builder)</f>
        <v/>
      </c>
      <c r="O357" s="31">
        <f>IF($E357="","",E357*K357/(1-K357))</f>
        <v/>
      </c>
      <c r="P357" s="34">
        <f>IF(OR($E357="",B357=0),"",L357/B357*10000)</f>
        <v/>
      </c>
      <c r="Q357" s="34">
        <f>IF(OR($E357="",C357=0),"",F357/C357*10000)</f>
        <v/>
      </c>
      <c r="R357" s="34">
        <f>IF(OR($E357="",D357=0),"",'Daily Data'!I357/D357*10000)</f>
        <v/>
      </c>
    </row>
    <row r="358">
      <c r="A358" s="30" t="n">
        <v>46012</v>
      </c>
      <c r="B358" s="31">
        <f>'Daily Data'!B358-'Daily Data'!D358</f>
        <v/>
      </c>
      <c r="C358" s="32">
        <f>'Daily Data'!D358</f>
        <v/>
      </c>
      <c r="D358" s="32">
        <f>'Daily Data'!C358</f>
        <v/>
      </c>
      <c r="E358" s="32">
        <f>IF('Daily Data'!E358="","",'Daily Data'!E358)</f>
        <v/>
      </c>
      <c r="F358" s="32">
        <f>IF($E358="","",'Daily Data'!F358)</f>
        <v/>
      </c>
      <c r="G358" s="32">
        <f>IF($E358="","",'Daily Data'!G358)</f>
        <v/>
      </c>
      <c r="H358" s="31">
        <f>IF($E358="","",F358-G358)</f>
        <v/>
      </c>
      <c r="I358" s="32">
        <f>IF($E358="","",'Daily Data'!H358)</f>
        <v/>
      </c>
      <c r="J358" s="31">
        <f>IF($E358="","",E358-H358-I358)</f>
        <v/>
      </c>
      <c r="K358" s="33">
        <f>IF($E358="","",IF(A358&lt;HLP_ChangeDate,HLP_Legacy,HLP_Current))</f>
        <v/>
      </c>
      <c r="L358" s="31">
        <f>IF($E358="","",J358/(1-K358))</f>
        <v/>
      </c>
      <c r="M358" s="31">
        <f>IF($E358="","",I358/(1-K358))</f>
        <v/>
      </c>
      <c r="N358" s="31">
        <f>IF($E358="","",(B358+C358+D358)*Rate_Builder)</f>
        <v/>
      </c>
      <c r="O358" s="31">
        <f>IF($E358="","",E358*K358/(1-K358))</f>
        <v/>
      </c>
      <c r="P358" s="34">
        <f>IF(OR($E358="",B358=0),"",L358/B358*10000)</f>
        <v/>
      </c>
      <c r="Q358" s="34">
        <f>IF(OR($E358="",C358=0),"",F358/C358*10000)</f>
        <v/>
      </c>
      <c r="R358" s="34">
        <f>IF(OR($E358="",D358=0),"",'Daily Data'!I358/D358*10000)</f>
        <v/>
      </c>
    </row>
    <row r="359">
      <c r="A359" s="30" t="n">
        <v>46013</v>
      </c>
      <c r="B359" s="31">
        <f>'Daily Data'!B359-'Daily Data'!D359</f>
        <v/>
      </c>
      <c r="C359" s="32">
        <f>'Daily Data'!D359</f>
        <v/>
      </c>
      <c r="D359" s="32">
        <f>'Daily Data'!C359</f>
        <v/>
      </c>
      <c r="E359" s="32">
        <f>IF('Daily Data'!E359="","",'Daily Data'!E359)</f>
        <v/>
      </c>
      <c r="F359" s="32">
        <f>IF($E359="","",'Daily Data'!F359)</f>
        <v/>
      </c>
      <c r="G359" s="32">
        <f>IF($E359="","",'Daily Data'!G359)</f>
        <v/>
      </c>
      <c r="H359" s="31">
        <f>IF($E359="","",F359-G359)</f>
        <v/>
      </c>
      <c r="I359" s="32">
        <f>IF($E359="","",'Daily Data'!H359)</f>
        <v/>
      </c>
      <c r="J359" s="31">
        <f>IF($E359="","",E359-H359-I359)</f>
        <v/>
      </c>
      <c r="K359" s="33">
        <f>IF($E359="","",IF(A359&lt;HLP_ChangeDate,HLP_Legacy,HLP_Current))</f>
        <v/>
      </c>
      <c r="L359" s="31">
        <f>IF($E359="","",J359/(1-K359))</f>
        <v/>
      </c>
      <c r="M359" s="31">
        <f>IF($E359="","",I359/(1-K359))</f>
        <v/>
      </c>
      <c r="N359" s="31">
        <f>IF($E359="","",(B359+C359+D359)*Rate_Builder)</f>
        <v/>
      </c>
      <c r="O359" s="31">
        <f>IF($E359="","",E359*K359/(1-K359))</f>
        <v/>
      </c>
      <c r="P359" s="34">
        <f>IF(OR($E359="",B359=0),"",L359/B359*10000)</f>
        <v/>
      </c>
      <c r="Q359" s="34">
        <f>IF(OR($E359="",C359=0),"",F359/C359*10000)</f>
        <v/>
      </c>
      <c r="R359" s="34">
        <f>IF(OR($E359="",D359=0),"",'Daily Data'!I359/D359*10000)</f>
        <v/>
      </c>
    </row>
    <row r="360">
      <c r="A360" s="30" t="n">
        <v>46014</v>
      </c>
      <c r="B360" s="31">
        <f>'Daily Data'!B360-'Daily Data'!D360</f>
        <v/>
      </c>
      <c r="C360" s="32">
        <f>'Daily Data'!D360</f>
        <v/>
      </c>
      <c r="D360" s="32">
        <f>'Daily Data'!C360</f>
        <v/>
      </c>
      <c r="E360" s="32">
        <f>IF('Daily Data'!E360="","",'Daily Data'!E360)</f>
        <v/>
      </c>
      <c r="F360" s="32">
        <f>IF($E360="","",'Daily Data'!F360)</f>
        <v/>
      </c>
      <c r="G360" s="32">
        <f>IF($E360="","",'Daily Data'!G360)</f>
        <v/>
      </c>
      <c r="H360" s="31">
        <f>IF($E360="","",F360-G360)</f>
        <v/>
      </c>
      <c r="I360" s="32">
        <f>IF($E360="","",'Daily Data'!H360)</f>
        <v/>
      </c>
      <c r="J360" s="31">
        <f>IF($E360="","",E360-H360-I360)</f>
        <v/>
      </c>
      <c r="K360" s="33">
        <f>IF($E360="","",IF(A360&lt;HLP_ChangeDate,HLP_Legacy,HLP_Current))</f>
        <v/>
      </c>
      <c r="L360" s="31">
        <f>IF($E360="","",J360/(1-K360))</f>
        <v/>
      </c>
      <c r="M360" s="31">
        <f>IF($E360="","",I360/(1-K360))</f>
        <v/>
      </c>
      <c r="N360" s="31">
        <f>IF($E360="","",(B360+C360+D360)*Rate_Builder)</f>
        <v/>
      </c>
      <c r="O360" s="31">
        <f>IF($E360="","",E360*K360/(1-K360))</f>
        <v/>
      </c>
      <c r="P360" s="34">
        <f>IF(OR($E360="",B360=0),"",L360/B360*10000)</f>
        <v/>
      </c>
      <c r="Q360" s="34">
        <f>IF(OR($E360="",C360=0),"",F360/C360*10000)</f>
        <v/>
      </c>
      <c r="R360" s="34">
        <f>IF(OR($E360="",D360=0),"",'Daily Data'!I360/D360*10000)</f>
        <v/>
      </c>
    </row>
    <row r="361">
      <c r="A361" s="30" t="n">
        <v>46015</v>
      </c>
      <c r="B361" s="31">
        <f>'Daily Data'!B361-'Daily Data'!D361</f>
        <v/>
      </c>
      <c r="C361" s="32">
        <f>'Daily Data'!D361</f>
        <v/>
      </c>
      <c r="D361" s="32">
        <f>'Daily Data'!C361</f>
        <v/>
      </c>
      <c r="E361" s="32">
        <f>IF('Daily Data'!E361="","",'Daily Data'!E361)</f>
        <v/>
      </c>
      <c r="F361" s="32">
        <f>IF($E361="","",'Daily Data'!F361)</f>
        <v/>
      </c>
      <c r="G361" s="32">
        <f>IF($E361="","",'Daily Data'!G361)</f>
        <v/>
      </c>
      <c r="H361" s="31">
        <f>IF($E361="","",F361-G361)</f>
        <v/>
      </c>
      <c r="I361" s="32">
        <f>IF($E361="","",'Daily Data'!H361)</f>
        <v/>
      </c>
      <c r="J361" s="31">
        <f>IF($E361="","",E361-H361-I361)</f>
        <v/>
      </c>
      <c r="K361" s="33">
        <f>IF($E361="","",IF(A361&lt;HLP_ChangeDate,HLP_Legacy,HLP_Current))</f>
        <v/>
      </c>
      <c r="L361" s="31">
        <f>IF($E361="","",J361/(1-K361))</f>
        <v/>
      </c>
      <c r="M361" s="31">
        <f>IF($E361="","",I361/(1-K361))</f>
        <v/>
      </c>
      <c r="N361" s="31">
        <f>IF($E361="","",(B361+C361+D361)*Rate_Builder)</f>
        <v/>
      </c>
      <c r="O361" s="31">
        <f>IF($E361="","",E361*K361/(1-K361))</f>
        <v/>
      </c>
      <c r="P361" s="34">
        <f>IF(OR($E361="",B361=0),"",L361/B361*10000)</f>
        <v/>
      </c>
      <c r="Q361" s="34">
        <f>IF(OR($E361="",C361=0),"",F361/C361*10000)</f>
        <v/>
      </c>
      <c r="R361" s="34">
        <f>IF(OR($E361="",D361=0),"",'Daily Data'!I361/D361*10000)</f>
        <v/>
      </c>
    </row>
    <row r="362">
      <c r="A362" s="30" t="n">
        <v>46016</v>
      </c>
      <c r="B362" s="31">
        <f>'Daily Data'!B362-'Daily Data'!D362</f>
        <v/>
      </c>
      <c r="C362" s="32">
        <f>'Daily Data'!D362</f>
        <v/>
      </c>
      <c r="D362" s="32">
        <f>'Daily Data'!C362</f>
        <v/>
      </c>
      <c r="E362" s="32">
        <f>IF('Daily Data'!E362="","",'Daily Data'!E362)</f>
        <v/>
      </c>
      <c r="F362" s="32">
        <f>IF($E362="","",'Daily Data'!F362)</f>
        <v/>
      </c>
      <c r="G362" s="32">
        <f>IF($E362="","",'Daily Data'!G362)</f>
        <v/>
      </c>
      <c r="H362" s="31">
        <f>IF($E362="","",F362-G362)</f>
        <v/>
      </c>
      <c r="I362" s="32">
        <f>IF($E362="","",'Daily Data'!H362)</f>
        <v/>
      </c>
      <c r="J362" s="31">
        <f>IF($E362="","",E362-H362-I362)</f>
        <v/>
      </c>
      <c r="K362" s="33">
        <f>IF($E362="","",IF(A362&lt;HLP_ChangeDate,HLP_Legacy,HLP_Current))</f>
        <v/>
      </c>
      <c r="L362" s="31">
        <f>IF($E362="","",J362/(1-K362))</f>
        <v/>
      </c>
      <c r="M362" s="31">
        <f>IF($E362="","",I362/(1-K362))</f>
        <v/>
      </c>
      <c r="N362" s="31">
        <f>IF($E362="","",(B362+C362+D362)*Rate_Builder)</f>
        <v/>
      </c>
      <c r="O362" s="31">
        <f>IF($E362="","",E362*K362/(1-K362))</f>
        <v/>
      </c>
      <c r="P362" s="34">
        <f>IF(OR($E362="",B362=0),"",L362/B362*10000)</f>
        <v/>
      </c>
      <c r="Q362" s="34">
        <f>IF(OR($E362="",C362=0),"",F362/C362*10000)</f>
        <v/>
      </c>
      <c r="R362" s="34">
        <f>IF(OR($E362="",D362=0),"",'Daily Data'!I362/D362*10000)</f>
        <v/>
      </c>
    </row>
    <row r="363">
      <c r="A363" s="30" t="n">
        <v>46017</v>
      </c>
      <c r="B363" s="31">
        <f>'Daily Data'!B363-'Daily Data'!D363</f>
        <v/>
      </c>
      <c r="C363" s="32">
        <f>'Daily Data'!D363</f>
        <v/>
      </c>
      <c r="D363" s="32">
        <f>'Daily Data'!C363</f>
        <v/>
      </c>
      <c r="E363" s="32">
        <f>IF('Daily Data'!E363="","",'Daily Data'!E363)</f>
        <v/>
      </c>
      <c r="F363" s="32">
        <f>IF($E363="","",'Daily Data'!F363)</f>
        <v/>
      </c>
      <c r="G363" s="32">
        <f>IF($E363="","",'Daily Data'!G363)</f>
        <v/>
      </c>
      <c r="H363" s="31">
        <f>IF($E363="","",F363-G363)</f>
        <v/>
      </c>
      <c r="I363" s="32">
        <f>IF($E363="","",'Daily Data'!H363)</f>
        <v/>
      </c>
      <c r="J363" s="31">
        <f>IF($E363="","",E363-H363-I363)</f>
        <v/>
      </c>
      <c r="K363" s="33">
        <f>IF($E363="","",IF(A363&lt;HLP_ChangeDate,HLP_Legacy,HLP_Current))</f>
        <v/>
      </c>
      <c r="L363" s="31">
        <f>IF($E363="","",J363/(1-K363))</f>
        <v/>
      </c>
      <c r="M363" s="31">
        <f>IF($E363="","",I363/(1-K363))</f>
        <v/>
      </c>
      <c r="N363" s="31">
        <f>IF($E363="","",(B363+C363+D363)*Rate_Builder)</f>
        <v/>
      </c>
      <c r="O363" s="31">
        <f>IF($E363="","",E363*K363/(1-K363))</f>
        <v/>
      </c>
      <c r="P363" s="34">
        <f>IF(OR($E363="",B363=0),"",L363/B363*10000)</f>
        <v/>
      </c>
      <c r="Q363" s="34">
        <f>IF(OR($E363="",C363=0),"",F363/C363*10000)</f>
        <v/>
      </c>
      <c r="R363" s="34">
        <f>IF(OR($E363="",D363=0),"",'Daily Data'!I363/D363*10000)</f>
        <v/>
      </c>
    </row>
    <row r="364">
      <c r="A364" s="30" t="n">
        <v>46018</v>
      </c>
      <c r="B364" s="31">
        <f>'Daily Data'!B364-'Daily Data'!D364</f>
        <v/>
      </c>
      <c r="C364" s="32">
        <f>'Daily Data'!D364</f>
        <v/>
      </c>
      <c r="D364" s="32">
        <f>'Daily Data'!C364</f>
        <v/>
      </c>
      <c r="E364" s="32">
        <f>IF('Daily Data'!E364="","",'Daily Data'!E364)</f>
        <v/>
      </c>
      <c r="F364" s="32">
        <f>IF($E364="","",'Daily Data'!F364)</f>
        <v/>
      </c>
      <c r="G364" s="32">
        <f>IF($E364="","",'Daily Data'!G364)</f>
        <v/>
      </c>
      <c r="H364" s="31">
        <f>IF($E364="","",F364-G364)</f>
        <v/>
      </c>
      <c r="I364" s="32">
        <f>IF($E364="","",'Daily Data'!H364)</f>
        <v/>
      </c>
      <c r="J364" s="31">
        <f>IF($E364="","",E364-H364-I364)</f>
        <v/>
      </c>
      <c r="K364" s="33">
        <f>IF($E364="","",IF(A364&lt;HLP_ChangeDate,HLP_Legacy,HLP_Current))</f>
        <v/>
      </c>
      <c r="L364" s="31">
        <f>IF($E364="","",J364/(1-K364))</f>
        <v/>
      </c>
      <c r="M364" s="31">
        <f>IF($E364="","",I364/(1-K364))</f>
        <v/>
      </c>
      <c r="N364" s="31">
        <f>IF($E364="","",(B364+C364+D364)*Rate_Builder)</f>
        <v/>
      </c>
      <c r="O364" s="31">
        <f>IF($E364="","",E364*K364/(1-K364))</f>
        <v/>
      </c>
      <c r="P364" s="34">
        <f>IF(OR($E364="",B364=0),"",L364/B364*10000)</f>
        <v/>
      </c>
      <c r="Q364" s="34">
        <f>IF(OR($E364="",C364=0),"",F364/C364*10000)</f>
        <v/>
      </c>
      <c r="R364" s="34">
        <f>IF(OR($E364="",D364=0),"",'Daily Data'!I364/D364*10000)</f>
        <v/>
      </c>
    </row>
    <row r="365">
      <c r="A365" s="30" t="n">
        <v>46019</v>
      </c>
      <c r="B365" s="31">
        <f>'Daily Data'!B365-'Daily Data'!D365</f>
        <v/>
      </c>
      <c r="C365" s="32">
        <f>'Daily Data'!D365</f>
        <v/>
      </c>
      <c r="D365" s="32">
        <f>'Daily Data'!C365</f>
        <v/>
      </c>
      <c r="E365" s="32">
        <f>IF('Daily Data'!E365="","",'Daily Data'!E365)</f>
        <v/>
      </c>
      <c r="F365" s="32">
        <f>IF($E365="","",'Daily Data'!F365)</f>
        <v/>
      </c>
      <c r="G365" s="32">
        <f>IF($E365="","",'Daily Data'!G365)</f>
        <v/>
      </c>
      <c r="H365" s="31">
        <f>IF($E365="","",F365-G365)</f>
        <v/>
      </c>
      <c r="I365" s="32">
        <f>IF($E365="","",'Daily Data'!H365)</f>
        <v/>
      </c>
      <c r="J365" s="31">
        <f>IF($E365="","",E365-H365-I365)</f>
        <v/>
      </c>
      <c r="K365" s="33">
        <f>IF($E365="","",IF(A365&lt;HLP_ChangeDate,HLP_Legacy,HLP_Current))</f>
        <v/>
      </c>
      <c r="L365" s="31">
        <f>IF($E365="","",J365/(1-K365))</f>
        <v/>
      </c>
      <c r="M365" s="31">
        <f>IF($E365="","",I365/(1-K365))</f>
        <v/>
      </c>
      <c r="N365" s="31">
        <f>IF($E365="","",(B365+C365+D365)*Rate_Builder)</f>
        <v/>
      </c>
      <c r="O365" s="31">
        <f>IF($E365="","",E365*K365/(1-K365))</f>
        <v/>
      </c>
      <c r="P365" s="34">
        <f>IF(OR($E365="",B365=0),"",L365/B365*10000)</f>
        <v/>
      </c>
      <c r="Q365" s="34">
        <f>IF(OR($E365="",C365=0),"",F365/C365*10000)</f>
        <v/>
      </c>
      <c r="R365" s="34">
        <f>IF(OR($E365="",D365=0),"",'Daily Data'!I365/D365*10000)</f>
        <v/>
      </c>
    </row>
    <row r="366">
      <c r="A366" s="30" t="n">
        <v>46020</v>
      </c>
      <c r="B366" s="31">
        <f>'Daily Data'!B366-'Daily Data'!D366</f>
        <v/>
      </c>
      <c r="C366" s="32">
        <f>'Daily Data'!D366</f>
        <v/>
      </c>
      <c r="D366" s="32">
        <f>'Daily Data'!C366</f>
        <v/>
      </c>
      <c r="E366" s="32">
        <f>IF('Daily Data'!E366="","",'Daily Data'!E366)</f>
        <v/>
      </c>
      <c r="F366" s="32">
        <f>IF($E366="","",'Daily Data'!F366)</f>
        <v/>
      </c>
      <c r="G366" s="32">
        <f>IF($E366="","",'Daily Data'!G366)</f>
        <v/>
      </c>
      <c r="H366" s="31">
        <f>IF($E366="","",F366-G366)</f>
        <v/>
      </c>
      <c r="I366" s="32">
        <f>IF($E366="","",'Daily Data'!H366)</f>
        <v/>
      </c>
      <c r="J366" s="31">
        <f>IF($E366="","",E366-H366-I366)</f>
        <v/>
      </c>
      <c r="K366" s="33">
        <f>IF($E366="","",IF(A366&lt;HLP_ChangeDate,HLP_Legacy,HLP_Current))</f>
        <v/>
      </c>
      <c r="L366" s="31">
        <f>IF($E366="","",J366/(1-K366))</f>
        <v/>
      </c>
      <c r="M366" s="31">
        <f>IF($E366="","",I366/(1-K366))</f>
        <v/>
      </c>
      <c r="N366" s="31">
        <f>IF($E366="","",(B366+C366+D366)*Rate_Builder)</f>
        <v/>
      </c>
      <c r="O366" s="31">
        <f>IF($E366="","",E366*K366/(1-K366))</f>
        <v/>
      </c>
      <c r="P366" s="34">
        <f>IF(OR($E366="",B366=0),"",L366/B366*10000)</f>
        <v/>
      </c>
      <c r="Q366" s="34">
        <f>IF(OR($E366="",C366=0),"",F366/C366*10000)</f>
        <v/>
      </c>
      <c r="R366" s="34">
        <f>IF(OR($E366="",D366=0),"",'Daily Data'!I366/D366*10000)</f>
        <v/>
      </c>
    </row>
    <row r="367">
      <c r="A367" s="30" t="n">
        <v>46021</v>
      </c>
      <c r="B367" s="31">
        <f>'Daily Data'!B367-'Daily Data'!D367</f>
        <v/>
      </c>
      <c r="C367" s="32">
        <f>'Daily Data'!D367</f>
        <v/>
      </c>
      <c r="D367" s="32">
        <f>'Daily Data'!C367</f>
        <v/>
      </c>
      <c r="E367" s="32">
        <f>IF('Daily Data'!E367="","",'Daily Data'!E367)</f>
        <v/>
      </c>
      <c r="F367" s="32">
        <f>IF($E367="","",'Daily Data'!F367)</f>
        <v/>
      </c>
      <c r="G367" s="32">
        <f>IF($E367="","",'Daily Data'!G367)</f>
        <v/>
      </c>
      <c r="H367" s="31">
        <f>IF($E367="","",F367-G367)</f>
        <v/>
      </c>
      <c r="I367" s="32">
        <f>IF($E367="","",'Daily Data'!H367)</f>
        <v/>
      </c>
      <c r="J367" s="31">
        <f>IF($E367="","",E367-H367-I367)</f>
        <v/>
      </c>
      <c r="K367" s="33">
        <f>IF($E367="","",IF(A367&lt;HLP_ChangeDate,HLP_Legacy,HLP_Current))</f>
        <v/>
      </c>
      <c r="L367" s="31">
        <f>IF($E367="","",J367/(1-K367))</f>
        <v/>
      </c>
      <c r="M367" s="31">
        <f>IF($E367="","",I367/(1-K367))</f>
        <v/>
      </c>
      <c r="N367" s="31">
        <f>IF($E367="","",(B367+C367+D367)*Rate_Builder)</f>
        <v/>
      </c>
      <c r="O367" s="31">
        <f>IF($E367="","",E367*K367/(1-K367))</f>
        <v/>
      </c>
      <c r="P367" s="34">
        <f>IF(OR($E367="",B367=0),"",L367/B367*10000)</f>
        <v/>
      </c>
      <c r="Q367" s="34">
        <f>IF(OR($E367="",C367=0),"",F367/C367*10000)</f>
        <v/>
      </c>
      <c r="R367" s="34">
        <f>IF(OR($E367="",D367=0),"",'Daily Data'!I367/D367*10000)</f>
        <v/>
      </c>
    </row>
    <row r="368">
      <c r="A368" s="30" t="n">
        <v>46022</v>
      </c>
      <c r="B368" s="31">
        <f>'Daily Data'!B368-'Daily Data'!D368</f>
        <v/>
      </c>
      <c r="C368" s="32">
        <f>'Daily Data'!D368</f>
        <v/>
      </c>
      <c r="D368" s="32">
        <f>'Daily Data'!C368</f>
        <v/>
      </c>
      <c r="E368" s="32">
        <f>IF('Daily Data'!E368="","",'Daily Data'!E368)</f>
        <v/>
      </c>
      <c r="F368" s="32">
        <f>IF($E368="","",'Daily Data'!F368)</f>
        <v/>
      </c>
      <c r="G368" s="32">
        <f>IF($E368="","",'Daily Data'!G368)</f>
        <v/>
      </c>
      <c r="H368" s="31">
        <f>IF($E368="","",F368-G368)</f>
        <v/>
      </c>
      <c r="I368" s="32">
        <f>IF($E368="","",'Daily Data'!H368)</f>
        <v/>
      </c>
      <c r="J368" s="31">
        <f>IF($E368="","",E368-H368-I368)</f>
        <v/>
      </c>
      <c r="K368" s="33">
        <f>IF($E368="","",IF(A368&lt;HLP_ChangeDate,HLP_Legacy,HLP_Current))</f>
        <v/>
      </c>
      <c r="L368" s="31">
        <f>IF($E368="","",J368/(1-K368))</f>
        <v/>
      </c>
      <c r="M368" s="31">
        <f>IF($E368="","",I368/(1-K368))</f>
        <v/>
      </c>
      <c r="N368" s="31">
        <f>IF($E368="","",(B368+C368+D368)*Rate_Builder)</f>
        <v/>
      </c>
      <c r="O368" s="31">
        <f>IF($E368="","",E368*K368/(1-K368))</f>
        <v/>
      </c>
      <c r="P368" s="34">
        <f>IF(OR($E368="",B368=0),"",L368/B368*10000)</f>
        <v/>
      </c>
      <c r="Q368" s="34">
        <f>IF(OR($E368="",C368=0),"",F368/C368*10000)</f>
        <v/>
      </c>
      <c r="R368" s="34">
        <f>IF(OR($E368="",D368=0),"",'Daily Data'!I368/D368*10000)</f>
        <v/>
      </c>
    </row>
    <row r="369">
      <c r="A369" s="30" t="n">
        <v>46023</v>
      </c>
      <c r="B369" s="31">
        <f>'Daily Data'!B369-'Daily Data'!D369</f>
        <v/>
      </c>
      <c r="C369" s="32">
        <f>'Daily Data'!D369</f>
        <v/>
      </c>
      <c r="D369" s="32">
        <f>'Daily Data'!C369</f>
        <v/>
      </c>
      <c r="E369" s="32">
        <f>IF('Daily Data'!E369="","",'Daily Data'!E369)</f>
        <v/>
      </c>
      <c r="F369" s="32">
        <f>IF($E369="","",'Daily Data'!F369)</f>
        <v/>
      </c>
      <c r="G369" s="32">
        <f>IF($E369="","",'Daily Data'!G369)</f>
        <v/>
      </c>
      <c r="H369" s="31">
        <f>IF($E369="","",F369-G369)</f>
        <v/>
      </c>
      <c r="I369" s="32">
        <f>IF($E369="","",'Daily Data'!H369)</f>
        <v/>
      </c>
      <c r="J369" s="31">
        <f>IF($E369="","",E369-H369-I369)</f>
        <v/>
      </c>
      <c r="K369" s="33">
        <f>IF($E369="","",IF(A369&lt;HLP_ChangeDate,HLP_Legacy,HLP_Current))</f>
        <v/>
      </c>
      <c r="L369" s="31">
        <f>IF($E369="","",J369/(1-K369))</f>
        <v/>
      </c>
      <c r="M369" s="31">
        <f>IF($E369="","",I369/(1-K369))</f>
        <v/>
      </c>
      <c r="N369" s="31">
        <f>IF($E369="","",(B369+C369+D369)*Rate_Builder)</f>
        <v/>
      </c>
      <c r="O369" s="31">
        <f>IF($E369="","",E369*K369/(1-K369))</f>
        <v/>
      </c>
      <c r="P369" s="34">
        <f>IF(OR($E369="",B369=0),"",L369/B369*10000)</f>
        <v/>
      </c>
      <c r="Q369" s="34">
        <f>IF(OR($E369="",C369=0),"",F369/C369*10000)</f>
        <v/>
      </c>
      <c r="R369" s="34">
        <f>IF(OR($E369="",D369=0),"",'Daily Data'!I369/D369*10000)</f>
        <v/>
      </c>
    </row>
    <row r="370">
      <c r="A370" s="30" t="n">
        <v>46024</v>
      </c>
      <c r="B370" s="31">
        <f>'Daily Data'!B370-'Daily Data'!D370</f>
        <v/>
      </c>
      <c r="C370" s="32">
        <f>'Daily Data'!D370</f>
        <v/>
      </c>
      <c r="D370" s="32">
        <f>'Daily Data'!C370</f>
        <v/>
      </c>
      <c r="E370" s="32">
        <f>IF('Daily Data'!E370="","",'Daily Data'!E370)</f>
        <v/>
      </c>
      <c r="F370" s="32">
        <f>IF($E370="","",'Daily Data'!F370)</f>
        <v/>
      </c>
      <c r="G370" s="32">
        <f>IF($E370="","",'Daily Data'!G370)</f>
        <v/>
      </c>
      <c r="H370" s="31">
        <f>IF($E370="","",F370-G370)</f>
        <v/>
      </c>
      <c r="I370" s="32">
        <f>IF($E370="","",'Daily Data'!H370)</f>
        <v/>
      </c>
      <c r="J370" s="31">
        <f>IF($E370="","",E370-H370-I370)</f>
        <v/>
      </c>
      <c r="K370" s="33">
        <f>IF($E370="","",IF(A370&lt;HLP_ChangeDate,HLP_Legacy,HLP_Current))</f>
        <v/>
      </c>
      <c r="L370" s="31">
        <f>IF($E370="","",J370/(1-K370))</f>
        <v/>
      </c>
      <c r="M370" s="31">
        <f>IF($E370="","",I370/(1-K370))</f>
        <v/>
      </c>
      <c r="N370" s="31">
        <f>IF($E370="","",(B370+C370+D370)*Rate_Builder)</f>
        <v/>
      </c>
      <c r="O370" s="31">
        <f>IF($E370="","",E370*K370/(1-K370))</f>
        <v/>
      </c>
      <c r="P370" s="34">
        <f>IF(OR($E370="",B370=0),"",L370/B370*10000)</f>
        <v/>
      </c>
      <c r="Q370" s="34">
        <f>IF(OR($E370="",C370=0),"",F370/C370*10000)</f>
        <v/>
      </c>
      <c r="R370" s="34">
        <f>IF(OR($E370="",D370=0),"",'Daily Data'!I370/D370*10000)</f>
        <v/>
      </c>
    </row>
    <row r="371">
      <c r="A371" s="30" t="n">
        <v>46025</v>
      </c>
      <c r="B371" s="31">
        <f>'Daily Data'!B371-'Daily Data'!D371</f>
        <v/>
      </c>
      <c r="C371" s="32">
        <f>'Daily Data'!D371</f>
        <v/>
      </c>
      <c r="D371" s="32">
        <f>'Daily Data'!C371</f>
        <v/>
      </c>
      <c r="E371" s="32">
        <f>IF('Daily Data'!E371="","",'Daily Data'!E371)</f>
        <v/>
      </c>
      <c r="F371" s="32">
        <f>IF($E371="","",'Daily Data'!F371)</f>
        <v/>
      </c>
      <c r="G371" s="32">
        <f>IF($E371="","",'Daily Data'!G371)</f>
        <v/>
      </c>
      <c r="H371" s="31">
        <f>IF($E371="","",F371-G371)</f>
        <v/>
      </c>
      <c r="I371" s="32">
        <f>IF($E371="","",'Daily Data'!H371)</f>
        <v/>
      </c>
      <c r="J371" s="31">
        <f>IF($E371="","",E371-H371-I371)</f>
        <v/>
      </c>
      <c r="K371" s="33">
        <f>IF($E371="","",IF(A371&lt;HLP_ChangeDate,HLP_Legacy,HLP_Current))</f>
        <v/>
      </c>
      <c r="L371" s="31">
        <f>IF($E371="","",J371/(1-K371))</f>
        <v/>
      </c>
      <c r="M371" s="31">
        <f>IF($E371="","",I371/(1-K371))</f>
        <v/>
      </c>
      <c r="N371" s="31">
        <f>IF($E371="","",(B371+C371+D371)*Rate_Builder)</f>
        <v/>
      </c>
      <c r="O371" s="31">
        <f>IF($E371="","",E371*K371/(1-K371))</f>
        <v/>
      </c>
      <c r="P371" s="34">
        <f>IF(OR($E371="",B371=0),"",L371/B371*10000)</f>
        <v/>
      </c>
      <c r="Q371" s="34">
        <f>IF(OR($E371="",C371=0),"",F371/C371*10000)</f>
        <v/>
      </c>
      <c r="R371" s="34">
        <f>IF(OR($E371="",D371=0),"",'Daily Data'!I371/D371*10000)</f>
        <v/>
      </c>
    </row>
    <row r="372">
      <c r="A372" s="30" t="n">
        <v>46026</v>
      </c>
      <c r="B372" s="31">
        <f>'Daily Data'!B372-'Daily Data'!D372</f>
        <v/>
      </c>
      <c r="C372" s="32">
        <f>'Daily Data'!D372</f>
        <v/>
      </c>
      <c r="D372" s="32">
        <f>'Daily Data'!C372</f>
        <v/>
      </c>
      <c r="E372" s="32">
        <f>IF('Daily Data'!E372="","",'Daily Data'!E372)</f>
        <v/>
      </c>
      <c r="F372" s="32">
        <f>IF($E372="","",'Daily Data'!F372)</f>
        <v/>
      </c>
      <c r="G372" s="32">
        <f>IF($E372="","",'Daily Data'!G372)</f>
        <v/>
      </c>
      <c r="H372" s="31">
        <f>IF($E372="","",F372-G372)</f>
        <v/>
      </c>
      <c r="I372" s="32">
        <f>IF($E372="","",'Daily Data'!H372)</f>
        <v/>
      </c>
      <c r="J372" s="31">
        <f>IF($E372="","",E372-H372-I372)</f>
        <v/>
      </c>
      <c r="K372" s="33">
        <f>IF($E372="","",IF(A372&lt;HLP_ChangeDate,HLP_Legacy,HLP_Current))</f>
        <v/>
      </c>
      <c r="L372" s="31">
        <f>IF($E372="","",J372/(1-K372))</f>
        <v/>
      </c>
      <c r="M372" s="31">
        <f>IF($E372="","",I372/(1-K372))</f>
        <v/>
      </c>
      <c r="N372" s="31">
        <f>IF($E372="","",(B372+C372+D372)*Rate_Builder)</f>
        <v/>
      </c>
      <c r="O372" s="31">
        <f>IF($E372="","",E372*K372/(1-K372))</f>
        <v/>
      </c>
      <c r="P372" s="34">
        <f>IF(OR($E372="",B372=0),"",L372/B372*10000)</f>
        <v/>
      </c>
      <c r="Q372" s="34">
        <f>IF(OR($E372="",C372=0),"",F372/C372*10000)</f>
        <v/>
      </c>
      <c r="R372" s="34">
        <f>IF(OR($E372="",D372=0),"",'Daily Data'!I372/D372*10000)</f>
        <v/>
      </c>
    </row>
    <row r="373">
      <c r="A373" s="30" t="n">
        <v>46027</v>
      </c>
      <c r="B373" s="31">
        <f>'Daily Data'!B373-'Daily Data'!D373</f>
        <v/>
      </c>
      <c r="C373" s="32">
        <f>'Daily Data'!D373</f>
        <v/>
      </c>
      <c r="D373" s="32">
        <f>'Daily Data'!C373</f>
        <v/>
      </c>
      <c r="E373" s="32">
        <f>IF('Daily Data'!E373="","",'Daily Data'!E373)</f>
        <v/>
      </c>
      <c r="F373" s="32">
        <f>IF($E373="","",'Daily Data'!F373)</f>
        <v/>
      </c>
      <c r="G373" s="32">
        <f>IF($E373="","",'Daily Data'!G373)</f>
        <v/>
      </c>
      <c r="H373" s="31">
        <f>IF($E373="","",F373-G373)</f>
        <v/>
      </c>
      <c r="I373" s="32">
        <f>IF($E373="","",'Daily Data'!H373)</f>
        <v/>
      </c>
      <c r="J373" s="31">
        <f>IF($E373="","",E373-H373-I373)</f>
        <v/>
      </c>
      <c r="K373" s="33">
        <f>IF($E373="","",IF(A373&lt;HLP_ChangeDate,HLP_Legacy,HLP_Current))</f>
        <v/>
      </c>
      <c r="L373" s="31">
        <f>IF($E373="","",J373/(1-K373))</f>
        <v/>
      </c>
      <c r="M373" s="31">
        <f>IF($E373="","",I373/(1-K373))</f>
        <v/>
      </c>
      <c r="N373" s="31">
        <f>IF($E373="","",(B373+C373+D373)*Rate_Builder)</f>
        <v/>
      </c>
      <c r="O373" s="31">
        <f>IF($E373="","",E373*K373/(1-K373))</f>
        <v/>
      </c>
      <c r="P373" s="34">
        <f>IF(OR($E373="",B373=0),"",L373/B373*10000)</f>
        <v/>
      </c>
      <c r="Q373" s="34">
        <f>IF(OR($E373="",C373=0),"",F373/C373*10000)</f>
        <v/>
      </c>
      <c r="R373" s="34">
        <f>IF(OR($E373="",D373=0),"",'Daily Data'!I373/D373*10000)</f>
        <v/>
      </c>
    </row>
    <row r="374">
      <c r="A374" s="30" t="n">
        <v>46028</v>
      </c>
      <c r="B374" s="31">
        <f>'Daily Data'!B374-'Daily Data'!D374</f>
        <v/>
      </c>
      <c r="C374" s="32">
        <f>'Daily Data'!D374</f>
        <v/>
      </c>
      <c r="D374" s="32">
        <f>'Daily Data'!C374</f>
        <v/>
      </c>
      <c r="E374" s="32">
        <f>IF('Daily Data'!E374="","",'Daily Data'!E374)</f>
        <v/>
      </c>
      <c r="F374" s="32">
        <f>IF($E374="","",'Daily Data'!F374)</f>
        <v/>
      </c>
      <c r="G374" s="32">
        <f>IF($E374="","",'Daily Data'!G374)</f>
        <v/>
      </c>
      <c r="H374" s="31">
        <f>IF($E374="","",F374-G374)</f>
        <v/>
      </c>
      <c r="I374" s="32">
        <f>IF($E374="","",'Daily Data'!H374)</f>
        <v/>
      </c>
      <c r="J374" s="31">
        <f>IF($E374="","",E374-H374-I374)</f>
        <v/>
      </c>
      <c r="K374" s="33">
        <f>IF($E374="","",IF(A374&lt;HLP_ChangeDate,HLP_Legacy,HLP_Current))</f>
        <v/>
      </c>
      <c r="L374" s="31">
        <f>IF($E374="","",J374/(1-K374))</f>
        <v/>
      </c>
      <c r="M374" s="31">
        <f>IF($E374="","",I374/(1-K374))</f>
        <v/>
      </c>
      <c r="N374" s="31">
        <f>IF($E374="","",(B374+C374+D374)*Rate_Builder)</f>
        <v/>
      </c>
      <c r="O374" s="31">
        <f>IF($E374="","",E374*K374/(1-K374))</f>
        <v/>
      </c>
      <c r="P374" s="34">
        <f>IF(OR($E374="",B374=0),"",L374/B374*10000)</f>
        <v/>
      </c>
      <c r="Q374" s="34">
        <f>IF(OR($E374="",C374=0),"",F374/C374*10000)</f>
        <v/>
      </c>
      <c r="R374" s="34">
        <f>IF(OR($E374="",D374=0),"",'Daily Data'!I374/D374*10000)</f>
        <v/>
      </c>
    </row>
    <row r="375">
      <c r="A375" s="30" t="n">
        <v>46029</v>
      </c>
      <c r="B375" s="31">
        <f>'Daily Data'!B375-'Daily Data'!D375</f>
        <v/>
      </c>
      <c r="C375" s="32">
        <f>'Daily Data'!D375</f>
        <v/>
      </c>
      <c r="D375" s="32">
        <f>'Daily Data'!C375</f>
        <v/>
      </c>
      <c r="E375" s="32">
        <f>IF('Daily Data'!E375="","",'Daily Data'!E375)</f>
        <v/>
      </c>
      <c r="F375" s="32">
        <f>IF($E375="","",'Daily Data'!F375)</f>
        <v/>
      </c>
      <c r="G375" s="32">
        <f>IF($E375="","",'Daily Data'!G375)</f>
        <v/>
      </c>
      <c r="H375" s="31">
        <f>IF($E375="","",F375-G375)</f>
        <v/>
      </c>
      <c r="I375" s="32">
        <f>IF($E375="","",'Daily Data'!H375)</f>
        <v/>
      </c>
      <c r="J375" s="31">
        <f>IF($E375="","",E375-H375-I375)</f>
        <v/>
      </c>
      <c r="K375" s="33">
        <f>IF($E375="","",IF(A375&lt;HLP_ChangeDate,HLP_Legacy,HLP_Current))</f>
        <v/>
      </c>
      <c r="L375" s="31">
        <f>IF($E375="","",J375/(1-K375))</f>
        <v/>
      </c>
      <c r="M375" s="31">
        <f>IF($E375="","",I375/(1-K375))</f>
        <v/>
      </c>
      <c r="N375" s="31">
        <f>IF($E375="","",(B375+C375+D375)*Rate_Builder)</f>
        <v/>
      </c>
      <c r="O375" s="31">
        <f>IF($E375="","",E375*K375/(1-K375))</f>
        <v/>
      </c>
      <c r="P375" s="34">
        <f>IF(OR($E375="",B375=0),"",L375/B375*10000)</f>
        <v/>
      </c>
      <c r="Q375" s="34">
        <f>IF(OR($E375="",C375=0),"",F375/C375*10000)</f>
        <v/>
      </c>
      <c r="R375" s="34">
        <f>IF(OR($E375="",D375=0),"",'Daily Data'!I375/D375*10000)</f>
        <v/>
      </c>
    </row>
    <row r="376">
      <c r="A376" s="30" t="n">
        <v>46030</v>
      </c>
      <c r="B376" s="31">
        <f>'Daily Data'!B376-'Daily Data'!D376</f>
        <v/>
      </c>
      <c r="C376" s="32">
        <f>'Daily Data'!D376</f>
        <v/>
      </c>
      <c r="D376" s="32">
        <f>'Daily Data'!C376</f>
        <v/>
      </c>
      <c r="E376" s="32">
        <f>IF('Daily Data'!E376="","",'Daily Data'!E376)</f>
        <v/>
      </c>
      <c r="F376" s="32">
        <f>IF($E376="","",'Daily Data'!F376)</f>
        <v/>
      </c>
      <c r="G376" s="32">
        <f>IF($E376="","",'Daily Data'!G376)</f>
        <v/>
      </c>
      <c r="H376" s="31">
        <f>IF($E376="","",F376-G376)</f>
        <v/>
      </c>
      <c r="I376" s="32">
        <f>IF($E376="","",'Daily Data'!H376)</f>
        <v/>
      </c>
      <c r="J376" s="31">
        <f>IF($E376="","",E376-H376-I376)</f>
        <v/>
      </c>
      <c r="K376" s="33">
        <f>IF($E376="","",IF(A376&lt;HLP_ChangeDate,HLP_Legacy,HLP_Current))</f>
        <v/>
      </c>
      <c r="L376" s="31">
        <f>IF($E376="","",J376/(1-K376))</f>
        <v/>
      </c>
      <c r="M376" s="31">
        <f>IF($E376="","",I376/(1-K376))</f>
        <v/>
      </c>
      <c r="N376" s="31">
        <f>IF($E376="","",(B376+C376+D376)*Rate_Builder)</f>
        <v/>
      </c>
      <c r="O376" s="31">
        <f>IF($E376="","",E376*K376/(1-K376))</f>
        <v/>
      </c>
      <c r="P376" s="34">
        <f>IF(OR($E376="",B376=0),"",L376/B376*10000)</f>
        <v/>
      </c>
      <c r="Q376" s="34">
        <f>IF(OR($E376="",C376=0),"",F376/C376*10000)</f>
        <v/>
      </c>
      <c r="R376" s="34">
        <f>IF(OR($E376="",D376=0),"",'Daily Data'!I376/D376*10000)</f>
        <v/>
      </c>
    </row>
    <row r="377">
      <c r="A377" s="30" t="n">
        <v>46031</v>
      </c>
      <c r="B377" s="31">
        <f>'Daily Data'!B377-'Daily Data'!D377</f>
        <v/>
      </c>
      <c r="C377" s="32">
        <f>'Daily Data'!D377</f>
        <v/>
      </c>
      <c r="D377" s="32">
        <f>'Daily Data'!C377</f>
        <v/>
      </c>
      <c r="E377" s="32">
        <f>IF('Daily Data'!E377="","",'Daily Data'!E377)</f>
        <v/>
      </c>
      <c r="F377" s="32">
        <f>IF($E377="","",'Daily Data'!F377)</f>
        <v/>
      </c>
      <c r="G377" s="32">
        <f>IF($E377="","",'Daily Data'!G377)</f>
        <v/>
      </c>
      <c r="H377" s="31">
        <f>IF($E377="","",F377-G377)</f>
        <v/>
      </c>
      <c r="I377" s="32">
        <f>IF($E377="","",'Daily Data'!H377)</f>
        <v/>
      </c>
      <c r="J377" s="31">
        <f>IF($E377="","",E377-H377-I377)</f>
        <v/>
      </c>
      <c r="K377" s="33">
        <f>IF($E377="","",IF(A377&lt;HLP_ChangeDate,HLP_Legacy,HLP_Current))</f>
        <v/>
      </c>
      <c r="L377" s="31">
        <f>IF($E377="","",J377/(1-K377))</f>
        <v/>
      </c>
      <c r="M377" s="31">
        <f>IF($E377="","",I377/(1-K377))</f>
        <v/>
      </c>
      <c r="N377" s="31">
        <f>IF($E377="","",(B377+C377+D377)*Rate_Builder)</f>
        <v/>
      </c>
      <c r="O377" s="31">
        <f>IF($E377="","",E377*K377/(1-K377))</f>
        <v/>
      </c>
      <c r="P377" s="34">
        <f>IF(OR($E377="",B377=0),"",L377/B377*10000)</f>
        <v/>
      </c>
      <c r="Q377" s="34">
        <f>IF(OR($E377="",C377=0),"",F377/C377*10000)</f>
        <v/>
      </c>
      <c r="R377" s="34">
        <f>IF(OR($E377="",D377=0),"",'Daily Data'!I377/D377*10000)</f>
        <v/>
      </c>
    </row>
    <row r="378">
      <c r="A378" s="30" t="n">
        <v>46032</v>
      </c>
      <c r="B378" s="31">
        <f>'Daily Data'!B378-'Daily Data'!D378</f>
        <v/>
      </c>
      <c r="C378" s="32">
        <f>'Daily Data'!D378</f>
        <v/>
      </c>
      <c r="D378" s="32">
        <f>'Daily Data'!C378</f>
        <v/>
      </c>
      <c r="E378" s="32">
        <f>IF('Daily Data'!E378="","",'Daily Data'!E378)</f>
        <v/>
      </c>
      <c r="F378" s="32">
        <f>IF($E378="","",'Daily Data'!F378)</f>
        <v/>
      </c>
      <c r="G378" s="32">
        <f>IF($E378="","",'Daily Data'!G378)</f>
        <v/>
      </c>
      <c r="H378" s="31">
        <f>IF($E378="","",F378-G378)</f>
        <v/>
      </c>
      <c r="I378" s="32">
        <f>IF($E378="","",'Daily Data'!H378)</f>
        <v/>
      </c>
      <c r="J378" s="31">
        <f>IF($E378="","",E378-H378-I378)</f>
        <v/>
      </c>
      <c r="K378" s="33">
        <f>IF($E378="","",IF(A378&lt;HLP_ChangeDate,HLP_Legacy,HLP_Current))</f>
        <v/>
      </c>
      <c r="L378" s="31">
        <f>IF($E378="","",J378/(1-K378))</f>
        <v/>
      </c>
      <c r="M378" s="31">
        <f>IF($E378="","",I378/(1-K378))</f>
        <v/>
      </c>
      <c r="N378" s="31">
        <f>IF($E378="","",(B378+C378+D378)*Rate_Builder)</f>
        <v/>
      </c>
      <c r="O378" s="31">
        <f>IF($E378="","",E378*K378/(1-K378))</f>
        <v/>
      </c>
      <c r="P378" s="34">
        <f>IF(OR($E378="",B378=0),"",L378/B378*10000)</f>
        <v/>
      </c>
      <c r="Q378" s="34">
        <f>IF(OR($E378="",C378=0),"",F378/C378*10000)</f>
        <v/>
      </c>
      <c r="R378" s="34">
        <f>IF(OR($E378="",D378=0),"",'Daily Data'!I378/D378*10000)</f>
        <v/>
      </c>
    </row>
    <row r="379">
      <c r="A379" s="30" t="n">
        <v>46033</v>
      </c>
      <c r="B379" s="31">
        <f>'Daily Data'!B379-'Daily Data'!D379</f>
        <v/>
      </c>
      <c r="C379" s="32">
        <f>'Daily Data'!D379</f>
        <v/>
      </c>
      <c r="D379" s="32">
        <f>'Daily Data'!C379</f>
        <v/>
      </c>
      <c r="E379" s="32">
        <f>IF('Daily Data'!E379="","",'Daily Data'!E379)</f>
        <v/>
      </c>
      <c r="F379" s="32">
        <f>IF($E379="","",'Daily Data'!F379)</f>
        <v/>
      </c>
      <c r="G379" s="32">
        <f>IF($E379="","",'Daily Data'!G379)</f>
        <v/>
      </c>
      <c r="H379" s="31">
        <f>IF($E379="","",F379-G379)</f>
        <v/>
      </c>
      <c r="I379" s="32">
        <f>IF($E379="","",'Daily Data'!H379)</f>
        <v/>
      </c>
      <c r="J379" s="31">
        <f>IF($E379="","",E379-H379-I379)</f>
        <v/>
      </c>
      <c r="K379" s="33">
        <f>IF($E379="","",IF(A379&lt;HLP_ChangeDate,HLP_Legacy,HLP_Current))</f>
        <v/>
      </c>
      <c r="L379" s="31">
        <f>IF($E379="","",J379/(1-K379))</f>
        <v/>
      </c>
      <c r="M379" s="31">
        <f>IF($E379="","",I379/(1-K379))</f>
        <v/>
      </c>
      <c r="N379" s="31">
        <f>IF($E379="","",(B379+C379+D379)*Rate_Builder)</f>
        <v/>
      </c>
      <c r="O379" s="31">
        <f>IF($E379="","",E379*K379/(1-K379))</f>
        <v/>
      </c>
      <c r="P379" s="34">
        <f>IF(OR($E379="",B379=0),"",L379/B379*10000)</f>
        <v/>
      </c>
      <c r="Q379" s="34">
        <f>IF(OR($E379="",C379=0),"",F379/C379*10000)</f>
        <v/>
      </c>
      <c r="R379" s="34">
        <f>IF(OR($E379="",D379=0),"",'Daily Data'!I379/D379*10000)</f>
        <v/>
      </c>
    </row>
    <row r="380">
      <c r="A380" s="30" t="n">
        <v>46034</v>
      </c>
      <c r="B380" s="31">
        <f>'Daily Data'!B380-'Daily Data'!D380</f>
        <v/>
      </c>
      <c r="C380" s="32">
        <f>'Daily Data'!D380</f>
        <v/>
      </c>
      <c r="D380" s="32">
        <f>'Daily Data'!C380</f>
        <v/>
      </c>
      <c r="E380" s="32">
        <f>IF('Daily Data'!E380="","",'Daily Data'!E380)</f>
        <v/>
      </c>
      <c r="F380" s="32">
        <f>IF($E380="","",'Daily Data'!F380)</f>
        <v/>
      </c>
      <c r="G380" s="32">
        <f>IF($E380="","",'Daily Data'!G380)</f>
        <v/>
      </c>
      <c r="H380" s="31">
        <f>IF($E380="","",F380-G380)</f>
        <v/>
      </c>
      <c r="I380" s="32">
        <f>IF($E380="","",'Daily Data'!H380)</f>
        <v/>
      </c>
      <c r="J380" s="31">
        <f>IF($E380="","",E380-H380-I380)</f>
        <v/>
      </c>
      <c r="K380" s="33">
        <f>IF($E380="","",IF(A380&lt;HLP_ChangeDate,HLP_Legacy,HLP_Current))</f>
        <v/>
      </c>
      <c r="L380" s="31">
        <f>IF($E380="","",J380/(1-K380))</f>
        <v/>
      </c>
      <c r="M380" s="31">
        <f>IF($E380="","",I380/(1-K380))</f>
        <v/>
      </c>
      <c r="N380" s="31">
        <f>IF($E380="","",(B380+C380+D380)*Rate_Builder)</f>
        <v/>
      </c>
      <c r="O380" s="31">
        <f>IF($E380="","",E380*K380/(1-K380))</f>
        <v/>
      </c>
      <c r="P380" s="34">
        <f>IF(OR($E380="",B380=0),"",L380/B380*10000)</f>
        <v/>
      </c>
      <c r="Q380" s="34">
        <f>IF(OR($E380="",C380=0),"",F380/C380*10000)</f>
        <v/>
      </c>
      <c r="R380" s="34">
        <f>IF(OR($E380="",D380=0),"",'Daily Data'!I380/D380*10000)</f>
        <v/>
      </c>
    </row>
    <row r="381">
      <c r="A381" s="30" t="n">
        <v>46035</v>
      </c>
      <c r="B381" s="31">
        <f>'Daily Data'!B381-'Daily Data'!D381</f>
        <v/>
      </c>
      <c r="C381" s="32">
        <f>'Daily Data'!D381</f>
        <v/>
      </c>
      <c r="D381" s="32">
        <f>'Daily Data'!C381</f>
        <v/>
      </c>
      <c r="E381" s="32">
        <f>IF('Daily Data'!E381="","",'Daily Data'!E381)</f>
        <v/>
      </c>
      <c r="F381" s="32">
        <f>IF($E381="","",'Daily Data'!F381)</f>
        <v/>
      </c>
      <c r="G381" s="32">
        <f>IF($E381="","",'Daily Data'!G381)</f>
        <v/>
      </c>
      <c r="H381" s="31">
        <f>IF($E381="","",F381-G381)</f>
        <v/>
      </c>
      <c r="I381" s="32">
        <f>IF($E381="","",'Daily Data'!H381)</f>
        <v/>
      </c>
      <c r="J381" s="31">
        <f>IF($E381="","",E381-H381-I381)</f>
        <v/>
      </c>
      <c r="K381" s="33">
        <f>IF($E381="","",IF(A381&lt;HLP_ChangeDate,HLP_Legacy,HLP_Current))</f>
        <v/>
      </c>
      <c r="L381" s="31">
        <f>IF($E381="","",J381/(1-K381))</f>
        <v/>
      </c>
      <c r="M381" s="31">
        <f>IF($E381="","",I381/(1-K381))</f>
        <v/>
      </c>
      <c r="N381" s="31">
        <f>IF($E381="","",(B381+C381+D381)*Rate_Builder)</f>
        <v/>
      </c>
      <c r="O381" s="31">
        <f>IF($E381="","",E381*K381/(1-K381))</f>
        <v/>
      </c>
      <c r="P381" s="34">
        <f>IF(OR($E381="",B381=0),"",L381/B381*10000)</f>
        <v/>
      </c>
      <c r="Q381" s="34">
        <f>IF(OR($E381="",C381=0),"",F381/C381*10000)</f>
        <v/>
      </c>
      <c r="R381" s="34">
        <f>IF(OR($E381="",D381=0),"",'Daily Data'!I381/D381*10000)</f>
        <v/>
      </c>
    </row>
    <row r="382">
      <c r="A382" s="30" t="n">
        <v>46036</v>
      </c>
      <c r="B382" s="31">
        <f>'Daily Data'!B382-'Daily Data'!D382</f>
        <v/>
      </c>
      <c r="C382" s="32">
        <f>'Daily Data'!D382</f>
        <v/>
      </c>
      <c r="D382" s="32">
        <f>'Daily Data'!C382</f>
        <v/>
      </c>
      <c r="E382" s="32">
        <f>IF('Daily Data'!E382="","",'Daily Data'!E382)</f>
        <v/>
      </c>
      <c r="F382" s="32">
        <f>IF($E382="","",'Daily Data'!F382)</f>
        <v/>
      </c>
      <c r="G382" s="32">
        <f>IF($E382="","",'Daily Data'!G382)</f>
        <v/>
      </c>
      <c r="H382" s="31">
        <f>IF($E382="","",F382-G382)</f>
        <v/>
      </c>
      <c r="I382" s="32">
        <f>IF($E382="","",'Daily Data'!H382)</f>
        <v/>
      </c>
      <c r="J382" s="31">
        <f>IF($E382="","",E382-H382-I382)</f>
        <v/>
      </c>
      <c r="K382" s="33">
        <f>IF($E382="","",IF(A382&lt;HLP_ChangeDate,HLP_Legacy,HLP_Current))</f>
        <v/>
      </c>
      <c r="L382" s="31">
        <f>IF($E382="","",J382/(1-K382))</f>
        <v/>
      </c>
      <c r="M382" s="31">
        <f>IF($E382="","",I382/(1-K382))</f>
        <v/>
      </c>
      <c r="N382" s="31">
        <f>IF($E382="","",(B382+C382+D382)*Rate_Builder)</f>
        <v/>
      </c>
      <c r="O382" s="31">
        <f>IF($E382="","",E382*K382/(1-K382))</f>
        <v/>
      </c>
      <c r="P382" s="34">
        <f>IF(OR($E382="",B382=0),"",L382/B382*10000)</f>
        <v/>
      </c>
      <c r="Q382" s="34">
        <f>IF(OR($E382="",C382=0),"",F382/C382*10000)</f>
        <v/>
      </c>
      <c r="R382" s="34">
        <f>IF(OR($E382="",D382=0),"",'Daily Data'!I382/D382*10000)</f>
        <v/>
      </c>
    </row>
    <row r="383">
      <c r="A383" s="30" t="n">
        <v>46037</v>
      </c>
      <c r="B383" s="31">
        <f>'Daily Data'!B383-'Daily Data'!D383</f>
        <v/>
      </c>
      <c r="C383" s="32">
        <f>'Daily Data'!D383</f>
        <v/>
      </c>
      <c r="D383" s="32">
        <f>'Daily Data'!C383</f>
        <v/>
      </c>
      <c r="E383" s="32">
        <f>IF('Daily Data'!E383="","",'Daily Data'!E383)</f>
        <v/>
      </c>
      <c r="F383" s="32">
        <f>IF($E383="","",'Daily Data'!F383)</f>
        <v/>
      </c>
      <c r="G383" s="32">
        <f>IF($E383="","",'Daily Data'!G383)</f>
        <v/>
      </c>
      <c r="H383" s="31">
        <f>IF($E383="","",F383-G383)</f>
        <v/>
      </c>
      <c r="I383" s="32">
        <f>IF($E383="","",'Daily Data'!H383)</f>
        <v/>
      </c>
      <c r="J383" s="31">
        <f>IF($E383="","",E383-H383-I383)</f>
        <v/>
      </c>
      <c r="K383" s="33">
        <f>IF($E383="","",IF(A383&lt;HLP_ChangeDate,HLP_Legacy,HLP_Current))</f>
        <v/>
      </c>
      <c r="L383" s="31">
        <f>IF($E383="","",J383/(1-K383))</f>
        <v/>
      </c>
      <c r="M383" s="31">
        <f>IF($E383="","",I383/(1-K383))</f>
        <v/>
      </c>
      <c r="N383" s="31">
        <f>IF($E383="","",(B383+C383+D383)*Rate_Builder)</f>
        <v/>
      </c>
      <c r="O383" s="31">
        <f>IF($E383="","",E383*K383/(1-K383))</f>
        <v/>
      </c>
      <c r="P383" s="34">
        <f>IF(OR($E383="",B383=0),"",L383/B383*10000)</f>
        <v/>
      </c>
      <c r="Q383" s="34">
        <f>IF(OR($E383="",C383=0),"",F383/C383*10000)</f>
        <v/>
      </c>
      <c r="R383" s="34">
        <f>IF(OR($E383="",D383=0),"",'Daily Data'!I383/D383*10000)</f>
        <v/>
      </c>
    </row>
    <row r="384">
      <c r="A384" s="30" t="n">
        <v>46038</v>
      </c>
      <c r="B384" s="31">
        <f>'Daily Data'!B384-'Daily Data'!D384</f>
        <v/>
      </c>
      <c r="C384" s="32">
        <f>'Daily Data'!D384</f>
        <v/>
      </c>
      <c r="D384" s="32">
        <f>'Daily Data'!C384</f>
        <v/>
      </c>
      <c r="E384" s="32">
        <f>IF('Daily Data'!E384="","",'Daily Data'!E384)</f>
        <v/>
      </c>
      <c r="F384" s="32">
        <f>IF($E384="","",'Daily Data'!F384)</f>
        <v/>
      </c>
      <c r="G384" s="32">
        <f>IF($E384="","",'Daily Data'!G384)</f>
        <v/>
      </c>
      <c r="H384" s="31">
        <f>IF($E384="","",F384-G384)</f>
        <v/>
      </c>
      <c r="I384" s="32">
        <f>IF($E384="","",'Daily Data'!H384)</f>
        <v/>
      </c>
      <c r="J384" s="31">
        <f>IF($E384="","",E384-H384-I384)</f>
        <v/>
      </c>
      <c r="K384" s="33">
        <f>IF($E384="","",IF(A384&lt;HLP_ChangeDate,HLP_Legacy,HLP_Current))</f>
        <v/>
      </c>
      <c r="L384" s="31">
        <f>IF($E384="","",J384/(1-K384))</f>
        <v/>
      </c>
      <c r="M384" s="31">
        <f>IF($E384="","",I384/(1-K384))</f>
        <v/>
      </c>
      <c r="N384" s="31">
        <f>IF($E384="","",(B384+C384+D384)*Rate_Builder)</f>
        <v/>
      </c>
      <c r="O384" s="31">
        <f>IF($E384="","",E384*K384/(1-K384))</f>
        <v/>
      </c>
      <c r="P384" s="34">
        <f>IF(OR($E384="",B384=0),"",L384/B384*10000)</f>
        <v/>
      </c>
      <c r="Q384" s="34">
        <f>IF(OR($E384="",C384=0),"",F384/C384*10000)</f>
        <v/>
      </c>
      <c r="R384" s="34">
        <f>IF(OR($E384="",D384=0),"",'Daily Data'!I384/D384*10000)</f>
        <v/>
      </c>
    </row>
    <row r="385">
      <c r="A385" s="30" t="n">
        <v>46039</v>
      </c>
      <c r="B385" s="31">
        <f>'Daily Data'!B385-'Daily Data'!D385</f>
        <v/>
      </c>
      <c r="C385" s="32">
        <f>'Daily Data'!D385</f>
        <v/>
      </c>
      <c r="D385" s="32">
        <f>'Daily Data'!C385</f>
        <v/>
      </c>
      <c r="E385" s="32">
        <f>IF('Daily Data'!E385="","",'Daily Data'!E385)</f>
        <v/>
      </c>
      <c r="F385" s="32">
        <f>IF($E385="","",'Daily Data'!F385)</f>
        <v/>
      </c>
      <c r="G385" s="32">
        <f>IF($E385="","",'Daily Data'!G385)</f>
        <v/>
      </c>
      <c r="H385" s="31">
        <f>IF($E385="","",F385-G385)</f>
        <v/>
      </c>
      <c r="I385" s="32">
        <f>IF($E385="","",'Daily Data'!H385)</f>
        <v/>
      </c>
      <c r="J385" s="31">
        <f>IF($E385="","",E385-H385-I385)</f>
        <v/>
      </c>
      <c r="K385" s="33">
        <f>IF($E385="","",IF(A385&lt;HLP_ChangeDate,HLP_Legacy,HLP_Current))</f>
        <v/>
      </c>
      <c r="L385" s="31">
        <f>IF($E385="","",J385/(1-K385))</f>
        <v/>
      </c>
      <c r="M385" s="31">
        <f>IF($E385="","",I385/(1-K385))</f>
        <v/>
      </c>
      <c r="N385" s="31">
        <f>IF($E385="","",(B385+C385+D385)*Rate_Builder)</f>
        <v/>
      </c>
      <c r="O385" s="31">
        <f>IF($E385="","",E385*K385/(1-K385))</f>
        <v/>
      </c>
      <c r="P385" s="34">
        <f>IF(OR($E385="",B385=0),"",L385/B385*10000)</f>
        <v/>
      </c>
      <c r="Q385" s="34">
        <f>IF(OR($E385="",C385=0),"",F385/C385*10000)</f>
        <v/>
      </c>
      <c r="R385" s="34">
        <f>IF(OR($E385="",D385=0),"",'Daily Data'!I385/D385*10000)</f>
        <v/>
      </c>
    </row>
    <row r="386">
      <c r="A386" s="30" t="n">
        <v>46040</v>
      </c>
      <c r="B386" s="31">
        <f>'Daily Data'!B386-'Daily Data'!D386</f>
        <v/>
      </c>
      <c r="C386" s="32">
        <f>'Daily Data'!D386</f>
        <v/>
      </c>
      <c r="D386" s="32">
        <f>'Daily Data'!C386</f>
        <v/>
      </c>
      <c r="E386" s="32">
        <f>IF('Daily Data'!E386="","",'Daily Data'!E386)</f>
        <v/>
      </c>
      <c r="F386" s="32">
        <f>IF($E386="","",'Daily Data'!F386)</f>
        <v/>
      </c>
      <c r="G386" s="32">
        <f>IF($E386="","",'Daily Data'!G386)</f>
        <v/>
      </c>
      <c r="H386" s="31">
        <f>IF($E386="","",F386-G386)</f>
        <v/>
      </c>
      <c r="I386" s="32">
        <f>IF($E386="","",'Daily Data'!H386)</f>
        <v/>
      </c>
      <c r="J386" s="31">
        <f>IF($E386="","",E386-H386-I386)</f>
        <v/>
      </c>
      <c r="K386" s="33">
        <f>IF($E386="","",IF(A386&lt;HLP_ChangeDate,HLP_Legacy,HLP_Current))</f>
        <v/>
      </c>
      <c r="L386" s="31">
        <f>IF($E386="","",J386/(1-K386))</f>
        <v/>
      </c>
      <c r="M386" s="31">
        <f>IF($E386="","",I386/(1-K386))</f>
        <v/>
      </c>
      <c r="N386" s="31">
        <f>IF($E386="","",(B386+C386+D386)*Rate_Builder)</f>
        <v/>
      </c>
      <c r="O386" s="31">
        <f>IF($E386="","",E386*K386/(1-K386))</f>
        <v/>
      </c>
      <c r="P386" s="34">
        <f>IF(OR($E386="",B386=0),"",L386/B386*10000)</f>
        <v/>
      </c>
      <c r="Q386" s="34">
        <f>IF(OR($E386="",C386=0),"",F386/C386*10000)</f>
        <v/>
      </c>
      <c r="R386" s="34">
        <f>IF(OR($E386="",D386=0),"",'Daily Data'!I386/D386*10000)</f>
        <v/>
      </c>
    </row>
    <row r="387">
      <c r="A387" s="30" t="n">
        <v>46041</v>
      </c>
      <c r="B387" s="31">
        <f>'Daily Data'!B387-'Daily Data'!D387</f>
        <v/>
      </c>
      <c r="C387" s="32">
        <f>'Daily Data'!D387</f>
        <v/>
      </c>
      <c r="D387" s="32">
        <f>'Daily Data'!C387</f>
        <v/>
      </c>
      <c r="E387" s="32">
        <f>IF('Daily Data'!E387="","",'Daily Data'!E387)</f>
        <v/>
      </c>
      <c r="F387" s="32">
        <f>IF($E387="","",'Daily Data'!F387)</f>
        <v/>
      </c>
      <c r="G387" s="32">
        <f>IF($E387="","",'Daily Data'!G387)</f>
        <v/>
      </c>
      <c r="H387" s="31">
        <f>IF($E387="","",F387-G387)</f>
        <v/>
      </c>
      <c r="I387" s="32">
        <f>IF($E387="","",'Daily Data'!H387)</f>
        <v/>
      </c>
      <c r="J387" s="31">
        <f>IF($E387="","",E387-H387-I387)</f>
        <v/>
      </c>
      <c r="K387" s="33">
        <f>IF($E387="","",IF(A387&lt;HLP_ChangeDate,HLP_Legacy,HLP_Current))</f>
        <v/>
      </c>
      <c r="L387" s="31">
        <f>IF($E387="","",J387/(1-K387))</f>
        <v/>
      </c>
      <c r="M387" s="31">
        <f>IF($E387="","",I387/(1-K387))</f>
        <v/>
      </c>
      <c r="N387" s="31">
        <f>IF($E387="","",(B387+C387+D387)*Rate_Builder)</f>
        <v/>
      </c>
      <c r="O387" s="31">
        <f>IF($E387="","",E387*K387/(1-K387))</f>
        <v/>
      </c>
      <c r="P387" s="34">
        <f>IF(OR($E387="",B387=0),"",L387/B387*10000)</f>
        <v/>
      </c>
      <c r="Q387" s="34">
        <f>IF(OR($E387="",C387=0),"",F387/C387*10000)</f>
        <v/>
      </c>
      <c r="R387" s="34">
        <f>IF(OR($E387="",D387=0),"",'Daily Data'!I387/D387*10000)</f>
        <v/>
      </c>
    </row>
    <row r="388">
      <c r="A388" s="30" t="n">
        <v>46042</v>
      </c>
      <c r="B388" s="31">
        <f>'Daily Data'!B388-'Daily Data'!D388</f>
        <v/>
      </c>
      <c r="C388" s="32">
        <f>'Daily Data'!D388</f>
        <v/>
      </c>
      <c r="D388" s="32">
        <f>'Daily Data'!C388</f>
        <v/>
      </c>
      <c r="E388" s="32">
        <f>IF('Daily Data'!E388="","",'Daily Data'!E388)</f>
        <v/>
      </c>
      <c r="F388" s="32">
        <f>IF($E388="","",'Daily Data'!F388)</f>
        <v/>
      </c>
      <c r="G388" s="32">
        <f>IF($E388="","",'Daily Data'!G388)</f>
        <v/>
      </c>
      <c r="H388" s="31">
        <f>IF($E388="","",F388-G388)</f>
        <v/>
      </c>
      <c r="I388" s="32">
        <f>IF($E388="","",'Daily Data'!H388)</f>
        <v/>
      </c>
      <c r="J388" s="31">
        <f>IF($E388="","",E388-H388-I388)</f>
        <v/>
      </c>
      <c r="K388" s="33">
        <f>IF($E388="","",IF(A388&lt;HLP_ChangeDate,HLP_Legacy,HLP_Current))</f>
        <v/>
      </c>
      <c r="L388" s="31">
        <f>IF($E388="","",J388/(1-K388))</f>
        <v/>
      </c>
      <c r="M388" s="31">
        <f>IF($E388="","",I388/(1-K388))</f>
        <v/>
      </c>
      <c r="N388" s="31">
        <f>IF($E388="","",(B388+C388+D388)*Rate_Builder)</f>
        <v/>
      </c>
      <c r="O388" s="31">
        <f>IF($E388="","",E388*K388/(1-K388))</f>
        <v/>
      </c>
      <c r="P388" s="34">
        <f>IF(OR($E388="",B388=0),"",L388/B388*10000)</f>
        <v/>
      </c>
      <c r="Q388" s="34">
        <f>IF(OR($E388="",C388=0),"",F388/C388*10000)</f>
        <v/>
      </c>
      <c r="R388" s="34">
        <f>IF(OR($E388="",D388=0),"",'Daily Data'!I388/D388*10000)</f>
        <v/>
      </c>
    </row>
    <row r="389">
      <c r="A389" s="30" t="n">
        <v>46043</v>
      </c>
      <c r="B389" s="31">
        <f>'Daily Data'!B389-'Daily Data'!D389</f>
        <v/>
      </c>
      <c r="C389" s="32">
        <f>'Daily Data'!D389</f>
        <v/>
      </c>
      <c r="D389" s="32">
        <f>'Daily Data'!C389</f>
        <v/>
      </c>
      <c r="E389" s="32">
        <f>IF('Daily Data'!E389="","",'Daily Data'!E389)</f>
        <v/>
      </c>
      <c r="F389" s="32">
        <f>IF($E389="","",'Daily Data'!F389)</f>
        <v/>
      </c>
      <c r="G389" s="32">
        <f>IF($E389="","",'Daily Data'!G389)</f>
        <v/>
      </c>
      <c r="H389" s="31">
        <f>IF($E389="","",F389-G389)</f>
        <v/>
      </c>
      <c r="I389" s="32">
        <f>IF($E389="","",'Daily Data'!H389)</f>
        <v/>
      </c>
      <c r="J389" s="31">
        <f>IF($E389="","",E389-H389-I389)</f>
        <v/>
      </c>
      <c r="K389" s="33">
        <f>IF($E389="","",IF(A389&lt;HLP_ChangeDate,HLP_Legacy,HLP_Current))</f>
        <v/>
      </c>
      <c r="L389" s="31">
        <f>IF($E389="","",J389/(1-K389))</f>
        <v/>
      </c>
      <c r="M389" s="31">
        <f>IF($E389="","",I389/(1-K389))</f>
        <v/>
      </c>
      <c r="N389" s="31">
        <f>IF($E389="","",(B389+C389+D389)*Rate_Builder)</f>
        <v/>
      </c>
      <c r="O389" s="31">
        <f>IF($E389="","",E389*K389/(1-K389))</f>
        <v/>
      </c>
      <c r="P389" s="34">
        <f>IF(OR($E389="",B389=0),"",L389/B389*10000)</f>
        <v/>
      </c>
      <c r="Q389" s="34">
        <f>IF(OR($E389="",C389=0),"",F389/C389*10000)</f>
        <v/>
      </c>
      <c r="R389" s="34">
        <f>IF(OR($E389="",D389=0),"",'Daily Data'!I389/D389*10000)</f>
        <v/>
      </c>
    </row>
    <row r="390">
      <c r="A390" s="30" t="n">
        <v>46044</v>
      </c>
      <c r="B390" s="31">
        <f>'Daily Data'!B390-'Daily Data'!D390</f>
        <v/>
      </c>
      <c r="C390" s="32">
        <f>'Daily Data'!D390</f>
        <v/>
      </c>
      <c r="D390" s="32">
        <f>'Daily Data'!C390</f>
        <v/>
      </c>
      <c r="E390" s="32">
        <f>IF('Daily Data'!E390="","",'Daily Data'!E390)</f>
        <v/>
      </c>
      <c r="F390" s="32">
        <f>IF($E390="","",'Daily Data'!F390)</f>
        <v/>
      </c>
      <c r="G390" s="32">
        <f>IF($E390="","",'Daily Data'!G390)</f>
        <v/>
      </c>
      <c r="H390" s="31">
        <f>IF($E390="","",F390-G390)</f>
        <v/>
      </c>
      <c r="I390" s="32">
        <f>IF($E390="","",'Daily Data'!H390)</f>
        <v/>
      </c>
      <c r="J390" s="31">
        <f>IF($E390="","",E390-H390-I390)</f>
        <v/>
      </c>
      <c r="K390" s="33">
        <f>IF($E390="","",IF(A390&lt;HLP_ChangeDate,HLP_Legacy,HLP_Current))</f>
        <v/>
      </c>
      <c r="L390" s="31">
        <f>IF($E390="","",J390/(1-K390))</f>
        <v/>
      </c>
      <c r="M390" s="31">
        <f>IF($E390="","",I390/(1-K390))</f>
        <v/>
      </c>
      <c r="N390" s="31">
        <f>IF($E390="","",(B390+C390+D390)*Rate_Builder)</f>
        <v/>
      </c>
      <c r="O390" s="31">
        <f>IF($E390="","",E390*K390/(1-K390))</f>
        <v/>
      </c>
      <c r="P390" s="34">
        <f>IF(OR($E390="",B390=0),"",L390/B390*10000)</f>
        <v/>
      </c>
      <c r="Q390" s="34">
        <f>IF(OR($E390="",C390=0),"",F390/C390*10000)</f>
        <v/>
      </c>
      <c r="R390" s="34">
        <f>IF(OR($E390="",D390=0),"",'Daily Data'!I390/D390*10000)</f>
        <v/>
      </c>
    </row>
    <row r="391">
      <c r="A391" s="30" t="n">
        <v>46045</v>
      </c>
      <c r="B391" s="31">
        <f>'Daily Data'!B391-'Daily Data'!D391</f>
        <v/>
      </c>
      <c r="C391" s="32">
        <f>'Daily Data'!D391</f>
        <v/>
      </c>
      <c r="D391" s="32">
        <f>'Daily Data'!C391</f>
        <v/>
      </c>
      <c r="E391" s="32">
        <f>IF('Daily Data'!E391="","",'Daily Data'!E391)</f>
        <v/>
      </c>
      <c r="F391" s="32">
        <f>IF($E391="","",'Daily Data'!F391)</f>
        <v/>
      </c>
      <c r="G391" s="32">
        <f>IF($E391="","",'Daily Data'!G391)</f>
        <v/>
      </c>
      <c r="H391" s="31">
        <f>IF($E391="","",F391-G391)</f>
        <v/>
      </c>
      <c r="I391" s="32">
        <f>IF($E391="","",'Daily Data'!H391)</f>
        <v/>
      </c>
      <c r="J391" s="31">
        <f>IF($E391="","",E391-H391-I391)</f>
        <v/>
      </c>
      <c r="K391" s="33">
        <f>IF($E391="","",IF(A391&lt;HLP_ChangeDate,HLP_Legacy,HLP_Current))</f>
        <v/>
      </c>
      <c r="L391" s="31">
        <f>IF($E391="","",J391/(1-K391))</f>
        <v/>
      </c>
      <c r="M391" s="31">
        <f>IF($E391="","",I391/(1-K391))</f>
        <v/>
      </c>
      <c r="N391" s="31">
        <f>IF($E391="","",(B391+C391+D391)*Rate_Builder)</f>
        <v/>
      </c>
      <c r="O391" s="31">
        <f>IF($E391="","",E391*K391/(1-K391))</f>
        <v/>
      </c>
      <c r="P391" s="34">
        <f>IF(OR($E391="",B391=0),"",L391/B391*10000)</f>
        <v/>
      </c>
      <c r="Q391" s="34">
        <f>IF(OR($E391="",C391=0),"",F391/C391*10000)</f>
        <v/>
      </c>
      <c r="R391" s="34">
        <f>IF(OR($E391="",D391=0),"",'Daily Data'!I391/D391*10000)</f>
        <v/>
      </c>
    </row>
    <row r="392">
      <c r="A392" s="30" t="n">
        <v>46046</v>
      </c>
      <c r="B392" s="31">
        <f>'Daily Data'!B392-'Daily Data'!D392</f>
        <v/>
      </c>
      <c r="C392" s="32">
        <f>'Daily Data'!D392</f>
        <v/>
      </c>
      <c r="D392" s="32">
        <f>'Daily Data'!C392</f>
        <v/>
      </c>
      <c r="E392" s="32">
        <f>IF('Daily Data'!E392="","",'Daily Data'!E392)</f>
        <v/>
      </c>
      <c r="F392" s="32">
        <f>IF($E392="","",'Daily Data'!F392)</f>
        <v/>
      </c>
      <c r="G392" s="32">
        <f>IF($E392="","",'Daily Data'!G392)</f>
        <v/>
      </c>
      <c r="H392" s="31">
        <f>IF($E392="","",F392-G392)</f>
        <v/>
      </c>
      <c r="I392" s="32">
        <f>IF($E392="","",'Daily Data'!H392)</f>
        <v/>
      </c>
      <c r="J392" s="31">
        <f>IF($E392="","",E392-H392-I392)</f>
        <v/>
      </c>
      <c r="K392" s="33">
        <f>IF($E392="","",IF(A392&lt;HLP_ChangeDate,HLP_Legacy,HLP_Current))</f>
        <v/>
      </c>
      <c r="L392" s="31">
        <f>IF($E392="","",J392/(1-K392))</f>
        <v/>
      </c>
      <c r="M392" s="31">
        <f>IF($E392="","",I392/(1-K392))</f>
        <v/>
      </c>
      <c r="N392" s="31">
        <f>IF($E392="","",(B392+C392+D392)*Rate_Builder)</f>
        <v/>
      </c>
      <c r="O392" s="31">
        <f>IF($E392="","",E392*K392/(1-K392))</f>
        <v/>
      </c>
      <c r="P392" s="34">
        <f>IF(OR($E392="",B392=0),"",L392/B392*10000)</f>
        <v/>
      </c>
      <c r="Q392" s="34">
        <f>IF(OR($E392="",C392=0),"",F392/C392*10000)</f>
        <v/>
      </c>
      <c r="R392" s="34">
        <f>IF(OR($E392="",D392=0),"",'Daily Data'!I392/D392*10000)</f>
        <v/>
      </c>
    </row>
    <row r="393">
      <c r="A393" s="30" t="n">
        <v>46047</v>
      </c>
      <c r="B393" s="31">
        <f>'Daily Data'!B393-'Daily Data'!D393</f>
        <v/>
      </c>
      <c r="C393" s="32">
        <f>'Daily Data'!D393</f>
        <v/>
      </c>
      <c r="D393" s="32">
        <f>'Daily Data'!C393</f>
        <v/>
      </c>
      <c r="E393" s="32">
        <f>IF('Daily Data'!E393="","",'Daily Data'!E393)</f>
        <v/>
      </c>
      <c r="F393" s="32">
        <f>IF($E393="","",'Daily Data'!F393)</f>
        <v/>
      </c>
      <c r="G393" s="32">
        <f>IF($E393="","",'Daily Data'!G393)</f>
        <v/>
      </c>
      <c r="H393" s="31">
        <f>IF($E393="","",F393-G393)</f>
        <v/>
      </c>
      <c r="I393" s="32">
        <f>IF($E393="","",'Daily Data'!H393)</f>
        <v/>
      </c>
      <c r="J393" s="31">
        <f>IF($E393="","",E393-H393-I393)</f>
        <v/>
      </c>
      <c r="K393" s="33">
        <f>IF($E393="","",IF(A393&lt;HLP_ChangeDate,HLP_Legacy,HLP_Current))</f>
        <v/>
      </c>
      <c r="L393" s="31">
        <f>IF($E393="","",J393/(1-K393))</f>
        <v/>
      </c>
      <c r="M393" s="31">
        <f>IF($E393="","",I393/(1-K393))</f>
        <v/>
      </c>
      <c r="N393" s="31">
        <f>IF($E393="","",(B393+C393+D393)*Rate_Builder)</f>
        <v/>
      </c>
      <c r="O393" s="31">
        <f>IF($E393="","",E393*K393/(1-K393))</f>
        <v/>
      </c>
      <c r="P393" s="34">
        <f>IF(OR($E393="",B393=0),"",L393/B393*10000)</f>
        <v/>
      </c>
      <c r="Q393" s="34">
        <f>IF(OR($E393="",C393=0),"",F393/C393*10000)</f>
        <v/>
      </c>
      <c r="R393" s="34">
        <f>IF(OR($E393="",D393=0),"",'Daily Data'!I393/D393*10000)</f>
        <v/>
      </c>
    </row>
    <row r="394">
      <c r="A394" s="30" t="n">
        <v>46048</v>
      </c>
      <c r="B394" s="31">
        <f>'Daily Data'!B394-'Daily Data'!D394</f>
        <v/>
      </c>
      <c r="C394" s="32">
        <f>'Daily Data'!D394</f>
        <v/>
      </c>
      <c r="D394" s="32">
        <f>'Daily Data'!C394</f>
        <v/>
      </c>
      <c r="E394" s="32">
        <f>IF('Daily Data'!E394="","",'Daily Data'!E394)</f>
        <v/>
      </c>
      <c r="F394" s="32">
        <f>IF($E394="","",'Daily Data'!F394)</f>
        <v/>
      </c>
      <c r="G394" s="32">
        <f>IF($E394="","",'Daily Data'!G394)</f>
        <v/>
      </c>
      <c r="H394" s="31">
        <f>IF($E394="","",F394-G394)</f>
        <v/>
      </c>
      <c r="I394" s="32">
        <f>IF($E394="","",'Daily Data'!H394)</f>
        <v/>
      </c>
      <c r="J394" s="31">
        <f>IF($E394="","",E394-H394-I394)</f>
        <v/>
      </c>
      <c r="K394" s="33">
        <f>IF($E394="","",IF(A394&lt;HLP_ChangeDate,HLP_Legacy,HLP_Current))</f>
        <v/>
      </c>
      <c r="L394" s="31">
        <f>IF($E394="","",J394/(1-K394))</f>
        <v/>
      </c>
      <c r="M394" s="31">
        <f>IF($E394="","",I394/(1-K394))</f>
        <v/>
      </c>
      <c r="N394" s="31">
        <f>IF($E394="","",(B394+C394+D394)*Rate_Builder)</f>
        <v/>
      </c>
      <c r="O394" s="31">
        <f>IF($E394="","",E394*K394/(1-K394))</f>
        <v/>
      </c>
      <c r="P394" s="34">
        <f>IF(OR($E394="",B394=0),"",L394/B394*10000)</f>
        <v/>
      </c>
      <c r="Q394" s="34">
        <f>IF(OR($E394="",C394=0),"",F394/C394*10000)</f>
        <v/>
      </c>
      <c r="R394" s="34">
        <f>IF(OR($E394="",D394=0),"",'Daily Data'!I394/D394*10000)</f>
        <v/>
      </c>
    </row>
    <row r="395">
      <c r="A395" s="30" t="n">
        <v>46049</v>
      </c>
      <c r="B395" s="31">
        <f>'Daily Data'!B395-'Daily Data'!D395</f>
        <v/>
      </c>
      <c r="C395" s="32">
        <f>'Daily Data'!D395</f>
        <v/>
      </c>
      <c r="D395" s="32">
        <f>'Daily Data'!C395</f>
        <v/>
      </c>
      <c r="E395" s="32">
        <f>IF('Daily Data'!E395="","",'Daily Data'!E395)</f>
        <v/>
      </c>
      <c r="F395" s="32">
        <f>IF($E395="","",'Daily Data'!F395)</f>
        <v/>
      </c>
      <c r="G395" s="32">
        <f>IF($E395="","",'Daily Data'!G395)</f>
        <v/>
      </c>
      <c r="H395" s="31">
        <f>IF($E395="","",F395-G395)</f>
        <v/>
      </c>
      <c r="I395" s="32">
        <f>IF($E395="","",'Daily Data'!H395)</f>
        <v/>
      </c>
      <c r="J395" s="31">
        <f>IF($E395="","",E395-H395-I395)</f>
        <v/>
      </c>
      <c r="K395" s="33">
        <f>IF($E395="","",IF(A395&lt;HLP_ChangeDate,HLP_Legacy,HLP_Current))</f>
        <v/>
      </c>
      <c r="L395" s="31">
        <f>IF($E395="","",J395/(1-K395))</f>
        <v/>
      </c>
      <c r="M395" s="31">
        <f>IF($E395="","",I395/(1-K395))</f>
        <v/>
      </c>
      <c r="N395" s="31">
        <f>IF($E395="","",(B395+C395+D395)*Rate_Builder)</f>
        <v/>
      </c>
      <c r="O395" s="31">
        <f>IF($E395="","",E395*K395/(1-K395))</f>
        <v/>
      </c>
      <c r="P395" s="34">
        <f>IF(OR($E395="",B395=0),"",L395/B395*10000)</f>
        <v/>
      </c>
      <c r="Q395" s="34">
        <f>IF(OR($E395="",C395=0),"",F395/C395*10000)</f>
        <v/>
      </c>
      <c r="R395" s="34">
        <f>IF(OR($E395="",D395=0),"",'Daily Data'!I395/D395*10000)</f>
        <v/>
      </c>
    </row>
    <row r="396">
      <c r="A396" s="30" t="n">
        <v>46050</v>
      </c>
      <c r="B396" s="31">
        <f>'Daily Data'!B396-'Daily Data'!D396</f>
        <v/>
      </c>
      <c r="C396" s="32">
        <f>'Daily Data'!D396</f>
        <v/>
      </c>
      <c r="D396" s="32">
        <f>'Daily Data'!C396</f>
        <v/>
      </c>
      <c r="E396" s="32">
        <f>IF('Daily Data'!E396="","",'Daily Data'!E396)</f>
        <v/>
      </c>
      <c r="F396" s="32">
        <f>IF($E396="","",'Daily Data'!F396)</f>
        <v/>
      </c>
      <c r="G396" s="32">
        <f>IF($E396="","",'Daily Data'!G396)</f>
        <v/>
      </c>
      <c r="H396" s="31">
        <f>IF($E396="","",F396-G396)</f>
        <v/>
      </c>
      <c r="I396" s="32">
        <f>IF($E396="","",'Daily Data'!H396)</f>
        <v/>
      </c>
      <c r="J396" s="31">
        <f>IF($E396="","",E396-H396-I396)</f>
        <v/>
      </c>
      <c r="K396" s="33">
        <f>IF($E396="","",IF(A396&lt;HLP_ChangeDate,HLP_Legacy,HLP_Current))</f>
        <v/>
      </c>
      <c r="L396" s="31">
        <f>IF($E396="","",J396/(1-K396))</f>
        <v/>
      </c>
      <c r="M396" s="31">
        <f>IF($E396="","",I396/(1-K396))</f>
        <v/>
      </c>
      <c r="N396" s="31">
        <f>IF($E396="","",(B396+C396+D396)*Rate_Builder)</f>
        <v/>
      </c>
      <c r="O396" s="31">
        <f>IF($E396="","",E396*K396/(1-K396))</f>
        <v/>
      </c>
      <c r="P396" s="34">
        <f>IF(OR($E396="",B396=0),"",L396/B396*10000)</f>
        <v/>
      </c>
      <c r="Q396" s="34">
        <f>IF(OR($E396="",C396=0),"",F396/C396*10000)</f>
        <v/>
      </c>
      <c r="R396" s="34">
        <f>IF(OR($E396="",D396=0),"",'Daily Data'!I396/D396*10000)</f>
        <v/>
      </c>
    </row>
    <row r="397">
      <c r="A397" s="30" t="n">
        <v>46051</v>
      </c>
      <c r="B397" s="31">
        <f>'Daily Data'!B397-'Daily Data'!D397</f>
        <v/>
      </c>
      <c r="C397" s="32">
        <f>'Daily Data'!D397</f>
        <v/>
      </c>
      <c r="D397" s="32">
        <f>'Daily Data'!C397</f>
        <v/>
      </c>
      <c r="E397" s="32">
        <f>IF('Daily Data'!E397="","",'Daily Data'!E397)</f>
        <v/>
      </c>
      <c r="F397" s="32">
        <f>IF($E397="","",'Daily Data'!F397)</f>
        <v/>
      </c>
      <c r="G397" s="32">
        <f>IF($E397="","",'Daily Data'!G397)</f>
        <v/>
      </c>
      <c r="H397" s="31">
        <f>IF($E397="","",F397-G397)</f>
        <v/>
      </c>
      <c r="I397" s="32">
        <f>IF($E397="","",'Daily Data'!H397)</f>
        <v/>
      </c>
      <c r="J397" s="31">
        <f>IF($E397="","",E397-H397-I397)</f>
        <v/>
      </c>
      <c r="K397" s="33">
        <f>IF($E397="","",IF(A397&lt;HLP_ChangeDate,HLP_Legacy,HLP_Current))</f>
        <v/>
      </c>
      <c r="L397" s="31">
        <f>IF($E397="","",J397/(1-K397))</f>
        <v/>
      </c>
      <c r="M397" s="31">
        <f>IF($E397="","",I397/(1-K397))</f>
        <v/>
      </c>
      <c r="N397" s="31">
        <f>IF($E397="","",(B397+C397+D397)*Rate_Builder)</f>
        <v/>
      </c>
      <c r="O397" s="31">
        <f>IF($E397="","",E397*K397/(1-K397))</f>
        <v/>
      </c>
      <c r="P397" s="34">
        <f>IF(OR($E397="",B397=0),"",L397/B397*10000)</f>
        <v/>
      </c>
      <c r="Q397" s="34">
        <f>IF(OR($E397="",C397=0),"",F397/C397*10000)</f>
        <v/>
      </c>
      <c r="R397" s="34">
        <f>IF(OR($E397="",D397=0),"",'Daily Data'!I397/D397*10000)</f>
        <v/>
      </c>
    </row>
    <row r="398">
      <c r="A398" s="30" t="n">
        <v>46052</v>
      </c>
      <c r="B398" s="31">
        <f>'Daily Data'!B398-'Daily Data'!D398</f>
        <v/>
      </c>
      <c r="C398" s="32">
        <f>'Daily Data'!D398</f>
        <v/>
      </c>
      <c r="D398" s="32">
        <f>'Daily Data'!C398</f>
        <v/>
      </c>
      <c r="E398" s="32">
        <f>IF('Daily Data'!E398="","",'Daily Data'!E398)</f>
        <v/>
      </c>
      <c r="F398" s="32">
        <f>IF($E398="","",'Daily Data'!F398)</f>
        <v/>
      </c>
      <c r="G398" s="32">
        <f>IF($E398="","",'Daily Data'!G398)</f>
        <v/>
      </c>
      <c r="H398" s="31">
        <f>IF($E398="","",F398-G398)</f>
        <v/>
      </c>
      <c r="I398" s="32">
        <f>IF($E398="","",'Daily Data'!H398)</f>
        <v/>
      </c>
      <c r="J398" s="31">
        <f>IF($E398="","",E398-H398-I398)</f>
        <v/>
      </c>
      <c r="K398" s="33">
        <f>IF($E398="","",IF(A398&lt;HLP_ChangeDate,HLP_Legacy,HLP_Current))</f>
        <v/>
      </c>
      <c r="L398" s="31">
        <f>IF($E398="","",J398/(1-K398))</f>
        <v/>
      </c>
      <c r="M398" s="31">
        <f>IF($E398="","",I398/(1-K398))</f>
        <v/>
      </c>
      <c r="N398" s="31">
        <f>IF($E398="","",(B398+C398+D398)*Rate_Builder)</f>
        <v/>
      </c>
      <c r="O398" s="31">
        <f>IF($E398="","",E398*K398/(1-K398))</f>
        <v/>
      </c>
      <c r="P398" s="34">
        <f>IF(OR($E398="",B398=0),"",L398/B398*10000)</f>
        <v/>
      </c>
      <c r="Q398" s="34">
        <f>IF(OR($E398="",C398=0),"",F398/C398*10000)</f>
        <v/>
      </c>
      <c r="R398" s="34">
        <f>IF(OR($E398="",D398=0),"",'Daily Data'!I398/D398*10000)</f>
        <v/>
      </c>
    </row>
    <row r="399">
      <c r="A399" s="30" t="n">
        <v>46053</v>
      </c>
      <c r="B399" s="31">
        <f>'Daily Data'!B399-'Daily Data'!D399</f>
        <v/>
      </c>
      <c r="C399" s="32">
        <f>'Daily Data'!D399</f>
        <v/>
      </c>
      <c r="D399" s="32">
        <f>'Daily Data'!C399</f>
        <v/>
      </c>
      <c r="E399" s="32">
        <f>IF('Daily Data'!E399="","",'Daily Data'!E399)</f>
        <v/>
      </c>
      <c r="F399" s="32">
        <f>IF($E399="","",'Daily Data'!F399)</f>
        <v/>
      </c>
      <c r="G399" s="32">
        <f>IF($E399="","",'Daily Data'!G399)</f>
        <v/>
      </c>
      <c r="H399" s="31">
        <f>IF($E399="","",F399-G399)</f>
        <v/>
      </c>
      <c r="I399" s="32">
        <f>IF($E399="","",'Daily Data'!H399)</f>
        <v/>
      </c>
      <c r="J399" s="31">
        <f>IF($E399="","",E399-H399-I399)</f>
        <v/>
      </c>
      <c r="K399" s="33">
        <f>IF($E399="","",IF(A399&lt;HLP_ChangeDate,HLP_Legacy,HLP_Current))</f>
        <v/>
      </c>
      <c r="L399" s="31">
        <f>IF($E399="","",J399/(1-K399))</f>
        <v/>
      </c>
      <c r="M399" s="31">
        <f>IF($E399="","",I399/(1-K399))</f>
        <v/>
      </c>
      <c r="N399" s="31">
        <f>IF($E399="","",(B399+C399+D399)*Rate_Builder)</f>
        <v/>
      </c>
      <c r="O399" s="31">
        <f>IF($E399="","",E399*K399/(1-K399))</f>
        <v/>
      </c>
      <c r="P399" s="34">
        <f>IF(OR($E399="",B399=0),"",L399/B399*10000)</f>
        <v/>
      </c>
      <c r="Q399" s="34">
        <f>IF(OR($E399="",C399=0),"",F399/C399*10000)</f>
        <v/>
      </c>
      <c r="R399" s="34">
        <f>IF(OR($E399="",D399=0),"",'Daily Data'!I399/D399*10000)</f>
        <v/>
      </c>
    </row>
    <row r="400">
      <c r="A400" s="30" t="n">
        <v>46054</v>
      </c>
      <c r="B400" s="31">
        <f>'Daily Data'!B400-'Daily Data'!D400</f>
        <v/>
      </c>
      <c r="C400" s="32">
        <f>'Daily Data'!D400</f>
        <v/>
      </c>
      <c r="D400" s="32">
        <f>'Daily Data'!C400</f>
        <v/>
      </c>
      <c r="E400" s="32">
        <f>IF('Daily Data'!E400="","",'Daily Data'!E400)</f>
        <v/>
      </c>
      <c r="F400" s="32">
        <f>IF($E400="","",'Daily Data'!F400)</f>
        <v/>
      </c>
      <c r="G400" s="32">
        <f>IF($E400="","",'Daily Data'!G400)</f>
        <v/>
      </c>
      <c r="H400" s="31">
        <f>IF($E400="","",F400-G400)</f>
        <v/>
      </c>
      <c r="I400" s="32">
        <f>IF($E400="","",'Daily Data'!H400)</f>
        <v/>
      </c>
      <c r="J400" s="31">
        <f>IF($E400="","",E400-H400-I400)</f>
        <v/>
      </c>
      <c r="K400" s="33">
        <f>IF($E400="","",IF(A400&lt;HLP_ChangeDate,HLP_Legacy,HLP_Current))</f>
        <v/>
      </c>
      <c r="L400" s="31">
        <f>IF($E400="","",J400/(1-K400))</f>
        <v/>
      </c>
      <c r="M400" s="31">
        <f>IF($E400="","",I400/(1-K400))</f>
        <v/>
      </c>
      <c r="N400" s="31">
        <f>IF($E400="","",(B400+C400+D400)*Rate_Builder)</f>
        <v/>
      </c>
      <c r="O400" s="31">
        <f>IF($E400="","",E400*K400/(1-K400))</f>
        <v/>
      </c>
      <c r="P400" s="34">
        <f>IF(OR($E400="",B400=0),"",L400/B400*10000)</f>
        <v/>
      </c>
      <c r="Q400" s="34">
        <f>IF(OR($E400="",C400=0),"",F400/C400*10000)</f>
        <v/>
      </c>
      <c r="R400" s="34">
        <f>IF(OR($E400="",D400=0),"",'Daily Data'!I400/D400*10000)</f>
        <v/>
      </c>
    </row>
    <row r="401">
      <c r="A401" s="30" t="n">
        <v>46055</v>
      </c>
      <c r="B401" s="31">
        <f>'Daily Data'!B401-'Daily Data'!D401</f>
        <v/>
      </c>
      <c r="C401" s="32">
        <f>'Daily Data'!D401</f>
        <v/>
      </c>
      <c r="D401" s="32">
        <f>'Daily Data'!C401</f>
        <v/>
      </c>
      <c r="E401" s="32">
        <f>IF('Daily Data'!E401="","",'Daily Data'!E401)</f>
        <v/>
      </c>
      <c r="F401" s="32">
        <f>IF($E401="","",'Daily Data'!F401)</f>
        <v/>
      </c>
      <c r="G401" s="32">
        <f>IF($E401="","",'Daily Data'!G401)</f>
        <v/>
      </c>
      <c r="H401" s="31">
        <f>IF($E401="","",F401-G401)</f>
        <v/>
      </c>
      <c r="I401" s="32">
        <f>IF($E401="","",'Daily Data'!H401)</f>
        <v/>
      </c>
      <c r="J401" s="31">
        <f>IF($E401="","",E401-H401-I401)</f>
        <v/>
      </c>
      <c r="K401" s="33">
        <f>IF($E401="","",IF(A401&lt;HLP_ChangeDate,HLP_Legacy,HLP_Current))</f>
        <v/>
      </c>
      <c r="L401" s="31">
        <f>IF($E401="","",J401/(1-K401))</f>
        <v/>
      </c>
      <c r="M401" s="31">
        <f>IF($E401="","",I401/(1-K401))</f>
        <v/>
      </c>
      <c r="N401" s="31">
        <f>IF($E401="","",(B401+C401+D401)*Rate_Builder)</f>
        <v/>
      </c>
      <c r="O401" s="31">
        <f>IF($E401="","",E401*K401/(1-K401))</f>
        <v/>
      </c>
      <c r="P401" s="34">
        <f>IF(OR($E401="",B401=0),"",L401/B401*10000)</f>
        <v/>
      </c>
      <c r="Q401" s="34">
        <f>IF(OR($E401="",C401=0),"",F401/C401*10000)</f>
        <v/>
      </c>
      <c r="R401" s="34">
        <f>IF(OR($E401="",D401=0),"",'Daily Data'!I401/D401*10000)</f>
        <v/>
      </c>
    </row>
    <row r="402">
      <c r="A402" s="30" t="n">
        <v>46056</v>
      </c>
      <c r="B402" s="31">
        <f>'Daily Data'!B402-'Daily Data'!D402</f>
        <v/>
      </c>
      <c r="C402" s="32">
        <f>'Daily Data'!D402</f>
        <v/>
      </c>
      <c r="D402" s="32">
        <f>'Daily Data'!C402</f>
        <v/>
      </c>
      <c r="E402" s="32">
        <f>IF('Daily Data'!E402="","",'Daily Data'!E402)</f>
        <v/>
      </c>
      <c r="F402" s="32">
        <f>IF($E402="","",'Daily Data'!F402)</f>
        <v/>
      </c>
      <c r="G402" s="32">
        <f>IF($E402="","",'Daily Data'!G402)</f>
        <v/>
      </c>
      <c r="H402" s="31">
        <f>IF($E402="","",F402-G402)</f>
        <v/>
      </c>
      <c r="I402" s="32">
        <f>IF($E402="","",'Daily Data'!H402)</f>
        <v/>
      </c>
      <c r="J402" s="31">
        <f>IF($E402="","",E402-H402-I402)</f>
        <v/>
      </c>
      <c r="K402" s="33">
        <f>IF($E402="","",IF(A402&lt;HLP_ChangeDate,HLP_Legacy,HLP_Current))</f>
        <v/>
      </c>
      <c r="L402" s="31">
        <f>IF($E402="","",J402/(1-K402))</f>
        <v/>
      </c>
      <c r="M402" s="31">
        <f>IF($E402="","",I402/(1-K402))</f>
        <v/>
      </c>
      <c r="N402" s="31">
        <f>IF($E402="","",(B402+C402+D402)*Rate_Builder)</f>
        <v/>
      </c>
      <c r="O402" s="31">
        <f>IF($E402="","",E402*K402/(1-K402))</f>
        <v/>
      </c>
      <c r="P402" s="34">
        <f>IF(OR($E402="",B402=0),"",L402/B402*10000)</f>
        <v/>
      </c>
      <c r="Q402" s="34">
        <f>IF(OR($E402="",C402=0),"",F402/C402*10000)</f>
        <v/>
      </c>
      <c r="R402" s="34">
        <f>IF(OR($E402="",D402=0),"",'Daily Data'!I402/D402*10000)</f>
        <v/>
      </c>
    </row>
    <row r="403">
      <c r="A403" s="30" t="n">
        <v>46057</v>
      </c>
      <c r="B403" s="31">
        <f>'Daily Data'!B403-'Daily Data'!D403</f>
        <v/>
      </c>
      <c r="C403" s="32">
        <f>'Daily Data'!D403</f>
        <v/>
      </c>
      <c r="D403" s="32">
        <f>'Daily Data'!C403</f>
        <v/>
      </c>
      <c r="E403" s="32">
        <f>IF('Daily Data'!E403="","",'Daily Data'!E403)</f>
        <v/>
      </c>
      <c r="F403" s="32">
        <f>IF($E403="","",'Daily Data'!F403)</f>
        <v/>
      </c>
      <c r="G403" s="32">
        <f>IF($E403="","",'Daily Data'!G403)</f>
        <v/>
      </c>
      <c r="H403" s="31">
        <f>IF($E403="","",F403-G403)</f>
        <v/>
      </c>
      <c r="I403" s="32">
        <f>IF($E403="","",'Daily Data'!H403)</f>
        <v/>
      </c>
      <c r="J403" s="31">
        <f>IF($E403="","",E403-H403-I403)</f>
        <v/>
      </c>
      <c r="K403" s="33">
        <f>IF($E403="","",IF(A403&lt;HLP_ChangeDate,HLP_Legacy,HLP_Current))</f>
        <v/>
      </c>
      <c r="L403" s="31">
        <f>IF($E403="","",J403/(1-K403))</f>
        <v/>
      </c>
      <c r="M403" s="31">
        <f>IF($E403="","",I403/(1-K403))</f>
        <v/>
      </c>
      <c r="N403" s="31">
        <f>IF($E403="","",(B403+C403+D403)*Rate_Builder)</f>
        <v/>
      </c>
      <c r="O403" s="31">
        <f>IF($E403="","",E403*K403/(1-K403))</f>
        <v/>
      </c>
      <c r="P403" s="34">
        <f>IF(OR($E403="",B403=0),"",L403/B403*10000)</f>
        <v/>
      </c>
      <c r="Q403" s="34">
        <f>IF(OR($E403="",C403=0),"",F403/C403*10000)</f>
        <v/>
      </c>
      <c r="R403" s="34">
        <f>IF(OR($E403="",D403=0),"",'Daily Data'!I403/D403*10000)</f>
        <v/>
      </c>
    </row>
    <row r="404">
      <c r="A404" s="30" t="n">
        <v>46058</v>
      </c>
      <c r="B404" s="31">
        <f>'Daily Data'!B404-'Daily Data'!D404</f>
        <v/>
      </c>
      <c r="C404" s="32">
        <f>'Daily Data'!D404</f>
        <v/>
      </c>
      <c r="D404" s="32">
        <f>'Daily Data'!C404</f>
        <v/>
      </c>
      <c r="E404" s="32">
        <f>IF('Daily Data'!E404="","",'Daily Data'!E404)</f>
        <v/>
      </c>
      <c r="F404" s="32">
        <f>IF($E404="","",'Daily Data'!F404)</f>
        <v/>
      </c>
      <c r="G404" s="32">
        <f>IF($E404="","",'Daily Data'!G404)</f>
        <v/>
      </c>
      <c r="H404" s="31">
        <f>IF($E404="","",F404-G404)</f>
        <v/>
      </c>
      <c r="I404" s="32">
        <f>IF($E404="","",'Daily Data'!H404)</f>
        <v/>
      </c>
      <c r="J404" s="31">
        <f>IF($E404="","",E404-H404-I404)</f>
        <v/>
      </c>
      <c r="K404" s="33">
        <f>IF($E404="","",IF(A404&lt;HLP_ChangeDate,HLP_Legacy,HLP_Current))</f>
        <v/>
      </c>
      <c r="L404" s="31">
        <f>IF($E404="","",J404/(1-K404))</f>
        <v/>
      </c>
      <c r="M404" s="31">
        <f>IF($E404="","",I404/(1-K404))</f>
        <v/>
      </c>
      <c r="N404" s="31">
        <f>IF($E404="","",(B404+C404+D404)*Rate_Builder)</f>
        <v/>
      </c>
      <c r="O404" s="31">
        <f>IF($E404="","",E404*K404/(1-K404))</f>
        <v/>
      </c>
      <c r="P404" s="34">
        <f>IF(OR($E404="",B404=0),"",L404/B404*10000)</f>
        <v/>
      </c>
      <c r="Q404" s="34">
        <f>IF(OR($E404="",C404=0),"",F404/C404*10000)</f>
        <v/>
      </c>
      <c r="R404" s="34">
        <f>IF(OR($E404="",D404=0),"",'Daily Data'!I404/D404*10000)</f>
        <v/>
      </c>
    </row>
    <row r="405">
      <c r="A405" s="30" t="n">
        <v>46059</v>
      </c>
      <c r="B405" s="31">
        <f>'Daily Data'!B405-'Daily Data'!D405</f>
        <v/>
      </c>
      <c r="C405" s="32">
        <f>'Daily Data'!D405</f>
        <v/>
      </c>
      <c r="D405" s="32">
        <f>'Daily Data'!C405</f>
        <v/>
      </c>
      <c r="E405" s="32">
        <f>IF('Daily Data'!E405="","",'Daily Data'!E405)</f>
        <v/>
      </c>
      <c r="F405" s="32">
        <f>IF($E405="","",'Daily Data'!F405)</f>
        <v/>
      </c>
      <c r="G405" s="32">
        <f>IF($E405="","",'Daily Data'!G405)</f>
        <v/>
      </c>
      <c r="H405" s="31">
        <f>IF($E405="","",F405-G405)</f>
        <v/>
      </c>
      <c r="I405" s="32">
        <f>IF($E405="","",'Daily Data'!H405)</f>
        <v/>
      </c>
      <c r="J405" s="31">
        <f>IF($E405="","",E405-H405-I405)</f>
        <v/>
      </c>
      <c r="K405" s="33">
        <f>IF($E405="","",IF(A405&lt;HLP_ChangeDate,HLP_Legacy,HLP_Current))</f>
        <v/>
      </c>
      <c r="L405" s="31">
        <f>IF($E405="","",J405/(1-K405))</f>
        <v/>
      </c>
      <c r="M405" s="31">
        <f>IF($E405="","",I405/(1-K405))</f>
        <v/>
      </c>
      <c r="N405" s="31">
        <f>IF($E405="","",(B405+C405+D405)*Rate_Builder)</f>
        <v/>
      </c>
      <c r="O405" s="31">
        <f>IF($E405="","",E405*K405/(1-K405))</f>
        <v/>
      </c>
      <c r="P405" s="34">
        <f>IF(OR($E405="",B405=0),"",L405/B405*10000)</f>
        <v/>
      </c>
      <c r="Q405" s="34">
        <f>IF(OR($E405="",C405=0),"",F405/C405*10000)</f>
        <v/>
      </c>
      <c r="R405" s="34">
        <f>IF(OR($E405="",D405=0),"",'Daily Data'!I405/D405*10000)</f>
        <v/>
      </c>
    </row>
    <row r="406">
      <c r="A406" s="30" t="n">
        <v>46060</v>
      </c>
      <c r="B406" s="31">
        <f>'Daily Data'!B406-'Daily Data'!D406</f>
        <v/>
      </c>
      <c r="C406" s="32">
        <f>'Daily Data'!D406</f>
        <v/>
      </c>
      <c r="D406" s="32">
        <f>'Daily Data'!C406</f>
        <v/>
      </c>
      <c r="E406" s="32">
        <f>IF('Daily Data'!E406="","",'Daily Data'!E406)</f>
        <v/>
      </c>
      <c r="F406" s="32">
        <f>IF($E406="","",'Daily Data'!F406)</f>
        <v/>
      </c>
      <c r="G406" s="32">
        <f>IF($E406="","",'Daily Data'!G406)</f>
        <v/>
      </c>
      <c r="H406" s="31">
        <f>IF($E406="","",F406-G406)</f>
        <v/>
      </c>
      <c r="I406" s="32">
        <f>IF($E406="","",'Daily Data'!H406)</f>
        <v/>
      </c>
      <c r="J406" s="31">
        <f>IF($E406="","",E406-H406-I406)</f>
        <v/>
      </c>
      <c r="K406" s="33">
        <f>IF($E406="","",IF(A406&lt;HLP_ChangeDate,HLP_Legacy,HLP_Current))</f>
        <v/>
      </c>
      <c r="L406" s="31">
        <f>IF($E406="","",J406/(1-K406))</f>
        <v/>
      </c>
      <c r="M406" s="31">
        <f>IF($E406="","",I406/(1-K406))</f>
        <v/>
      </c>
      <c r="N406" s="31">
        <f>IF($E406="","",(B406+C406+D406)*Rate_Builder)</f>
        <v/>
      </c>
      <c r="O406" s="31">
        <f>IF($E406="","",E406*K406/(1-K406))</f>
        <v/>
      </c>
      <c r="P406" s="34">
        <f>IF(OR($E406="",B406=0),"",L406/B406*10000)</f>
        <v/>
      </c>
      <c r="Q406" s="34">
        <f>IF(OR($E406="",C406=0),"",F406/C406*10000)</f>
        <v/>
      </c>
      <c r="R406" s="34">
        <f>IF(OR($E406="",D406=0),"",'Daily Data'!I406/D406*10000)</f>
        <v/>
      </c>
    </row>
    <row r="407">
      <c r="A407" s="30" t="n">
        <v>46061</v>
      </c>
      <c r="B407" s="31">
        <f>'Daily Data'!B407-'Daily Data'!D407</f>
        <v/>
      </c>
      <c r="C407" s="32">
        <f>'Daily Data'!D407</f>
        <v/>
      </c>
      <c r="D407" s="32">
        <f>'Daily Data'!C407</f>
        <v/>
      </c>
      <c r="E407" s="32">
        <f>IF('Daily Data'!E407="","",'Daily Data'!E407)</f>
        <v/>
      </c>
      <c r="F407" s="32">
        <f>IF($E407="","",'Daily Data'!F407)</f>
        <v/>
      </c>
      <c r="G407" s="32">
        <f>IF($E407="","",'Daily Data'!G407)</f>
        <v/>
      </c>
      <c r="H407" s="31">
        <f>IF($E407="","",F407-G407)</f>
        <v/>
      </c>
      <c r="I407" s="32">
        <f>IF($E407="","",'Daily Data'!H407)</f>
        <v/>
      </c>
      <c r="J407" s="31">
        <f>IF($E407="","",E407-H407-I407)</f>
        <v/>
      </c>
      <c r="K407" s="33">
        <f>IF($E407="","",IF(A407&lt;HLP_ChangeDate,HLP_Legacy,HLP_Current))</f>
        <v/>
      </c>
      <c r="L407" s="31">
        <f>IF($E407="","",J407/(1-K407))</f>
        <v/>
      </c>
      <c r="M407" s="31">
        <f>IF($E407="","",I407/(1-K407))</f>
        <v/>
      </c>
      <c r="N407" s="31">
        <f>IF($E407="","",(B407+C407+D407)*Rate_Builder)</f>
        <v/>
      </c>
      <c r="O407" s="31">
        <f>IF($E407="","",E407*K407/(1-K407))</f>
        <v/>
      </c>
      <c r="P407" s="34">
        <f>IF(OR($E407="",B407=0),"",L407/B407*10000)</f>
        <v/>
      </c>
      <c r="Q407" s="34">
        <f>IF(OR($E407="",C407=0),"",F407/C407*10000)</f>
        <v/>
      </c>
      <c r="R407" s="34">
        <f>IF(OR($E407="",D407=0),"",'Daily Data'!I407/D407*10000)</f>
        <v/>
      </c>
    </row>
    <row r="408">
      <c r="A408" s="30" t="n">
        <v>46062</v>
      </c>
      <c r="B408" s="31">
        <f>'Daily Data'!B408-'Daily Data'!D408</f>
        <v/>
      </c>
      <c r="C408" s="32">
        <f>'Daily Data'!D408</f>
        <v/>
      </c>
      <c r="D408" s="32">
        <f>'Daily Data'!C408</f>
        <v/>
      </c>
      <c r="E408" s="32">
        <f>IF('Daily Data'!E408="","",'Daily Data'!E408)</f>
        <v/>
      </c>
      <c r="F408" s="32">
        <f>IF($E408="","",'Daily Data'!F408)</f>
        <v/>
      </c>
      <c r="G408" s="32">
        <f>IF($E408="","",'Daily Data'!G408)</f>
        <v/>
      </c>
      <c r="H408" s="31">
        <f>IF($E408="","",F408-G408)</f>
        <v/>
      </c>
      <c r="I408" s="32">
        <f>IF($E408="","",'Daily Data'!H408)</f>
        <v/>
      </c>
      <c r="J408" s="31">
        <f>IF($E408="","",E408-H408-I408)</f>
        <v/>
      </c>
      <c r="K408" s="33">
        <f>IF($E408="","",IF(A408&lt;HLP_ChangeDate,HLP_Legacy,HLP_Current))</f>
        <v/>
      </c>
      <c r="L408" s="31">
        <f>IF($E408="","",J408/(1-K408))</f>
        <v/>
      </c>
      <c r="M408" s="31">
        <f>IF($E408="","",I408/(1-K408))</f>
        <v/>
      </c>
      <c r="N408" s="31">
        <f>IF($E408="","",(B408+C408+D408)*Rate_Builder)</f>
        <v/>
      </c>
      <c r="O408" s="31">
        <f>IF($E408="","",E408*K408/(1-K408))</f>
        <v/>
      </c>
      <c r="P408" s="34">
        <f>IF(OR($E408="",B408=0),"",L408/B408*10000)</f>
        <v/>
      </c>
      <c r="Q408" s="34">
        <f>IF(OR($E408="",C408=0),"",F408/C408*10000)</f>
        <v/>
      </c>
      <c r="R408" s="34">
        <f>IF(OR($E408="",D408=0),"",'Daily Data'!I408/D408*10000)</f>
        <v/>
      </c>
    </row>
    <row r="409">
      <c r="A409" s="30" t="n">
        <v>46063</v>
      </c>
      <c r="B409" s="31">
        <f>'Daily Data'!B409-'Daily Data'!D409</f>
        <v/>
      </c>
      <c r="C409" s="32">
        <f>'Daily Data'!D409</f>
        <v/>
      </c>
      <c r="D409" s="32">
        <f>'Daily Data'!C409</f>
        <v/>
      </c>
      <c r="E409" s="32">
        <f>IF('Daily Data'!E409="","",'Daily Data'!E409)</f>
        <v/>
      </c>
      <c r="F409" s="32">
        <f>IF($E409="","",'Daily Data'!F409)</f>
        <v/>
      </c>
      <c r="G409" s="32">
        <f>IF($E409="","",'Daily Data'!G409)</f>
        <v/>
      </c>
      <c r="H409" s="31">
        <f>IF($E409="","",F409-G409)</f>
        <v/>
      </c>
      <c r="I409" s="32">
        <f>IF($E409="","",'Daily Data'!H409)</f>
        <v/>
      </c>
      <c r="J409" s="31">
        <f>IF($E409="","",E409-H409-I409)</f>
        <v/>
      </c>
      <c r="K409" s="33">
        <f>IF($E409="","",IF(A409&lt;HLP_ChangeDate,HLP_Legacy,HLP_Current))</f>
        <v/>
      </c>
      <c r="L409" s="31">
        <f>IF($E409="","",J409/(1-K409))</f>
        <v/>
      </c>
      <c r="M409" s="31">
        <f>IF($E409="","",I409/(1-K409))</f>
        <v/>
      </c>
      <c r="N409" s="31">
        <f>IF($E409="","",(B409+C409+D409)*Rate_Builder)</f>
        <v/>
      </c>
      <c r="O409" s="31">
        <f>IF($E409="","",E409*K409/(1-K409))</f>
        <v/>
      </c>
      <c r="P409" s="34">
        <f>IF(OR($E409="",B409=0),"",L409/B409*10000)</f>
        <v/>
      </c>
      <c r="Q409" s="34">
        <f>IF(OR($E409="",C409=0),"",F409/C409*10000)</f>
        <v/>
      </c>
      <c r="R409" s="34">
        <f>IF(OR($E409="",D409=0),"",'Daily Data'!I409/D409*10000)</f>
        <v/>
      </c>
    </row>
    <row r="410">
      <c r="A410" s="30" t="n">
        <v>46064</v>
      </c>
      <c r="B410" s="31">
        <f>'Daily Data'!B410-'Daily Data'!D410</f>
        <v/>
      </c>
      <c r="C410" s="32">
        <f>'Daily Data'!D410</f>
        <v/>
      </c>
      <c r="D410" s="32">
        <f>'Daily Data'!C410</f>
        <v/>
      </c>
      <c r="E410" s="32">
        <f>IF('Daily Data'!E410="","",'Daily Data'!E410)</f>
        <v/>
      </c>
      <c r="F410" s="32">
        <f>IF($E410="","",'Daily Data'!F410)</f>
        <v/>
      </c>
      <c r="G410" s="32">
        <f>IF($E410="","",'Daily Data'!G410)</f>
        <v/>
      </c>
      <c r="H410" s="31">
        <f>IF($E410="","",F410-G410)</f>
        <v/>
      </c>
      <c r="I410" s="32">
        <f>IF($E410="","",'Daily Data'!H410)</f>
        <v/>
      </c>
      <c r="J410" s="31">
        <f>IF($E410="","",E410-H410-I410)</f>
        <v/>
      </c>
      <c r="K410" s="33">
        <f>IF($E410="","",IF(A410&lt;HLP_ChangeDate,HLP_Legacy,HLP_Current))</f>
        <v/>
      </c>
      <c r="L410" s="31">
        <f>IF($E410="","",J410/(1-K410))</f>
        <v/>
      </c>
      <c r="M410" s="31">
        <f>IF($E410="","",I410/(1-K410))</f>
        <v/>
      </c>
      <c r="N410" s="31">
        <f>IF($E410="","",(B410+C410+D410)*Rate_Builder)</f>
        <v/>
      </c>
      <c r="O410" s="31">
        <f>IF($E410="","",E410*K410/(1-K410))</f>
        <v/>
      </c>
      <c r="P410" s="34">
        <f>IF(OR($E410="",B410=0),"",L410/B410*10000)</f>
        <v/>
      </c>
      <c r="Q410" s="34">
        <f>IF(OR($E410="",C410=0),"",F410/C410*10000)</f>
        <v/>
      </c>
      <c r="R410" s="34">
        <f>IF(OR($E410="",D410=0),"",'Daily Data'!I410/D410*10000)</f>
        <v/>
      </c>
    </row>
    <row r="411">
      <c r="A411" s="30" t="n">
        <v>46065</v>
      </c>
      <c r="B411" s="31">
        <f>'Daily Data'!B411-'Daily Data'!D411</f>
        <v/>
      </c>
      <c r="C411" s="32">
        <f>'Daily Data'!D411</f>
        <v/>
      </c>
      <c r="D411" s="32">
        <f>'Daily Data'!C411</f>
        <v/>
      </c>
      <c r="E411" s="32">
        <f>IF('Daily Data'!E411="","",'Daily Data'!E411)</f>
        <v/>
      </c>
      <c r="F411" s="32">
        <f>IF($E411="","",'Daily Data'!F411)</f>
        <v/>
      </c>
      <c r="G411" s="32">
        <f>IF($E411="","",'Daily Data'!G411)</f>
        <v/>
      </c>
      <c r="H411" s="31">
        <f>IF($E411="","",F411-G411)</f>
        <v/>
      </c>
      <c r="I411" s="32">
        <f>IF($E411="","",'Daily Data'!H411)</f>
        <v/>
      </c>
      <c r="J411" s="31">
        <f>IF($E411="","",E411-H411-I411)</f>
        <v/>
      </c>
      <c r="K411" s="33">
        <f>IF($E411="","",IF(A411&lt;HLP_ChangeDate,HLP_Legacy,HLP_Current))</f>
        <v/>
      </c>
      <c r="L411" s="31">
        <f>IF($E411="","",J411/(1-K411))</f>
        <v/>
      </c>
      <c r="M411" s="31">
        <f>IF($E411="","",I411/(1-K411))</f>
        <v/>
      </c>
      <c r="N411" s="31">
        <f>IF($E411="","",(B411+C411+D411)*Rate_Builder)</f>
        <v/>
      </c>
      <c r="O411" s="31">
        <f>IF($E411="","",E411*K411/(1-K411))</f>
        <v/>
      </c>
      <c r="P411" s="34">
        <f>IF(OR($E411="",B411=0),"",L411/B411*10000)</f>
        <v/>
      </c>
      <c r="Q411" s="34">
        <f>IF(OR($E411="",C411=0),"",F411/C411*10000)</f>
        <v/>
      </c>
      <c r="R411" s="34">
        <f>IF(OR($E411="",D411=0),"",'Daily Data'!I411/D411*10000)</f>
        <v/>
      </c>
    </row>
    <row r="412">
      <c r="A412" s="30" t="n">
        <v>46066</v>
      </c>
      <c r="B412" s="31">
        <f>'Daily Data'!B412-'Daily Data'!D412</f>
        <v/>
      </c>
      <c r="C412" s="32">
        <f>'Daily Data'!D412</f>
        <v/>
      </c>
      <c r="D412" s="32">
        <f>'Daily Data'!C412</f>
        <v/>
      </c>
      <c r="E412" s="32">
        <f>IF('Daily Data'!E412="","",'Daily Data'!E412)</f>
        <v/>
      </c>
      <c r="F412" s="32">
        <f>IF($E412="","",'Daily Data'!F412)</f>
        <v/>
      </c>
      <c r="G412" s="32">
        <f>IF($E412="","",'Daily Data'!G412)</f>
        <v/>
      </c>
      <c r="H412" s="31">
        <f>IF($E412="","",F412-G412)</f>
        <v/>
      </c>
      <c r="I412" s="32">
        <f>IF($E412="","",'Daily Data'!H412)</f>
        <v/>
      </c>
      <c r="J412" s="31">
        <f>IF($E412="","",E412-H412-I412)</f>
        <v/>
      </c>
      <c r="K412" s="33">
        <f>IF($E412="","",IF(A412&lt;HLP_ChangeDate,HLP_Legacy,HLP_Current))</f>
        <v/>
      </c>
      <c r="L412" s="31">
        <f>IF($E412="","",J412/(1-K412))</f>
        <v/>
      </c>
      <c r="M412" s="31">
        <f>IF($E412="","",I412/(1-K412))</f>
        <v/>
      </c>
      <c r="N412" s="31">
        <f>IF($E412="","",(B412+C412+D412)*Rate_Builder)</f>
        <v/>
      </c>
      <c r="O412" s="31">
        <f>IF($E412="","",E412*K412/(1-K412))</f>
        <v/>
      </c>
      <c r="P412" s="34">
        <f>IF(OR($E412="",B412=0),"",L412/B412*10000)</f>
        <v/>
      </c>
      <c r="Q412" s="34">
        <f>IF(OR($E412="",C412=0),"",F412/C412*10000)</f>
        <v/>
      </c>
      <c r="R412" s="34">
        <f>IF(OR($E412="",D412=0),"",'Daily Data'!I412/D412*10000)</f>
        <v/>
      </c>
    </row>
    <row r="413">
      <c r="A413" s="30" t="n">
        <v>46067</v>
      </c>
      <c r="B413" s="31">
        <f>'Daily Data'!B413-'Daily Data'!D413</f>
        <v/>
      </c>
      <c r="C413" s="32">
        <f>'Daily Data'!D413</f>
        <v/>
      </c>
      <c r="D413" s="32">
        <f>'Daily Data'!C413</f>
        <v/>
      </c>
      <c r="E413" s="32">
        <f>IF('Daily Data'!E413="","",'Daily Data'!E413)</f>
        <v/>
      </c>
      <c r="F413" s="32">
        <f>IF($E413="","",'Daily Data'!F413)</f>
        <v/>
      </c>
      <c r="G413" s="32">
        <f>IF($E413="","",'Daily Data'!G413)</f>
        <v/>
      </c>
      <c r="H413" s="31">
        <f>IF($E413="","",F413-G413)</f>
        <v/>
      </c>
      <c r="I413" s="32">
        <f>IF($E413="","",'Daily Data'!H413)</f>
        <v/>
      </c>
      <c r="J413" s="31">
        <f>IF($E413="","",E413-H413-I413)</f>
        <v/>
      </c>
      <c r="K413" s="33">
        <f>IF($E413="","",IF(A413&lt;HLP_ChangeDate,HLP_Legacy,HLP_Current))</f>
        <v/>
      </c>
      <c r="L413" s="31">
        <f>IF($E413="","",J413/(1-K413))</f>
        <v/>
      </c>
      <c r="M413" s="31">
        <f>IF($E413="","",I413/(1-K413))</f>
        <v/>
      </c>
      <c r="N413" s="31">
        <f>IF($E413="","",(B413+C413+D413)*Rate_Builder)</f>
        <v/>
      </c>
      <c r="O413" s="31">
        <f>IF($E413="","",E413*K413/(1-K413))</f>
        <v/>
      </c>
      <c r="P413" s="34">
        <f>IF(OR($E413="",B413=0),"",L413/B413*10000)</f>
        <v/>
      </c>
      <c r="Q413" s="34">
        <f>IF(OR($E413="",C413=0),"",F413/C413*10000)</f>
        <v/>
      </c>
      <c r="R413" s="34">
        <f>IF(OR($E413="",D413=0),"",'Daily Data'!I413/D413*10000)</f>
        <v/>
      </c>
    </row>
    <row r="414">
      <c r="A414" s="30" t="n">
        <v>46068</v>
      </c>
      <c r="B414" s="31">
        <f>'Daily Data'!B414-'Daily Data'!D414</f>
        <v/>
      </c>
      <c r="C414" s="32">
        <f>'Daily Data'!D414</f>
        <v/>
      </c>
      <c r="D414" s="32">
        <f>'Daily Data'!C414</f>
        <v/>
      </c>
      <c r="E414" s="32">
        <f>IF('Daily Data'!E414="","",'Daily Data'!E414)</f>
        <v/>
      </c>
      <c r="F414" s="32">
        <f>IF($E414="","",'Daily Data'!F414)</f>
        <v/>
      </c>
      <c r="G414" s="32">
        <f>IF($E414="","",'Daily Data'!G414)</f>
        <v/>
      </c>
      <c r="H414" s="31">
        <f>IF($E414="","",F414-G414)</f>
        <v/>
      </c>
      <c r="I414" s="32">
        <f>IF($E414="","",'Daily Data'!H414)</f>
        <v/>
      </c>
      <c r="J414" s="31">
        <f>IF($E414="","",E414-H414-I414)</f>
        <v/>
      </c>
      <c r="K414" s="33">
        <f>IF($E414="","",IF(A414&lt;HLP_ChangeDate,HLP_Legacy,HLP_Current))</f>
        <v/>
      </c>
      <c r="L414" s="31">
        <f>IF($E414="","",J414/(1-K414))</f>
        <v/>
      </c>
      <c r="M414" s="31">
        <f>IF($E414="","",I414/(1-K414))</f>
        <v/>
      </c>
      <c r="N414" s="31">
        <f>IF($E414="","",(B414+C414+D414)*Rate_Builder)</f>
        <v/>
      </c>
      <c r="O414" s="31">
        <f>IF($E414="","",E414*K414/(1-K414))</f>
        <v/>
      </c>
      <c r="P414" s="34">
        <f>IF(OR($E414="",B414=0),"",L414/B414*10000)</f>
        <v/>
      </c>
      <c r="Q414" s="34">
        <f>IF(OR($E414="",C414=0),"",F414/C414*10000)</f>
        <v/>
      </c>
      <c r="R414" s="34">
        <f>IF(OR($E414="",D414=0),"",'Daily Data'!I414/D414*10000)</f>
        <v/>
      </c>
    </row>
    <row r="415">
      <c r="A415" s="30" t="n">
        <v>46069</v>
      </c>
      <c r="B415" s="31">
        <f>'Daily Data'!B415-'Daily Data'!D415</f>
        <v/>
      </c>
      <c r="C415" s="32">
        <f>'Daily Data'!D415</f>
        <v/>
      </c>
      <c r="D415" s="32">
        <f>'Daily Data'!C415</f>
        <v/>
      </c>
      <c r="E415" s="32">
        <f>IF('Daily Data'!E415="","",'Daily Data'!E415)</f>
        <v/>
      </c>
      <c r="F415" s="32">
        <f>IF($E415="","",'Daily Data'!F415)</f>
        <v/>
      </c>
      <c r="G415" s="32">
        <f>IF($E415="","",'Daily Data'!G415)</f>
        <v/>
      </c>
      <c r="H415" s="31">
        <f>IF($E415="","",F415-G415)</f>
        <v/>
      </c>
      <c r="I415" s="32">
        <f>IF($E415="","",'Daily Data'!H415)</f>
        <v/>
      </c>
      <c r="J415" s="31">
        <f>IF($E415="","",E415-H415-I415)</f>
        <v/>
      </c>
      <c r="K415" s="33">
        <f>IF($E415="","",IF(A415&lt;HLP_ChangeDate,HLP_Legacy,HLP_Current))</f>
        <v/>
      </c>
      <c r="L415" s="31">
        <f>IF($E415="","",J415/(1-K415))</f>
        <v/>
      </c>
      <c r="M415" s="31">
        <f>IF($E415="","",I415/(1-K415))</f>
        <v/>
      </c>
      <c r="N415" s="31">
        <f>IF($E415="","",(B415+C415+D415)*Rate_Builder)</f>
        <v/>
      </c>
      <c r="O415" s="31">
        <f>IF($E415="","",E415*K415/(1-K415))</f>
        <v/>
      </c>
      <c r="P415" s="34">
        <f>IF(OR($E415="",B415=0),"",L415/B415*10000)</f>
        <v/>
      </c>
      <c r="Q415" s="34">
        <f>IF(OR($E415="",C415=0),"",F415/C415*10000)</f>
        <v/>
      </c>
      <c r="R415" s="34">
        <f>IF(OR($E415="",D415=0),"",'Daily Data'!I415/D415*10000)</f>
        <v/>
      </c>
    </row>
    <row r="416">
      <c r="A416" s="30" t="n">
        <v>46070</v>
      </c>
      <c r="B416" s="31">
        <f>'Daily Data'!B416-'Daily Data'!D416</f>
        <v/>
      </c>
      <c r="C416" s="32">
        <f>'Daily Data'!D416</f>
        <v/>
      </c>
      <c r="D416" s="32">
        <f>'Daily Data'!C416</f>
        <v/>
      </c>
      <c r="E416" s="32">
        <f>IF('Daily Data'!E416="","",'Daily Data'!E416)</f>
        <v/>
      </c>
      <c r="F416" s="32">
        <f>IF($E416="","",'Daily Data'!F416)</f>
        <v/>
      </c>
      <c r="G416" s="32">
        <f>IF($E416="","",'Daily Data'!G416)</f>
        <v/>
      </c>
      <c r="H416" s="31">
        <f>IF($E416="","",F416-G416)</f>
        <v/>
      </c>
      <c r="I416" s="32">
        <f>IF($E416="","",'Daily Data'!H416)</f>
        <v/>
      </c>
      <c r="J416" s="31">
        <f>IF($E416="","",E416-H416-I416)</f>
        <v/>
      </c>
      <c r="K416" s="33">
        <f>IF($E416="","",IF(A416&lt;HLP_ChangeDate,HLP_Legacy,HLP_Current))</f>
        <v/>
      </c>
      <c r="L416" s="31">
        <f>IF($E416="","",J416/(1-K416))</f>
        <v/>
      </c>
      <c r="M416" s="31">
        <f>IF($E416="","",I416/(1-K416))</f>
        <v/>
      </c>
      <c r="N416" s="31">
        <f>IF($E416="","",(B416+C416+D416)*Rate_Builder)</f>
        <v/>
      </c>
      <c r="O416" s="31">
        <f>IF($E416="","",E416*K416/(1-K416))</f>
        <v/>
      </c>
      <c r="P416" s="34">
        <f>IF(OR($E416="",B416=0),"",L416/B416*10000)</f>
        <v/>
      </c>
      <c r="Q416" s="34">
        <f>IF(OR($E416="",C416=0),"",F416/C416*10000)</f>
        <v/>
      </c>
      <c r="R416" s="34">
        <f>IF(OR($E416="",D416=0),"",'Daily Data'!I416/D416*10000)</f>
        <v/>
      </c>
    </row>
    <row r="417">
      <c r="A417" s="30" t="n">
        <v>46071</v>
      </c>
      <c r="B417" s="31">
        <f>'Daily Data'!B417-'Daily Data'!D417</f>
        <v/>
      </c>
      <c r="C417" s="32">
        <f>'Daily Data'!D417</f>
        <v/>
      </c>
      <c r="D417" s="32">
        <f>'Daily Data'!C417</f>
        <v/>
      </c>
      <c r="E417" s="32">
        <f>IF('Daily Data'!E417="","",'Daily Data'!E417)</f>
        <v/>
      </c>
      <c r="F417" s="32">
        <f>IF($E417="","",'Daily Data'!F417)</f>
        <v/>
      </c>
      <c r="G417" s="32">
        <f>IF($E417="","",'Daily Data'!G417)</f>
        <v/>
      </c>
      <c r="H417" s="31">
        <f>IF($E417="","",F417-G417)</f>
        <v/>
      </c>
      <c r="I417" s="32">
        <f>IF($E417="","",'Daily Data'!H417)</f>
        <v/>
      </c>
      <c r="J417" s="31">
        <f>IF($E417="","",E417-H417-I417)</f>
        <v/>
      </c>
      <c r="K417" s="33">
        <f>IF($E417="","",IF(A417&lt;HLP_ChangeDate,HLP_Legacy,HLP_Current))</f>
        <v/>
      </c>
      <c r="L417" s="31">
        <f>IF($E417="","",J417/(1-K417))</f>
        <v/>
      </c>
      <c r="M417" s="31">
        <f>IF($E417="","",I417/(1-K417))</f>
        <v/>
      </c>
      <c r="N417" s="31">
        <f>IF($E417="","",(B417+C417+D417)*Rate_Builder)</f>
        <v/>
      </c>
      <c r="O417" s="31">
        <f>IF($E417="","",E417*K417/(1-K417))</f>
        <v/>
      </c>
      <c r="P417" s="34">
        <f>IF(OR($E417="",B417=0),"",L417/B417*10000)</f>
        <v/>
      </c>
      <c r="Q417" s="34">
        <f>IF(OR($E417="",C417=0),"",F417/C417*10000)</f>
        <v/>
      </c>
      <c r="R417" s="34">
        <f>IF(OR($E417="",D417=0),"",'Daily Data'!I417/D417*10000)</f>
        <v/>
      </c>
    </row>
    <row r="418">
      <c r="A418" s="30" t="n">
        <v>46072</v>
      </c>
      <c r="B418" s="31">
        <f>'Daily Data'!B418-'Daily Data'!D418</f>
        <v/>
      </c>
      <c r="C418" s="32">
        <f>'Daily Data'!D418</f>
        <v/>
      </c>
      <c r="D418" s="32">
        <f>'Daily Data'!C418</f>
        <v/>
      </c>
      <c r="E418" s="32">
        <f>IF('Daily Data'!E418="","",'Daily Data'!E418)</f>
        <v/>
      </c>
      <c r="F418" s="32">
        <f>IF($E418="","",'Daily Data'!F418)</f>
        <v/>
      </c>
      <c r="G418" s="32">
        <f>IF($E418="","",'Daily Data'!G418)</f>
        <v/>
      </c>
      <c r="H418" s="31">
        <f>IF($E418="","",F418-G418)</f>
        <v/>
      </c>
      <c r="I418" s="32">
        <f>IF($E418="","",'Daily Data'!H418)</f>
        <v/>
      </c>
      <c r="J418" s="31">
        <f>IF($E418="","",E418-H418-I418)</f>
        <v/>
      </c>
      <c r="K418" s="33">
        <f>IF($E418="","",IF(A418&lt;HLP_ChangeDate,HLP_Legacy,HLP_Current))</f>
        <v/>
      </c>
      <c r="L418" s="31">
        <f>IF($E418="","",J418/(1-K418))</f>
        <v/>
      </c>
      <c r="M418" s="31">
        <f>IF($E418="","",I418/(1-K418))</f>
        <v/>
      </c>
      <c r="N418" s="31">
        <f>IF($E418="","",(B418+C418+D418)*Rate_Builder)</f>
        <v/>
      </c>
      <c r="O418" s="31">
        <f>IF($E418="","",E418*K418/(1-K418))</f>
        <v/>
      </c>
      <c r="P418" s="34">
        <f>IF(OR($E418="",B418=0),"",L418/B418*10000)</f>
        <v/>
      </c>
      <c r="Q418" s="34">
        <f>IF(OR($E418="",C418=0),"",F418/C418*10000)</f>
        <v/>
      </c>
      <c r="R418" s="34">
        <f>IF(OR($E418="",D418=0),"",'Daily Data'!I418/D418*10000)</f>
        <v/>
      </c>
    </row>
    <row r="419">
      <c r="A419" s="30" t="n">
        <v>46073</v>
      </c>
      <c r="B419" s="31">
        <f>'Daily Data'!B419-'Daily Data'!D419</f>
        <v/>
      </c>
      <c r="C419" s="32">
        <f>'Daily Data'!D419</f>
        <v/>
      </c>
      <c r="D419" s="32">
        <f>'Daily Data'!C419</f>
        <v/>
      </c>
      <c r="E419" s="32">
        <f>IF('Daily Data'!E419="","",'Daily Data'!E419)</f>
        <v/>
      </c>
      <c r="F419" s="32">
        <f>IF($E419="","",'Daily Data'!F419)</f>
        <v/>
      </c>
      <c r="G419" s="32">
        <f>IF($E419="","",'Daily Data'!G419)</f>
        <v/>
      </c>
      <c r="H419" s="31">
        <f>IF($E419="","",F419-G419)</f>
        <v/>
      </c>
      <c r="I419" s="32">
        <f>IF($E419="","",'Daily Data'!H419)</f>
        <v/>
      </c>
      <c r="J419" s="31">
        <f>IF($E419="","",E419-H419-I419)</f>
        <v/>
      </c>
      <c r="K419" s="33">
        <f>IF($E419="","",IF(A419&lt;HLP_ChangeDate,HLP_Legacy,HLP_Current))</f>
        <v/>
      </c>
      <c r="L419" s="31">
        <f>IF($E419="","",J419/(1-K419))</f>
        <v/>
      </c>
      <c r="M419" s="31">
        <f>IF($E419="","",I419/(1-K419))</f>
        <v/>
      </c>
      <c r="N419" s="31">
        <f>IF($E419="","",(B419+C419+D419)*Rate_Builder)</f>
        <v/>
      </c>
      <c r="O419" s="31">
        <f>IF($E419="","",E419*K419/(1-K419))</f>
        <v/>
      </c>
      <c r="P419" s="34">
        <f>IF(OR($E419="",B419=0),"",L419/B419*10000)</f>
        <v/>
      </c>
      <c r="Q419" s="34">
        <f>IF(OR($E419="",C419=0),"",F419/C419*10000)</f>
        <v/>
      </c>
      <c r="R419" s="34">
        <f>IF(OR($E419="",D419=0),"",'Daily Data'!I419/D419*10000)</f>
        <v/>
      </c>
    </row>
    <row r="420">
      <c r="A420" s="30" t="n">
        <v>46074</v>
      </c>
      <c r="B420" s="31">
        <f>'Daily Data'!B420-'Daily Data'!D420</f>
        <v/>
      </c>
      <c r="C420" s="32">
        <f>'Daily Data'!D420</f>
        <v/>
      </c>
      <c r="D420" s="32">
        <f>'Daily Data'!C420</f>
        <v/>
      </c>
      <c r="E420" s="32">
        <f>IF('Daily Data'!E420="","",'Daily Data'!E420)</f>
        <v/>
      </c>
      <c r="F420" s="32">
        <f>IF($E420="","",'Daily Data'!F420)</f>
        <v/>
      </c>
      <c r="G420" s="32">
        <f>IF($E420="","",'Daily Data'!G420)</f>
        <v/>
      </c>
      <c r="H420" s="31">
        <f>IF($E420="","",F420-G420)</f>
        <v/>
      </c>
      <c r="I420" s="32">
        <f>IF($E420="","",'Daily Data'!H420)</f>
        <v/>
      </c>
      <c r="J420" s="31">
        <f>IF($E420="","",E420-H420-I420)</f>
        <v/>
      </c>
      <c r="K420" s="33">
        <f>IF($E420="","",IF(A420&lt;HLP_ChangeDate,HLP_Legacy,HLP_Current))</f>
        <v/>
      </c>
      <c r="L420" s="31">
        <f>IF($E420="","",J420/(1-K420))</f>
        <v/>
      </c>
      <c r="M420" s="31">
        <f>IF($E420="","",I420/(1-K420))</f>
        <v/>
      </c>
      <c r="N420" s="31">
        <f>IF($E420="","",(B420+C420+D420)*Rate_Builder)</f>
        <v/>
      </c>
      <c r="O420" s="31">
        <f>IF($E420="","",E420*K420/(1-K420))</f>
        <v/>
      </c>
      <c r="P420" s="34">
        <f>IF(OR($E420="",B420=0),"",L420/B420*10000)</f>
        <v/>
      </c>
      <c r="Q420" s="34">
        <f>IF(OR($E420="",C420=0),"",F420/C420*10000)</f>
        <v/>
      </c>
      <c r="R420" s="34">
        <f>IF(OR($E420="",D420=0),"",'Daily Data'!I420/D420*10000)</f>
        <v/>
      </c>
    </row>
    <row r="421">
      <c r="A421" s="30" t="n">
        <v>46075</v>
      </c>
      <c r="B421" s="31">
        <f>'Daily Data'!B421-'Daily Data'!D421</f>
        <v/>
      </c>
      <c r="C421" s="32">
        <f>'Daily Data'!D421</f>
        <v/>
      </c>
      <c r="D421" s="32">
        <f>'Daily Data'!C421</f>
        <v/>
      </c>
      <c r="E421" s="32">
        <f>IF('Daily Data'!E421="","",'Daily Data'!E421)</f>
        <v/>
      </c>
      <c r="F421" s="32">
        <f>IF($E421="","",'Daily Data'!F421)</f>
        <v/>
      </c>
      <c r="G421" s="32">
        <f>IF($E421="","",'Daily Data'!G421)</f>
        <v/>
      </c>
      <c r="H421" s="31">
        <f>IF($E421="","",F421-G421)</f>
        <v/>
      </c>
      <c r="I421" s="32">
        <f>IF($E421="","",'Daily Data'!H421)</f>
        <v/>
      </c>
      <c r="J421" s="31">
        <f>IF($E421="","",E421-H421-I421)</f>
        <v/>
      </c>
      <c r="K421" s="33">
        <f>IF($E421="","",IF(A421&lt;HLP_ChangeDate,HLP_Legacy,HLP_Current))</f>
        <v/>
      </c>
      <c r="L421" s="31">
        <f>IF($E421="","",J421/(1-K421))</f>
        <v/>
      </c>
      <c r="M421" s="31">
        <f>IF($E421="","",I421/(1-K421))</f>
        <v/>
      </c>
      <c r="N421" s="31">
        <f>IF($E421="","",(B421+C421+D421)*Rate_Builder)</f>
        <v/>
      </c>
      <c r="O421" s="31">
        <f>IF($E421="","",E421*K421/(1-K421))</f>
        <v/>
      </c>
      <c r="P421" s="34">
        <f>IF(OR($E421="",B421=0),"",L421/B421*10000)</f>
        <v/>
      </c>
      <c r="Q421" s="34">
        <f>IF(OR($E421="",C421=0),"",F421/C421*10000)</f>
        <v/>
      </c>
      <c r="R421" s="34">
        <f>IF(OR($E421="",D421=0),"",'Daily Data'!I421/D421*10000)</f>
        <v/>
      </c>
    </row>
    <row r="422">
      <c r="A422" s="30" t="n">
        <v>46076</v>
      </c>
      <c r="B422" s="31">
        <f>'Daily Data'!B422-'Daily Data'!D422</f>
        <v/>
      </c>
      <c r="C422" s="32">
        <f>'Daily Data'!D422</f>
        <v/>
      </c>
      <c r="D422" s="32">
        <f>'Daily Data'!C422</f>
        <v/>
      </c>
      <c r="E422" s="32">
        <f>IF('Daily Data'!E422="","",'Daily Data'!E422)</f>
        <v/>
      </c>
      <c r="F422" s="32">
        <f>IF($E422="","",'Daily Data'!F422)</f>
        <v/>
      </c>
      <c r="G422" s="32">
        <f>IF($E422="","",'Daily Data'!G422)</f>
        <v/>
      </c>
      <c r="H422" s="31">
        <f>IF($E422="","",F422-G422)</f>
        <v/>
      </c>
      <c r="I422" s="32">
        <f>IF($E422="","",'Daily Data'!H422)</f>
        <v/>
      </c>
      <c r="J422" s="31">
        <f>IF($E422="","",E422-H422-I422)</f>
        <v/>
      </c>
      <c r="K422" s="33">
        <f>IF($E422="","",IF(A422&lt;HLP_ChangeDate,HLP_Legacy,HLP_Current))</f>
        <v/>
      </c>
      <c r="L422" s="31">
        <f>IF($E422="","",J422/(1-K422))</f>
        <v/>
      </c>
      <c r="M422" s="31">
        <f>IF($E422="","",I422/(1-K422))</f>
        <v/>
      </c>
      <c r="N422" s="31">
        <f>IF($E422="","",(B422+C422+D422)*Rate_Builder)</f>
        <v/>
      </c>
      <c r="O422" s="31">
        <f>IF($E422="","",E422*K422/(1-K422))</f>
        <v/>
      </c>
      <c r="P422" s="34">
        <f>IF(OR($E422="",B422=0),"",L422/B422*10000)</f>
        <v/>
      </c>
      <c r="Q422" s="34">
        <f>IF(OR($E422="",C422=0),"",F422/C422*10000)</f>
        <v/>
      </c>
      <c r="R422" s="34">
        <f>IF(OR($E422="",D422=0),"",'Daily Data'!I422/D422*10000)</f>
        <v/>
      </c>
    </row>
    <row r="423">
      <c r="A423" s="30" t="n">
        <v>46077</v>
      </c>
      <c r="B423" s="31">
        <f>'Daily Data'!B423-'Daily Data'!D423</f>
        <v/>
      </c>
      <c r="C423" s="32">
        <f>'Daily Data'!D423</f>
        <v/>
      </c>
      <c r="D423" s="32">
        <f>'Daily Data'!C423</f>
        <v/>
      </c>
      <c r="E423" s="32">
        <f>IF('Daily Data'!E423="","",'Daily Data'!E423)</f>
        <v/>
      </c>
      <c r="F423" s="32">
        <f>IF($E423="","",'Daily Data'!F423)</f>
        <v/>
      </c>
      <c r="G423" s="32">
        <f>IF($E423="","",'Daily Data'!G423)</f>
        <v/>
      </c>
      <c r="H423" s="31">
        <f>IF($E423="","",F423-G423)</f>
        <v/>
      </c>
      <c r="I423" s="32">
        <f>IF($E423="","",'Daily Data'!H423)</f>
        <v/>
      </c>
      <c r="J423" s="31">
        <f>IF($E423="","",E423-H423-I423)</f>
        <v/>
      </c>
      <c r="K423" s="33">
        <f>IF($E423="","",IF(A423&lt;HLP_ChangeDate,HLP_Legacy,HLP_Current))</f>
        <v/>
      </c>
      <c r="L423" s="31">
        <f>IF($E423="","",J423/(1-K423))</f>
        <v/>
      </c>
      <c r="M423" s="31">
        <f>IF($E423="","",I423/(1-K423))</f>
        <v/>
      </c>
      <c r="N423" s="31">
        <f>IF($E423="","",(B423+C423+D423)*Rate_Builder)</f>
        <v/>
      </c>
      <c r="O423" s="31">
        <f>IF($E423="","",E423*K423/(1-K423))</f>
        <v/>
      </c>
      <c r="P423" s="34">
        <f>IF(OR($E423="",B423=0),"",L423/B423*10000)</f>
        <v/>
      </c>
      <c r="Q423" s="34">
        <f>IF(OR($E423="",C423=0),"",F423/C423*10000)</f>
        <v/>
      </c>
      <c r="R423" s="34">
        <f>IF(OR($E423="",D423=0),"",'Daily Data'!I423/D423*10000)</f>
        <v/>
      </c>
    </row>
    <row r="424">
      <c r="A424" s="30" t="n">
        <v>46078</v>
      </c>
      <c r="B424" s="31">
        <f>'Daily Data'!B424-'Daily Data'!D424</f>
        <v/>
      </c>
      <c r="C424" s="32">
        <f>'Daily Data'!D424</f>
        <v/>
      </c>
      <c r="D424" s="32">
        <f>'Daily Data'!C424</f>
        <v/>
      </c>
      <c r="E424" s="32">
        <f>IF('Daily Data'!E424="","",'Daily Data'!E424)</f>
        <v/>
      </c>
      <c r="F424" s="32">
        <f>IF($E424="","",'Daily Data'!F424)</f>
        <v/>
      </c>
      <c r="G424" s="32">
        <f>IF($E424="","",'Daily Data'!G424)</f>
        <v/>
      </c>
      <c r="H424" s="31">
        <f>IF($E424="","",F424-G424)</f>
        <v/>
      </c>
      <c r="I424" s="32">
        <f>IF($E424="","",'Daily Data'!H424)</f>
        <v/>
      </c>
      <c r="J424" s="31">
        <f>IF($E424="","",E424-H424-I424)</f>
        <v/>
      </c>
      <c r="K424" s="33">
        <f>IF($E424="","",IF(A424&lt;HLP_ChangeDate,HLP_Legacy,HLP_Current))</f>
        <v/>
      </c>
      <c r="L424" s="31">
        <f>IF($E424="","",J424/(1-K424))</f>
        <v/>
      </c>
      <c r="M424" s="31">
        <f>IF($E424="","",I424/(1-K424))</f>
        <v/>
      </c>
      <c r="N424" s="31">
        <f>IF($E424="","",(B424+C424+D424)*Rate_Builder)</f>
        <v/>
      </c>
      <c r="O424" s="31">
        <f>IF($E424="","",E424*K424/(1-K424))</f>
        <v/>
      </c>
      <c r="P424" s="34">
        <f>IF(OR($E424="",B424=0),"",L424/B424*10000)</f>
        <v/>
      </c>
      <c r="Q424" s="34">
        <f>IF(OR($E424="",C424=0),"",F424/C424*10000)</f>
        <v/>
      </c>
      <c r="R424" s="34">
        <f>IF(OR($E424="",D424=0),"",'Daily Data'!I424/D424*10000)</f>
        <v/>
      </c>
    </row>
    <row r="425">
      <c r="A425" s="30" t="n">
        <v>46079</v>
      </c>
      <c r="B425" s="31">
        <f>'Daily Data'!B425-'Daily Data'!D425</f>
        <v/>
      </c>
      <c r="C425" s="32">
        <f>'Daily Data'!D425</f>
        <v/>
      </c>
      <c r="D425" s="32">
        <f>'Daily Data'!C425</f>
        <v/>
      </c>
      <c r="E425" s="32">
        <f>IF('Daily Data'!E425="","",'Daily Data'!E425)</f>
        <v/>
      </c>
      <c r="F425" s="32">
        <f>IF($E425="","",'Daily Data'!F425)</f>
        <v/>
      </c>
      <c r="G425" s="32">
        <f>IF($E425="","",'Daily Data'!G425)</f>
        <v/>
      </c>
      <c r="H425" s="31">
        <f>IF($E425="","",F425-G425)</f>
        <v/>
      </c>
      <c r="I425" s="32">
        <f>IF($E425="","",'Daily Data'!H425)</f>
        <v/>
      </c>
      <c r="J425" s="31">
        <f>IF($E425="","",E425-H425-I425)</f>
        <v/>
      </c>
      <c r="K425" s="33">
        <f>IF($E425="","",IF(A425&lt;HLP_ChangeDate,HLP_Legacy,HLP_Current))</f>
        <v/>
      </c>
      <c r="L425" s="31">
        <f>IF($E425="","",J425/(1-K425))</f>
        <v/>
      </c>
      <c r="M425" s="31">
        <f>IF($E425="","",I425/(1-K425))</f>
        <v/>
      </c>
      <c r="N425" s="31">
        <f>IF($E425="","",(B425+C425+D425)*Rate_Builder)</f>
        <v/>
      </c>
      <c r="O425" s="31">
        <f>IF($E425="","",E425*K425/(1-K425))</f>
        <v/>
      </c>
      <c r="P425" s="34">
        <f>IF(OR($E425="",B425=0),"",L425/B425*10000)</f>
        <v/>
      </c>
      <c r="Q425" s="34">
        <f>IF(OR($E425="",C425=0),"",F425/C425*10000)</f>
        <v/>
      </c>
      <c r="R425" s="34">
        <f>IF(OR($E425="",D425=0),"",'Daily Data'!I425/D425*10000)</f>
        <v/>
      </c>
    </row>
    <row r="426">
      <c r="A426" s="30" t="n">
        <v>46080</v>
      </c>
      <c r="B426" s="31">
        <f>'Daily Data'!B426-'Daily Data'!D426</f>
        <v/>
      </c>
      <c r="C426" s="32">
        <f>'Daily Data'!D426</f>
        <v/>
      </c>
      <c r="D426" s="32">
        <f>'Daily Data'!C426</f>
        <v/>
      </c>
      <c r="E426" s="32">
        <f>IF('Daily Data'!E426="","",'Daily Data'!E426)</f>
        <v/>
      </c>
      <c r="F426" s="32">
        <f>IF($E426="","",'Daily Data'!F426)</f>
        <v/>
      </c>
      <c r="G426" s="32">
        <f>IF($E426="","",'Daily Data'!G426)</f>
        <v/>
      </c>
      <c r="H426" s="31">
        <f>IF($E426="","",F426-G426)</f>
        <v/>
      </c>
      <c r="I426" s="32">
        <f>IF($E426="","",'Daily Data'!H426)</f>
        <v/>
      </c>
      <c r="J426" s="31">
        <f>IF($E426="","",E426-H426-I426)</f>
        <v/>
      </c>
      <c r="K426" s="33">
        <f>IF($E426="","",IF(A426&lt;HLP_ChangeDate,HLP_Legacy,HLP_Current))</f>
        <v/>
      </c>
      <c r="L426" s="31">
        <f>IF($E426="","",J426/(1-K426))</f>
        <v/>
      </c>
      <c r="M426" s="31">
        <f>IF($E426="","",I426/(1-K426))</f>
        <v/>
      </c>
      <c r="N426" s="31">
        <f>IF($E426="","",(B426+C426+D426)*Rate_Builder)</f>
        <v/>
      </c>
      <c r="O426" s="31">
        <f>IF($E426="","",E426*K426/(1-K426))</f>
        <v/>
      </c>
      <c r="P426" s="34">
        <f>IF(OR($E426="",B426=0),"",L426/B426*10000)</f>
        <v/>
      </c>
      <c r="Q426" s="34">
        <f>IF(OR($E426="",C426=0),"",F426/C426*10000)</f>
        <v/>
      </c>
      <c r="R426" s="34">
        <f>IF(OR($E426="",D426=0),"",'Daily Data'!I426/D426*10000)</f>
        <v/>
      </c>
    </row>
    <row r="427">
      <c r="A427" s="30" t="n">
        <v>46081</v>
      </c>
      <c r="B427" s="31">
        <f>'Daily Data'!B427-'Daily Data'!D427</f>
        <v/>
      </c>
      <c r="C427" s="32">
        <f>'Daily Data'!D427</f>
        <v/>
      </c>
      <c r="D427" s="32">
        <f>'Daily Data'!C427</f>
        <v/>
      </c>
      <c r="E427" s="32">
        <f>IF('Daily Data'!E427="","",'Daily Data'!E427)</f>
        <v/>
      </c>
      <c r="F427" s="32">
        <f>IF($E427="","",'Daily Data'!F427)</f>
        <v/>
      </c>
      <c r="G427" s="32">
        <f>IF($E427="","",'Daily Data'!G427)</f>
        <v/>
      </c>
      <c r="H427" s="31">
        <f>IF($E427="","",F427-G427)</f>
        <v/>
      </c>
      <c r="I427" s="32">
        <f>IF($E427="","",'Daily Data'!H427)</f>
        <v/>
      </c>
      <c r="J427" s="31">
        <f>IF($E427="","",E427-H427-I427)</f>
        <v/>
      </c>
      <c r="K427" s="33">
        <f>IF($E427="","",IF(A427&lt;HLP_ChangeDate,HLP_Legacy,HLP_Current))</f>
        <v/>
      </c>
      <c r="L427" s="31">
        <f>IF($E427="","",J427/(1-K427))</f>
        <v/>
      </c>
      <c r="M427" s="31">
        <f>IF($E427="","",I427/(1-K427))</f>
        <v/>
      </c>
      <c r="N427" s="31">
        <f>IF($E427="","",(B427+C427+D427)*Rate_Builder)</f>
        <v/>
      </c>
      <c r="O427" s="31">
        <f>IF($E427="","",E427*K427/(1-K427))</f>
        <v/>
      </c>
      <c r="P427" s="34">
        <f>IF(OR($E427="",B427=0),"",L427/B427*10000)</f>
        <v/>
      </c>
      <c r="Q427" s="34">
        <f>IF(OR($E427="",C427=0),"",F427/C427*10000)</f>
        <v/>
      </c>
      <c r="R427" s="34">
        <f>IF(OR($E427="",D427=0),"",'Daily Data'!I427/D427*10000)</f>
        <v/>
      </c>
    </row>
    <row r="428">
      <c r="A428" s="30" t="n">
        <v>46082</v>
      </c>
      <c r="B428" s="31">
        <f>'Daily Data'!B428-'Daily Data'!D428</f>
        <v/>
      </c>
      <c r="C428" s="32">
        <f>'Daily Data'!D428</f>
        <v/>
      </c>
      <c r="D428" s="32">
        <f>'Daily Data'!C428</f>
        <v/>
      </c>
      <c r="E428" s="32">
        <f>IF('Daily Data'!E428="","",'Daily Data'!E428)</f>
        <v/>
      </c>
      <c r="F428" s="32">
        <f>IF($E428="","",'Daily Data'!F428)</f>
        <v/>
      </c>
      <c r="G428" s="32">
        <f>IF($E428="","",'Daily Data'!G428)</f>
        <v/>
      </c>
      <c r="H428" s="31">
        <f>IF($E428="","",F428-G428)</f>
        <v/>
      </c>
      <c r="I428" s="32">
        <f>IF($E428="","",'Daily Data'!H428)</f>
        <v/>
      </c>
      <c r="J428" s="31">
        <f>IF($E428="","",E428-H428-I428)</f>
        <v/>
      </c>
      <c r="K428" s="33">
        <f>IF($E428="","",IF(A428&lt;HLP_ChangeDate,HLP_Legacy,HLP_Current))</f>
        <v/>
      </c>
      <c r="L428" s="31">
        <f>IF($E428="","",J428/(1-K428))</f>
        <v/>
      </c>
      <c r="M428" s="31">
        <f>IF($E428="","",I428/(1-K428))</f>
        <v/>
      </c>
      <c r="N428" s="31">
        <f>IF($E428="","",(B428+C428+D428)*Rate_Builder)</f>
        <v/>
      </c>
      <c r="O428" s="31">
        <f>IF($E428="","",E428*K428/(1-K428))</f>
        <v/>
      </c>
      <c r="P428" s="34">
        <f>IF(OR($E428="",B428=0),"",L428/B428*10000)</f>
        <v/>
      </c>
      <c r="Q428" s="34">
        <f>IF(OR($E428="",C428=0),"",F428/C428*10000)</f>
        <v/>
      </c>
      <c r="R428" s="34">
        <f>IF(OR($E428="",D428=0),"",'Daily Data'!I428/D428*10000)</f>
        <v/>
      </c>
    </row>
    <row r="429">
      <c r="A429" s="30" t="n">
        <v>46083</v>
      </c>
      <c r="B429" s="31">
        <f>'Daily Data'!B429-'Daily Data'!D429</f>
        <v/>
      </c>
      <c r="C429" s="32">
        <f>'Daily Data'!D429</f>
        <v/>
      </c>
      <c r="D429" s="32">
        <f>'Daily Data'!C429</f>
        <v/>
      </c>
      <c r="E429" s="32">
        <f>IF('Daily Data'!E429="","",'Daily Data'!E429)</f>
        <v/>
      </c>
      <c r="F429" s="32">
        <f>IF($E429="","",'Daily Data'!F429)</f>
        <v/>
      </c>
      <c r="G429" s="32">
        <f>IF($E429="","",'Daily Data'!G429)</f>
        <v/>
      </c>
      <c r="H429" s="31">
        <f>IF($E429="","",F429-G429)</f>
        <v/>
      </c>
      <c r="I429" s="32">
        <f>IF($E429="","",'Daily Data'!H429)</f>
        <v/>
      </c>
      <c r="J429" s="31">
        <f>IF($E429="","",E429-H429-I429)</f>
        <v/>
      </c>
      <c r="K429" s="33">
        <f>IF($E429="","",IF(A429&lt;HLP_ChangeDate,HLP_Legacy,HLP_Current))</f>
        <v/>
      </c>
      <c r="L429" s="31">
        <f>IF($E429="","",J429/(1-K429))</f>
        <v/>
      </c>
      <c r="M429" s="31">
        <f>IF($E429="","",I429/(1-K429))</f>
        <v/>
      </c>
      <c r="N429" s="31">
        <f>IF($E429="","",(B429+C429+D429)*Rate_Builder)</f>
        <v/>
      </c>
      <c r="O429" s="31">
        <f>IF($E429="","",E429*K429/(1-K429))</f>
        <v/>
      </c>
      <c r="P429" s="34">
        <f>IF(OR($E429="",B429=0),"",L429/B429*10000)</f>
        <v/>
      </c>
      <c r="Q429" s="34">
        <f>IF(OR($E429="",C429=0),"",F429/C429*10000)</f>
        <v/>
      </c>
      <c r="R429" s="34">
        <f>IF(OR($E429="",D429=0),"",'Daily Data'!I429/D429*10000)</f>
        <v/>
      </c>
    </row>
    <row r="430">
      <c r="A430" s="30" t="n">
        <v>46084</v>
      </c>
      <c r="B430" s="31">
        <f>'Daily Data'!B430-'Daily Data'!D430</f>
        <v/>
      </c>
      <c r="C430" s="32">
        <f>'Daily Data'!D430</f>
        <v/>
      </c>
      <c r="D430" s="32">
        <f>'Daily Data'!C430</f>
        <v/>
      </c>
      <c r="E430" s="32">
        <f>IF('Daily Data'!E430="","",'Daily Data'!E430)</f>
        <v/>
      </c>
      <c r="F430" s="32">
        <f>IF($E430="","",'Daily Data'!F430)</f>
        <v/>
      </c>
      <c r="G430" s="32">
        <f>IF($E430="","",'Daily Data'!G430)</f>
        <v/>
      </c>
      <c r="H430" s="31">
        <f>IF($E430="","",F430-G430)</f>
        <v/>
      </c>
      <c r="I430" s="32">
        <f>IF($E430="","",'Daily Data'!H430)</f>
        <v/>
      </c>
      <c r="J430" s="31">
        <f>IF($E430="","",E430-H430-I430)</f>
        <v/>
      </c>
      <c r="K430" s="33">
        <f>IF($E430="","",IF(A430&lt;HLP_ChangeDate,HLP_Legacy,HLP_Current))</f>
        <v/>
      </c>
      <c r="L430" s="31">
        <f>IF($E430="","",J430/(1-K430))</f>
        <v/>
      </c>
      <c r="M430" s="31">
        <f>IF($E430="","",I430/(1-K430))</f>
        <v/>
      </c>
      <c r="N430" s="31">
        <f>IF($E430="","",(B430+C430+D430)*Rate_Builder)</f>
        <v/>
      </c>
      <c r="O430" s="31">
        <f>IF($E430="","",E430*K430/(1-K430))</f>
        <v/>
      </c>
      <c r="P430" s="34">
        <f>IF(OR($E430="",B430=0),"",L430/B430*10000)</f>
        <v/>
      </c>
      <c r="Q430" s="34">
        <f>IF(OR($E430="",C430=0),"",F430/C430*10000)</f>
        <v/>
      </c>
      <c r="R430" s="34">
        <f>IF(OR($E430="",D430=0),"",'Daily Data'!I430/D430*10000)</f>
        <v/>
      </c>
    </row>
    <row r="431">
      <c r="A431" s="30" t="n">
        <v>46085</v>
      </c>
      <c r="B431" s="31">
        <f>'Daily Data'!B431-'Daily Data'!D431</f>
        <v/>
      </c>
      <c r="C431" s="32">
        <f>'Daily Data'!D431</f>
        <v/>
      </c>
      <c r="D431" s="32">
        <f>'Daily Data'!C431</f>
        <v/>
      </c>
      <c r="E431" s="32">
        <f>IF('Daily Data'!E431="","",'Daily Data'!E431)</f>
        <v/>
      </c>
      <c r="F431" s="32">
        <f>IF($E431="","",'Daily Data'!F431)</f>
        <v/>
      </c>
      <c r="G431" s="32">
        <f>IF($E431="","",'Daily Data'!G431)</f>
        <v/>
      </c>
      <c r="H431" s="31">
        <f>IF($E431="","",F431-G431)</f>
        <v/>
      </c>
      <c r="I431" s="32">
        <f>IF($E431="","",'Daily Data'!H431)</f>
        <v/>
      </c>
      <c r="J431" s="31">
        <f>IF($E431="","",E431-H431-I431)</f>
        <v/>
      </c>
      <c r="K431" s="33">
        <f>IF($E431="","",IF(A431&lt;HLP_ChangeDate,HLP_Legacy,HLP_Current))</f>
        <v/>
      </c>
      <c r="L431" s="31">
        <f>IF($E431="","",J431/(1-K431))</f>
        <v/>
      </c>
      <c r="M431" s="31">
        <f>IF($E431="","",I431/(1-K431))</f>
        <v/>
      </c>
      <c r="N431" s="31">
        <f>IF($E431="","",(B431+C431+D431)*Rate_Builder)</f>
        <v/>
      </c>
      <c r="O431" s="31">
        <f>IF($E431="","",E431*K431/(1-K431))</f>
        <v/>
      </c>
      <c r="P431" s="34">
        <f>IF(OR($E431="",B431=0),"",L431/B431*10000)</f>
        <v/>
      </c>
      <c r="Q431" s="34">
        <f>IF(OR($E431="",C431=0),"",F431/C431*10000)</f>
        <v/>
      </c>
      <c r="R431" s="34">
        <f>IF(OR($E431="",D431=0),"",'Daily Data'!I431/D431*10000)</f>
        <v/>
      </c>
    </row>
    <row r="432">
      <c r="A432" s="30" t="n">
        <v>46086</v>
      </c>
      <c r="B432" s="31">
        <f>'Daily Data'!B432-'Daily Data'!D432</f>
        <v/>
      </c>
      <c r="C432" s="32">
        <f>'Daily Data'!D432</f>
        <v/>
      </c>
      <c r="D432" s="32">
        <f>'Daily Data'!C432</f>
        <v/>
      </c>
      <c r="E432" s="32">
        <f>IF('Daily Data'!E432="","",'Daily Data'!E432)</f>
        <v/>
      </c>
      <c r="F432" s="32">
        <f>IF($E432="","",'Daily Data'!F432)</f>
        <v/>
      </c>
      <c r="G432" s="32">
        <f>IF($E432="","",'Daily Data'!G432)</f>
        <v/>
      </c>
      <c r="H432" s="31">
        <f>IF($E432="","",F432-G432)</f>
        <v/>
      </c>
      <c r="I432" s="32">
        <f>IF($E432="","",'Daily Data'!H432)</f>
        <v/>
      </c>
      <c r="J432" s="31">
        <f>IF($E432="","",E432-H432-I432)</f>
        <v/>
      </c>
      <c r="K432" s="33">
        <f>IF($E432="","",IF(A432&lt;HLP_ChangeDate,HLP_Legacy,HLP_Current))</f>
        <v/>
      </c>
      <c r="L432" s="31">
        <f>IF($E432="","",J432/(1-K432))</f>
        <v/>
      </c>
      <c r="M432" s="31">
        <f>IF($E432="","",I432/(1-K432))</f>
        <v/>
      </c>
      <c r="N432" s="31">
        <f>IF($E432="","",(B432+C432+D432)*Rate_Builder)</f>
        <v/>
      </c>
      <c r="O432" s="31">
        <f>IF($E432="","",E432*K432/(1-K432))</f>
        <v/>
      </c>
      <c r="P432" s="34">
        <f>IF(OR($E432="",B432=0),"",L432/B432*10000)</f>
        <v/>
      </c>
      <c r="Q432" s="34">
        <f>IF(OR($E432="",C432=0),"",F432/C432*10000)</f>
        <v/>
      </c>
      <c r="R432" s="34">
        <f>IF(OR($E432="",D432=0),"",'Daily Data'!I432/D432*10000)</f>
        <v/>
      </c>
    </row>
    <row r="433">
      <c r="A433" s="30" t="n">
        <v>46087</v>
      </c>
      <c r="B433" s="31">
        <f>'Daily Data'!B433-'Daily Data'!D433</f>
        <v/>
      </c>
      <c r="C433" s="32">
        <f>'Daily Data'!D433</f>
        <v/>
      </c>
      <c r="D433" s="32">
        <f>'Daily Data'!C433</f>
        <v/>
      </c>
      <c r="E433" s="32">
        <f>IF('Daily Data'!E433="","",'Daily Data'!E433)</f>
        <v/>
      </c>
      <c r="F433" s="32">
        <f>IF($E433="","",'Daily Data'!F433)</f>
        <v/>
      </c>
      <c r="G433" s="32">
        <f>IF($E433="","",'Daily Data'!G433)</f>
        <v/>
      </c>
      <c r="H433" s="31">
        <f>IF($E433="","",F433-G433)</f>
        <v/>
      </c>
      <c r="I433" s="32">
        <f>IF($E433="","",'Daily Data'!H433)</f>
        <v/>
      </c>
      <c r="J433" s="31">
        <f>IF($E433="","",E433-H433-I433)</f>
        <v/>
      </c>
      <c r="K433" s="33">
        <f>IF($E433="","",IF(A433&lt;HLP_ChangeDate,HLP_Legacy,HLP_Current))</f>
        <v/>
      </c>
      <c r="L433" s="31">
        <f>IF($E433="","",J433/(1-K433))</f>
        <v/>
      </c>
      <c r="M433" s="31">
        <f>IF($E433="","",I433/(1-K433))</f>
        <v/>
      </c>
      <c r="N433" s="31">
        <f>IF($E433="","",(B433+C433+D433)*Rate_Builder)</f>
        <v/>
      </c>
      <c r="O433" s="31">
        <f>IF($E433="","",E433*K433/(1-K433))</f>
        <v/>
      </c>
      <c r="P433" s="34">
        <f>IF(OR($E433="",B433=0),"",L433/B433*10000)</f>
        <v/>
      </c>
      <c r="Q433" s="34">
        <f>IF(OR($E433="",C433=0),"",F433/C433*10000)</f>
        <v/>
      </c>
      <c r="R433" s="34">
        <f>IF(OR($E433="",D433=0),"",'Daily Data'!I433/D433*10000)</f>
        <v/>
      </c>
    </row>
    <row r="434">
      <c r="A434" s="30" t="n">
        <v>46088</v>
      </c>
      <c r="B434" s="31">
        <f>'Daily Data'!B434-'Daily Data'!D434</f>
        <v/>
      </c>
      <c r="C434" s="32">
        <f>'Daily Data'!D434</f>
        <v/>
      </c>
      <c r="D434" s="32">
        <f>'Daily Data'!C434</f>
        <v/>
      </c>
      <c r="E434" s="32">
        <f>IF('Daily Data'!E434="","",'Daily Data'!E434)</f>
        <v/>
      </c>
      <c r="F434" s="32">
        <f>IF($E434="","",'Daily Data'!F434)</f>
        <v/>
      </c>
      <c r="G434" s="32">
        <f>IF($E434="","",'Daily Data'!G434)</f>
        <v/>
      </c>
      <c r="H434" s="31">
        <f>IF($E434="","",F434-G434)</f>
        <v/>
      </c>
      <c r="I434" s="32">
        <f>IF($E434="","",'Daily Data'!H434)</f>
        <v/>
      </c>
      <c r="J434" s="31">
        <f>IF($E434="","",E434-H434-I434)</f>
        <v/>
      </c>
      <c r="K434" s="33">
        <f>IF($E434="","",IF(A434&lt;HLP_ChangeDate,HLP_Legacy,HLP_Current))</f>
        <v/>
      </c>
      <c r="L434" s="31">
        <f>IF($E434="","",J434/(1-K434))</f>
        <v/>
      </c>
      <c r="M434" s="31">
        <f>IF($E434="","",I434/(1-K434))</f>
        <v/>
      </c>
      <c r="N434" s="31">
        <f>IF($E434="","",(B434+C434+D434)*Rate_Builder)</f>
        <v/>
      </c>
      <c r="O434" s="31">
        <f>IF($E434="","",E434*K434/(1-K434))</f>
        <v/>
      </c>
      <c r="P434" s="34">
        <f>IF(OR($E434="",B434=0),"",L434/B434*10000)</f>
        <v/>
      </c>
      <c r="Q434" s="34">
        <f>IF(OR($E434="",C434=0),"",F434/C434*10000)</f>
        <v/>
      </c>
      <c r="R434" s="34">
        <f>IF(OR($E434="",D434=0),"",'Daily Data'!I434/D434*10000)</f>
        <v/>
      </c>
    </row>
    <row r="435">
      <c r="A435" s="30" t="n">
        <v>46089</v>
      </c>
      <c r="B435" s="31">
        <f>'Daily Data'!B435-'Daily Data'!D435</f>
        <v/>
      </c>
      <c r="C435" s="32">
        <f>'Daily Data'!D435</f>
        <v/>
      </c>
      <c r="D435" s="32">
        <f>'Daily Data'!C435</f>
        <v/>
      </c>
      <c r="E435" s="32">
        <f>IF('Daily Data'!E435="","",'Daily Data'!E435)</f>
        <v/>
      </c>
      <c r="F435" s="32">
        <f>IF($E435="","",'Daily Data'!F435)</f>
        <v/>
      </c>
      <c r="G435" s="32">
        <f>IF($E435="","",'Daily Data'!G435)</f>
        <v/>
      </c>
      <c r="H435" s="31">
        <f>IF($E435="","",F435-G435)</f>
        <v/>
      </c>
      <c r="I435" s="32">
        <f>IF($E435="","",'Daily Data'!H435)</f>
        <v/>
      </c>
      <c r="J435" s="31">
        <f>IF($E435="","",E435-H435-I435)</f>
        <v/>
      </c>
      <c r="K435" s="33">
        <f>IF($E435="","",IF(A435&lt;HLP_ChangeDate,HLP_Legacy,HLP_Current))</f>
        <v/>
      </c>
      <c r="L435" s="31">
        <f>IF($E435="","",J435/(1-K435))</f>
        <v/>
      </c>
      <c r="M435" s="31">
        <f>IF($E435="","",I435/(1-K435))</f>
        <v/>
      </c>
      <c r="N435" s="31">
        <f>IF($E435="","",(B435+C435+D435)*Rate_Builder)</f>
        <v/>
      </c>
      <c r="O435" s="31">
        <f>IF($E435="","",E435*K435/(1-K435))</f>
        <v/>
      </c>
      <c r="P435" s="34">
        <f>IF(OR($E435="",B435=0),"",L435/B435*10000)</f>
        <v/>
      </c>
      <c r="Q435" s="34">
        <f>IF(OR($E435="",C435=0),"",F435/C435*10000)</f>
        <v/>
      </c>
      <c r="R435" s="34">
        <f>IF(OR($E435="",D435=0),"",'Daily Data'!I435/D435*10000)</f>
        <v/>
      </c>
    </row>
    <row r="436">
      <c r="A436" s="30" t="n">
        <v>46090</v>
      </c>
      <c r="B436" s="31">
        <f>'Daily Data'!B436-'Daily Data'!D436</f>
        <v/>
      </c>
      <c r="C436" s="32">
        <f>'Daily Data'!D436</f>
        <v/>
      </c>
      <c r="D436" s="32">
        <f>'Daily Data'!C436</f>
        <v/>
      </c>
      <c r="E436" s="32">
        <f>IF('Daily Data'!E436="","",'Daily Data'!E436)</f>
        <v/>
      </c>
      <c r="F436" s="32">
        <f>IF($E436="","",'Daily Data'!F436)</f>
        <v/>
      </c>
      <c r="G436" s="32">
        <f>IF($E436="","",'Daily Data'!G436)</f>
        <v/>
      </c>
      <c r="H436" s="31">
        <f>IF($E436="","",F436-G436)</f>
        <v/>
      </c>
      <c r="I436" s="32">
        <f>IF($E436="","",'Daily Data'!H436)</f>
        <v/>
      </c>
      <c r="J436" s="31">
        <f>IF($E436="","",E436-H436-I436)</f>
        <v/>
      </c>
      <c r="K436" s="33">
        <f>IF($E436="","",IF(A436&lt;HLP_ChangeDate,HLP_Legacy,HLP_Current))</f>
        <v/>
      </c>
      <c r="L436" s="31">
        <f>IF($E436="","",J436/(1-K436))</f>
        <v/>
      </c>
      <c r="M436" s="31">
        <f>IF($E436="","",I436/(1-K436))</f>
        <v/>
      </c>
      <c r="N436" s="31">
        <f>IF($E436="","",(B436+C436+D436)*Rate_Builder)</f>
        <v/>
      </c>
      <c r="O436" s="31">
        <f>IF($E436="","",E436*K436/(1-K436))</f>
        <v/>
      </c>
      <c r="P436" s="34">
        <f>IF(OR($E436="",B436=0),"",L436/B436*10000)</f>
        <v/>
      </c>
      <c r="Q436" s="34">
        <f>IF(OR($E436="",C436=0),"",F436/C436*10000)</f>
        <v/>
      </c>
      <c r="R436" s="34">
        <f>IF(OR($E436="",D436=0),"",'Daily Data'!I436/D436*10000)</f>
        <v/>
      </c>
    </row>
    <row r="437">
      <c r="A437" s="30" t="n">
        <v>46091</v>
      </c>
      <c r="B437" s="31">
        <f>'Daily Data'!B437-'Daily Data'!D437</f>
        <v/>
      </c>
      <c r="C437" s="32">
        <f>'Daily Data'!D437</f>
        <v/>
      </c>
      <c r="D437" s="32">
        <f>'Daily Data'!C437</f>
        <v/>
      </c>
      <c r="E437" s="32">
        <f>IF('Daily Data'!E437="","",'Daily Data'!E437)</f>
        <v/>
      </c>
      <c r="F437" s="32">
        <f>IF($E437="","",'Daily Data'!F437)</f>
        <v/>
      </c>
      <c r="G437" s="32">
        <f>IF($E437="","",'Daily Data'!G437)</f>
        <v/>
      </c>
      <c r="H437" s="31">
        <f>IF($E437="","",F437-G437)</f>
        <v/>
      </c>
      <c r="I437" s="32">
        <f>IF($E437="","",'Daily Data'!H437)</f>
        <v/>
      </c>
      <c r="J437" s="31">
        <f>IF($E437="","",E437-H437-I437)</f>
        <v/>
      </c>
      <c r="K437" s="33">
        <f>IF($E437="","",IF(A437&lt;HLP_ChangeDate,HLP_Legacy,HLP_Current))</f>
        <v/>
      </c>
      <c r="L437" s="31">
        <f>IF($E437="","",J437/(1-K437))</f>
        <v/>
      </c>
      <c r="M437" s="31">
        <f>IF($E437="","",I437/(1-K437))</f>
        <v/>
      </c>
      <c r="N437" s="31">
        <f>IF($E437="","",(B437+C437+D437)*Rate_Builder)</f>
        <v/>
      </c>
      <c r="O437" s="31">
        <f>IF($E437="","",E437*K437/(1-K437))</f>
        <v/>
      </c>
      <c r="P437" s="34">
        <f>IF(OR($E437="",B437=0),"",L437/B437*10000)</f>
        <v/>
      </c>
      <c r="Q437" s="34">
        <f>IF(OR($E437="",C437=0),"",F437/C437*10000)</f>
        <v/>
      </c>
      <c r="R437" s="34">
        <f>IF(OR($E437="",D437=0),"",'Daily Data'!I437/D437*10000)</f>
        <v/>
      </c>
    </row>
    <row r="438">
      <c r="A438" s="30" t="n">
        <v>46092</v>
      </c>
      <c r="B438" s="31">
        <f>'Daily Data'!B438-'Daily Data'!D438</f>
        <v/>
      </c>
      <c r="C438" s="32">
        <f>'Daily Data'!D438</f>
        <v/>
      </c>
      <c r="D438" s="32">
        <f>'Daily Data'!C438</f>
        <v/>
      </c>
      <c r="E438" s="32">
        <f>IF('Daily Data'!E438="","",'Daily Data'!E438)</f>
        <v/>
      </c>
      <c r="F438" s="32">
        <f>IF($E438="","",'Daily Data'!F438)</f>
        <v/>
      </c>
      <c r="G438" s="32">
        <f>IF($E438="","",'Daily Data'!G438)</f>
        <v/>
      </c>
      <c r="H438" s="31">
        <f>IF($E438="","",F438-G438)</f>
        <v/>
      </c>
      <c r="I438" s="32">
        <f>IF($E438="","",'Daily Data'!H438)</f>
        <v/>
      </c>
      <c r="J438" s="31">
        <f>IF($E438="","",E438-H438-I438)</f>
        <v/>
      </c>
      <c r="K438" s="33">
        <f>IF($E438="","",IF(A438&lt;HLP_ChangeDate,HLP_Legacy,HLP_Current))</f>
        <v/>
      </c>
      <c r="L438" s="31">
        <f>IF($E438="","",J438/(1-K438))</f>
        <v/>
      </c>
      <c r="M438" s="31">
        <f>IF($E438="","",I438/(1-K438))</f>
        <v/>
      </c>
      <c r="N438" s="31">
        <f>IF($E438="","",(B438+C438+D438)*Rate_Builder)</f>
        <v/>
      </c>
      <c r="O438" s="31">
        <f>IF($E438="","",E438*K438/(1-K438))</f>
        <v/>
      </c>
      <c r="P438" s="34">
        <f>IF(OR($E438="",B438=0),"",L438/B438*10000)</f>
        <v/>
      </c>
      <c r="Q438" s="34">
        <f>IF(OR($E438="",C438=0),"",F438/C438*10000)</f>
        <v/>
      </c>
      <c r="R438" s="34">
        <f>IF(OR($E438="",D438=0),"",'Daily Data'!I438/D438*10000)</f>
        <v/>
      </c>
    </row>
    <row r="439">
      <c r="A439" s="30" t="n">
        <v>46093</v>
      </c>
      <c r="B439" s="31">
        <f>'Daily Data'!B439-'Daily Data'!D439</f>
        <v/>
      </c>
      <c r="C439" s="32">
        <f>'Daily Data'!D439</f>
        <v/>
      </c>
      <c r="D439" s="32">
        <f>'Daily Data'!C439</f>
        <v/>
      </c>
      <c r="E439" s="32">
        <f>IF('Daily Data'!E439="","",'Daily Data'!E439)</f>
        <v/>
      </c>
      <c r="F439" s="32">
        <f>IF($E439="","",'Daily Data'!F439)</f>
        <v/>
      </c>
      <c r="G439" s="32">
        <f>IF($E439="","",'Daily Data'!G439)</f>
        <v/>
      </c>
      <c r="H439" s="31">
        <f>IF($E439="","",F439-G439)</f>
        <v/>
      </c>
      <c r="I439" s="32">
        <f>IF($E439="","",'Daily Data'!H439)</f>
        <v/>
      </c>
      <c r="J439" s="31">
        <f>IF($E439="","",E439-H439-I439)</f>
        <v/>
      </c>
      <c r="K439" s="33">
        <f>IF($E439="","",IF(A439&lt;HLP_ChangeDate,HLP_Legacy,HLP_Current))</f>
        <v/>
      </c>
      <c r="L439" s="31">
        <f>IF($E439="","",J439/(1-K439))</f>
        <v/>
      </c>
      <c r="M439" s="31">
        <f>IF($E439="","",I439/(1-K439))</f>
        <v/>
      </c>
      <c r="N439" s="31">
        <f>IF($E439="","",(B439+C439+D439)*Rate_Builder)</f>
        <v/>
      </c>
      <c r="O439" s="31">
        <f>IF($E439="","",E439*K439/(1-K439))</f>
        <v/>
      </c>
      <c r="P439" s="34">
        <f>IF(OR($E439="",B439=0),"",L439/B439*10000)</f>
        <v/>
      </c>
      <c r="Q439" s="34">
        <f>IF(OR($E439="",C439=0),"",F439/C439*10000)</f>
        <v/>
      </c>
      <c r="R439" s="34">
        <f>IF(OR($E439="",D439=0),"",'Daily Data'!I439/D439*10000)</f>
        <v/>
      </c>
    </row>
    <row r="440">
      <c r="A440" s="30" t="n">
        <v>46094</v>
      </c>
      <c r="B440" s="31">
        <f>'Daily Data'!B440-'Daily Data'!D440</f>
        <v/>
      </c>
      <c r="C440" s="32">
        <f>'Daily Data'!D440</f>
        <v/>
      </c>
      <c r="D440" s="32">
        <f>'Daily Data'!C440</f>
        <v/>
      </c>
      <c r="E440" s="32">
        <f>IF('Daily Data'!E440="","",'Daily Data'!E440)</f>
        <v/>
      </c>
      <c r="F440" s="32">
        <f>IF($E440="","",'Daily Data'!F440)</f>
        <v/>
      </c>
      <c r="G440" s="32">
        <f>IF($E440="","",'Daily Data'!G440)</f>
        <v/>
      </c>
      <c r="H440" s="31">
        <f>IF($E440="","",F440-G440)</f>
        <v/>
      </c>
      <c r="I440" s="32">
        <f>IF($E440="","",'Daily Data'!H440)</f>
        <v/>
      </c>
      <c r="J440" s="31">
        <f>IF($E440="","",E440-H440-I440)</f>
        <v/>
      </c>
      <c r="K440" s="33">
        <f>IF($E440="","",IF(A440&lt;HLP_ChangeDate,HLP_Legacy,HLP_Current))</f>
        <v/>
      </c>
      <c r="L440" s="31">
        <f>IF($E440="","",J440/(1-K440))</f>
        <v/>
      </c>
      <c r="M440" s="31">
        <f>IF($E440="","",I440/(1-K440))</f>
        <v/>
      </c>
      <c r="N440" s="31">
        <f>IF($E440="","",(B440+C440+D440)*Rate_Builder)</f>
        <v/>
      </c>
      <c r="O440" s="31">
        <f>IF($E440="","",E440*K440/(1-K440))</f>
        <v/>
      </c>
      <c r="P440" s="34">
        <f>IF(OR($E440="",B440=0),"",L440/B440*10000)</f>
        <v/>
      </c>
      <c r="Q440" s="34">
        <f>IF(OR($E440="",C440=0),"",F440/C440*10000)</f>
        <v/>
      </c>
      <c r="R440" s="34">
        <f>IF(OR($E440="",D440=0),"",'Daily Data'!I440/D440*10000)</f>
        <v/>
      </c>
    </row>
    <row r="441">
      <c r="A441" s="30" t="n">
        <v>46095</v>
      </c>
      <c r="B441" s="31">
        <f>'Daily Data'!B441-'Daily Data'!D441</f>
        <v/>
      </c>
      <c r="C441" s="32">
        <f>'Daily Data'!D441</f>
        <v/>
      </c>
      <c r="D441" s="32">
        <f>'Daily Data'!C441</f>
        <v/>
      </c>
      <c r="E441" s="32">
        <f>IF('Daily Data'!E441="","",'Daily Data'!E441)</f>
        <v/>
      </c>
      <c r="F441" s="32">
        <f>IF($E441="","",'Daily Data'!F441)</f>
        <v/>
      </c>
      <c r="G441" s="32">
        <f>IF($E441="","",'Daily Data'!G441)</f>
        <v/>
      </c>
      <c r="H441" s="31">
        <f>IF($E441="","",F441-G441)</f>
        <v/>
      </c>
      <c r="I441" s="32">
        <f>IF($E441="","",'Daily Data'!H441)</f>
        <v/>
      </c>
      <c r="J441" s="31">
        <f>IF($E441="","",E441-H441-I441)</f>
        <v/>
      </c>
      <c r="K441" s="33">
        <f>IF($E441="","",IF(A441&lt;HLP_ChangeDate,HLP_Legacy,HLP_Current))</f>
        <v/>
      </c>
      <c r="L441" s="31">
        <f>IF($E441="","",J441/(1-K441))</f>
        <v/>
      </c>
      <c r="M441" s="31">
        <f>IF($E441="","",I441/(1-K441))</f>
        <v/>
      </c>
      <c r="N441" s="31">
        <f>IF($E441="","",(B441+C441+D441)*Rate_Builder)</f>
        <v/>
      </c>
      <c r="O441" s="31">
        <f>IF($E441="","",E441*K441/(1-K441))</f>
        <v/>
      </c>
      <c r="P441" s="34">
        <f>IF(OR($E441="",B441=0),"",L441/B441*10000)</f>
        <v/>
      </c>
      <c r="Q441" s="34">
        <f>IF(OR($E441="",C441=0),"",F441/C441*10000)</f>
        <v/>
      </c>
      <c r="R441" s="34">
        <f>IF(OR($E441="",D441=0),"",'Daily Data'!I441/D441*10000)</f>
        <v/>
      </c>
    </row>
    <row r="442">
      <c r="A442" s="30" t="n">
        <v>46096</v>
      </c>
      <c r="B442" s="31">
        <f>'Daily Data'!B442-'Daily Data'!D442</f>
        <v/>
      </c>
      <c r="C442" s="32">
        <f>'Daily Data'!D442</f>
        <v/>
      </c>
      <c r="D442" s="32">
        <f>'Daily Data'!C442</f>
        <v/>
      </c>
      <c r="E442" s="32">
        <f>IF('Daily Data'!E442="","",'Daily Data'!E442)</f>
        <v/>
      </c>
      <c r="F442" s="32">
        <f>IF($E442="","",'Daily Data'!F442)</f>
        <v/>
      </c>
      <c r="G442" s="32">
        <f>IF($E442="","",'Daily Data'!G442)</f>
        <v/>
      </c>
      <c r="H442" s="31">
        <f>IF($E442="","",F442-G442)</f>
        <v/>
      </c>
      <c r="I442" s="32">
        <f>IF($E442="","",'Daily Data'!H442)</f>
        <v/>
      </c>
      <c r="J442" s="31">
        <f>IF($E442="","",E442-H442-I442)</f>
        <v/>
      </c>
      <c r="K442" s="33">
        <f>IF($E442="","",IF(A442&lt;HLP_ChangeDate,HLP_Legacy,HLP_Current))</f>
        <v/>
      </c>
      <c r="L442" s="31">
        <f>IF($E442="","",J442/(1-K442))</f>
        <v/>
      </c>
      <c r="M442" s="31">
        <f>IF($E442="","",I442/(1-K442))</f>
        <v/>
      </c>
      <c r="N442" s="31">
        <f>IF($E442="","",(B442+C442+D442)*Rate_Builder)</f>
        <v/>
      </c>
      <c r="O442" s="31">
        <f>IF($E442="","",E442*K442/(1-K442))</f>
        <v/>
      </c>
      <c r="P442" s="34">
        <f>IF(OR($E442="",B442=0),"",L442/B442*10000)</f>
        <v/>
      </c>
      <c r="Q442" s="34">
        <f>IF(OR($E442="",C442=0),"",F442/C442*10000)</f>
        <v/>
      </c>
      <c r="R442" s="34">
        <f>IF(OR($E442="",D442=0),"",'Daily Data'!I442/D442*10000)</f>
        <v/>
      </c>
    </row>
    <row r="443">
      <c r="A443" s="30" t="n">
        <v>46097</v>
      </c>
      <c r="B443" s="31">
        <f>'Daily Data'!B443-'Daily Data'!D443</f>
        <v/>
      </c>
      <c r="C443" s="32">
        <f>'Daily Data'!D443</f>
        <v/>
      </c>
      <c r="D443" s="32">
        <f>'Daily Data'!C443</f>
        <v/>
      </c>
      <c r="E443" s="32">
        <f>IF('Daily Data'!E443="","",'Daily Data'!E443)</f>
        <v/>
      </c>
      <c r="F443" s="32">
        <f>IF($E443="","",'Daily Data'!F443)</f>
        <v/>
      </c>
      <c r="G443" s="32">
        <f>IF($E443="","",'Daily Data'!G443)</f>
        <v/>
      </c>
      <c r="H443" s="31">
        <f>IF($E443="","",F443-G443)</f>
        <v/>
      </c>
      <c r="I443" s="32">
        <f>IF($E443="","",'Daily Data'!H443)</f>
        <v/>
      </c>
      <c r="J443" s="31">
        <f>IF($E443="","",E443-H443-I443)</f>
        <v/>
      </c>
      <c r="K443" s="33">
        <f>IF($E443="","",IF(A443&lt;HLP_ChangeDate,HLP_Legacy,HLP_Current))</f>
        <v/>
      </c>
      <c r="L443" s="31">
        <f>IF($E443="","",J443/(1-K443))</f>
        <v/>
      </c>
      <c r="M443" s="31">
        <f>IF($E443="","",I443/(1-K443))</f>
        <v/>
      </c>
      <c r="N443" s="31">
        <f>IF($E443="","",(B443+C443+D443)*Rate_Builder)</f>
        <v/>
      </c>
      <c r="O443" s="31">
        <f>IF($E443="","",E443*K443/(1-K443))</f>
        <v/>
      </c>
      <c r="P443" s="34">
        <f>IF(OR($E443="",B443=0),"",L443/B443*10000)</f>
        <v/>
      </c>
      <c r="Q443" s="34">
        <f>IF(OR($E443="",C443=0),"",F443/C443*10000)</f>
        <v/>
      </c>
      <c r="R443" s="34">
        <f>IF(OR($E443="",D443=0),"",'Daily Data'!I443/D443*10000)</f>
        <v/>
      </c>
    </row>
    <row r="444">
      <c r="A444" s="30" t="n">
        <v>46098</v>
      </c>
      <c r="B444" s="31">
        <f>'Daily Data'!B444-'Daily Data'!D444</f>
        <v/>
      </c>
      <c r="C444" s="32">
        <f>'Daily Data'!D444</f>
        <v/>
      </c>
      <c r="D444" s="32">
        <f>'Daily Data'!C444</f>
        <v/>
      </c>
      <c r="E444" s="32">
        <f>IF('Daily Data'!E444="","",'Daily Data'!E444)</f>
        <v/>
      </c>
      <c r="F444" s="32">
        <f>IF($E444="","",'Daily Data'!F444)</f>
        <v/>
      </c>
      <c r="G444" s="32">
        <f>IF($E444="","",'Daily Data'!G444)</f>
        <v/>
      </c>
      <c r="H444" s="31">
        <f>IF($E444="","",F444-G444)</f>
        <v/>
      </c>
      <c r="I444" s="32">
        <f>IF($E444="","",'Daily Data'!H444)</f>
        <v/>
      </c>
      <c r="J444" s="31">
        <f>IF($E444="","",E444-H444-I444)</f>
        <v/>
      </c>
      <c r="K444" s="33">
        <f>IF($E444="","",IF(A444&lt;HLP_ChangeDate,HLP_Legacy,HLP_Current))</f>
        <v/>
      </c>
      <c r="L444" s="31">
        <f>IF($E444="","",J444/(1-K444))</f>
        <v/>
      </c>
      <c r="M444" s="31">
        <f>IF($E444="","",I444/(1-K444))</f>
        <v/>
      </c>
      <c r="N444" s="31">
        <f>IF($E444="","",(B444+C444+D444)*Rate_Builder)</f>
        <v/>
      </c>
      <c r="O444" s="31">
        <f>IF($E444="","",E444*K444/(1-K444))</f>
        <v/>
      </c>
      <c r="P444" s="34">
        <f>IF(OR($E444="",B444=0),"",L444/B444*10000)</f>
        <v/>
      </c>
      <c r="Q444" s="34">
        <f>IF(OR($E444="",C444=0),"",F444/C444*10000)</f>
        <v/>
      </c>
      <c r="R444" s="34">
        <f>IF(OR($E444="",D444=0),"",'Daily Data'!I444/D444*10000)</f>
        <v/>
      </c>
    </row>
    <row r="445">
      <c r="A445" s="30" t="n">
        <v>46099</v>
      </c>
      <c r="B445" s="31">
        <f>'Daily Data'!B445-'Daily Data'!D445</f>
        <v/>
      </c>
      <c r="C445" s="32">
        <f>'Daily Data'!D445</f>
        <v/>
      </c>
      <c r="D445" s="32">
        <f>'Daily Data'!C445</f>
        <v/>
      </c>
      <c r="E445" s="32">
        <f>IF('Daily Data'!E445="","",'Daily Data'!E445)</f>
        <v/>
      </c>
      <c r="F445" s="32">
        <f>IF($E445="","",'Daily Data'!F445)</f>
        <v/>
      </c>
      <c r="G445" s="32">
        <f>IF($E445="","",'Daily Data'!G445)</f>
        <v/>
      </c>
      <c r="H445" s="31">
        <f>IF($E445="","",F445-G445)</f>
        <v/>
      </c>
      <c r="I445" s="32">
        <f>IF($E445="","",'Daily Data'!H445)</f>
        <v/>
      </c>
      <c r="J445" s="31">
        <f>IF($E445="","",E445-H445-I445)</f>
        <v/>
      </c>
      <c r="K445" s="33">
        <f>IF($E445="","",IF(A445&lt;HLP_ChangeDate,HLP_Legacy,HLP_Current))</f>
        <v/>
      </c>
      <c r="L445" s="31">
        <f>IF($E445="","",J445/(1-K445))</f>
        <v/>
      </c>
      <c r="M445" s="31">
        <f>IF($E445="","",I445/(1-K445))</f>
        <v/>
      </c>
      <c r="N445" s="31">
        <f>IF($E445="","",(B445+C445+D445)*Rate_Builder)</f>
        <v/>
      </c>
      <c r="O445" s="31">
        <f>IF($E445="","",E445*K445/(1-K445))</f>
        <v/>
      </c>
      <c r="P445" s="34">
        <f>IF(OR($E445="",B445=0),"",L445/B445*10000)</f>
        <v/>
      </c>
      <c r="Q445" s="34">
        <f>IF(OR($E445="",C445=0),"",F445/C445*10000)</f>
        <v/>
      </c>
      <c r="R445" s="34">
        <f>IF(OR($E445="",D445=0),"",'Daily Data'!I445/D445*10000)</f>
        <v/>
      </c>
    </row>
    <row r="446">
      <c r="A446" s="30" t="n">
        <v>46100</v>
      </c>
      <c r="B446" s="31">
        <f>'Daily Data'!B446-'Daily Data'!D446</f>
        <v/>
      </c>
      <c r="C446" s="32">
        <f>'Daily Data'!D446</f>
        <v/>
      </c>
      <c r="D446" s="32">
        <f>'Daily Data'!C446</f>
        <v/>
      </c>
      <c r="E446" s="32">
        <f>IF('Daily Data'!E446="","",'Daily Data'!E446)</f>
        <v/>
      </c>
      <c r="F446" s="32">
        <f>IF($E446="","",'Daily Data'!F446)</f>
        <v/>
      </c>
      <c r="G446" s="32">
        <f>IF($E446="","",'Daily Data'!G446)</f>
        <v/>
      </c>
      <c r="H446" s="31">
        <f>IF($E446="","",F446-G446)</f>
        <v/>
      </c>
      <c r="I446" s="32">
        <f>IF($E446="","",'Daily Data'!H446)</f>
        <v/>
      </c>
      <c r="J446" s="31">
        <f>IF($E446="","",E446-H446-I446)</f>
        <v/>
      </c>
      <c r="K446" s="33">
        <f>IF($E446="","",IF(A446&lt;HLP_ChangeDate,HLP_Legacy,HLP_Current))</f>
        <v/>
      </c>
      <c r="L446" s="31">
        <f>IF($E446="","",J446/(1-K446))</f>
        <v/>
      </c>
      <c r="M446" s="31">
        <f>IF($E446="","",I446/(1-K446))</f>
        <v/>
      </c>
      <c r="N446" s="31">
        <f>IF($E446="","",(B446+C446+D446)*Rate_Builder)</f>
        <v/>
      </c>
      <c r="O446" s="31">
        <f>IF($E446="","",E446*K446/(1-K446))</f>
        <v/>
      </c>
      <c r="P446" s="34">
        <f>IF(OR($E446="",B446=0),"",L446/B446*10000)</f>
        <v/>
      </c>
      <c r="Q446" s="34">
        <f>IF(OR($E446="",C446=0),"",F446/C446*10000)</f>
        <v/>
      </c>
      <c r="R446" s="34">
        <f>IF(OR($E446="",D446=0),"",'Daily Data'!I446/D446*10000)</f>
        <v/>
      </c>
    </row>
    <row r="447">
      <c r="A447" s="30" t="n">
        <v>46101</v>
      </c>
      <c r="B447" s="31">
        <f>'Daily Data'!B447-'Daily Data'!D447</f>
        <v/>
      </c>
      <c r="C447" s="32">
        <f>'Daily Data'!D447</f>
        <v/>
      </c>
      <c r="D447" s="32">
        <f>'Daily Data'!C447</f>
        <v/>
      </c>
      <c r="E447" s="32">
        <f>IF('Daily Data'!E447="","",'Daily Data'!E447)</f>
        <v/>
      </c>
      <c r="F447" s="32">
        <f>IF($E447="","",'Daily Data'!F447)</f>
        <v/>
      </c>
      <c r="G447" s="32">
        <f>IF($E447="","",'Daily Data'!G447)</f>
        <v/>
      </c>
      <c r="H447" s="31">
        <f>IF($E447="","",F447-G447)</f>
        <v/>
      </c>
      <c r="I447" s="32">
        <f>IF($E447="","",'Daily Data'!H447)</f>
        <v/>
      </c>
      <c r="J447" s="31">
        <f>IF($E447="","",E447-H447-I447)</f>
        <v/>
      </c>
      <c r="K447" s="33">
        <f>IF($E447="","",IF(A447&lt;HLP_ChangeDate,HLP_Legacy,HLP_Current))</f>
        <v/>
      </c>
      <c r="L447" s="31">
        <f>IF($E447="","",J447/(1-K447))</f>
        <v/>
      </c>
      <c r="M447" s="31">
        <f>IF($E447="","",I447/(1-K447))</f>
        <v/>
      </c>
      <c r="N447" s="31">
        <f>IF($E447="","",(B447+C447+D447)*Rate_Builder)</f>
        <v/>
      </c>
      <c r="O447" s="31">
        <f>IF($E447="","",E447*K447/(1-K447))</f>
        <v/>
      </c>
      <c r="P447" s="34">
        <f>IF(OR($E447="",B447=0),"",L447/B447*10000)</f>
        <v/>
      </c>
      <c r="Q447" s="34">
        <f>IF(OR($E447="",C447=0),"",F447/C447*10000)</f>
        <v/>
      </c>
      <c r="R447" s="34">
        <f>IF(OR($E447="",D447=0),"",'Daily Data'!I447/D447*10000)</f>
        <v/>
      </c>
    </row>
    <row r="448">
      <c r="A448" s="30" t="n">
        <v>46102</v>
      </c>
      <c r="B448" s="31">
        <f>'Daily Data'!B448-'Daily Data'!D448</f>
        <v/>
      </c>
      <c r="C448" s="32">
        <f>'Daily Data'!D448</f>
        <v/>
      </c>
      <c r="D448" s="32">
        <f>'Daily Data'!C448</f>
        <v/>
      </c>
      <c r="E448" s="32">
        <f>IF('Daily Data'!E448="","",'Daily Data'!E448)</f>
        <v/>
      </c>
      <c r="F448" s="32">
        <f>IF($E448="","",'Daily Data'!F448)</f>
        <v/>
      </c>
      <c r="G448" s="32">
        <f>IF($E448="","",'Daily Data'!G448)</f>
        <v/>
      </c>
      <c r="H448" s="31">
        <f>IF($E448="","",F448-G448)</f>
        <v/>
      </c>
      <c r="I448" s="32">
        <f>IF($E448="","",'Daily Data'!H448)</f>
        <v/>
      </c>
      <c r="J448" s="31">
        <f>IF($E448="","",E448-H448-I448)</f>
        <v/>
      </c>
      <c r="K448" s="33">
        <f>IF($E448="","",IF(A448&lt;HLP_ChangeDate,HLP_Legacy,HLP_Current))</f>
        <v/>
      </c>
      <c r="L448" s="31">
        <f>IF($E448="","",J448/(1-K448))</f>
        <v/>
      </c>
      <c r="M448" s="31">
        <f>IF($E448="","",I448/(1-K448))</f>
        <v/>
      </c>
      <c r="N448" s="31">
        <f>IF($E448="","",(B448+C448+D448)*Rate_Builder)</f>
        <v/>
      </c>
      <c r="O448" s="31">
        <f>IF($E448="","",E448*K448/(1-K448))</f>
        <v/>
      </c>
      <c r="P448" s="34">
        <f>IF(OR($E448="",B448=0),"",L448/B448*10000)</f>
        <v/>
      </c>
      <c r="Q448" s="34">
        <f>IF(OR($E448="",C448=0),"",F448/C448*10000)</f>
        <v/>
      </c>
      <c r="R448" s="34">
        <f>IF(OR($E448="",D448=0),"",'Daily Data'!I448/D448*10000)</f>
        <v/>
      </c>
    </row>
    <row r="449">
      <c r="A449" s="30" t="n">
        <v>46103</v>
      </c>
      <c r="B449" s="31">
        <f>'Daily Data'!B449-'Daily Data'!D449</f>
        <v/>
      </c>
      <c r="C449" s="32">
        <f>'Daily Data'!D449</f>
        <v/>
      </c>
      <c r="D449" s="32">
        <f>'Daily Data'!C449</f>
        <v/>
      </c>
      <c r="E449" s="32">
        <f>IF('Daily Data'!E449="","",'Daily Data'!E449)</f>
        <v/>
      </c>
      <c r="F449" s="32">
        <f>IF($E449="","",'Daily Data'!F449)</f>
        <v/>
      </c>
      <c r="G449" s="32">
        <f>IF($E449="","",'Daily Data'!G449)</f>
        <v/>
      </c>
      <c r="H449" s="31">
        <f>IF($E449="","",F449-G449)</f>
        <v/>
      </c>
      <c r="I449" s="32">
        <f>IF($E449="","",'Daily Data'!H449)</f>
        <v/>
      </c>
      <c r="J449" s="31">
        <f>IF($E449="","",E449-H449-I449)</f>
        <v/>
      </c>
      <c r="K449" s="33">
        <f>IF($E449="","",IF(A449&lt;HLP_ChangeDate,HLP_Legacy,HLP_Current))</f>
        <v/>
      </c>
      <c r="L449" s="31">
        <f>IF($E449="","",J449/(1-K449))</f>
        <v/>
      </c>
      <c r="M449" s="31">
        <f>IF($E449="","",I449/(1-K449))</f>
        <v/>
      </c>
      <c r="N449" s="31">
        <f>IF($E449="","",(B449+C449+D449)*Rate_Builder)</f>
        <v/>
      </c>
      <c r="O449" s="31">
        <f>IF($E449="","",E449*K449/(1-K449))</f>
        <v/>
      </c>
      <c r="P449" s="34">
        <f>IF(OR($E449="",B449=0),"",L449/B449*10000)</f>
        <v/>
      </c>
      <c r="Q449" s="34">
        <f>IF(OR($E449="",C449=0),"",F449/C449*10000)</f>
        <v/>
      </c>
      <c r="R449" s="34">
        <f>IF(OR($E449="",D449=0),"",'Daily Data'!I449/D449*10000)</f>
        <v/>
      </c>
    </row>
    <row r="450">
      <c r="A450" s="30" t="n">
        <v>46104</v>
      </c>
      <c r="B450" s="31">
        <f>'Daily Data'!B450-'Daily Data'!D450</f>
        <v/>
      </c>
      <c r="C450" s="32">
        <f>'Daily Data'!D450</f>
        <v/>
      </c>
      <c r="D450" s="32">
        <f>'Daily Data'!C450</f>
        <v/>
      </c>
      <c r="E450" s="32">
        <f>IF('Daily Data'!E450="","",'Daily Data'!E450)</f>
        <v/>
      </c>
      <c r="F450" s="32">
        <f>IF($E450="","",'Daily Data'!F450)</f>
        <v/>
      </c>
      <c r="G450" s="32">
        <f>IF($E450="","",'Daily Data'!G450)</f>
        <v/>
      </c>
      <c r="H450" s="31">
        <f>IF($E450="","",F450-G450)</f>
        <v/>
      </c>
      <c r="I450" s="32">
        <f>IF($E450="","",'Daily Data'!H450)</f>
        <v/>
      </c>
      <c r="J450" s="31">
        <f>IF($E450="","",E450-H450-I450)</f>
        <v/>
      </c>
      <c r="K450" s="33">
        <f>IF($E450="","",IF(A450&lt;HLP_ChangeDate,HLP_Legacy,HLP_Current))</f>
        <v/>
      </c>
      <c r="L450" s="31">
        <f>IF($E450="","",J450/(1-K450))</f>
        <v/>
      </c>
      <c r="M450" s="31">
        <f>IF($E450="","",I450/(1-K450))</f>
        <v/>
      </c>
      <c r="N450" s="31">
        <f>IF($E450="","",(B450+C450+D450)*Rate_Builder)</f>
        <v/>
      </c>
      <c r="O450" s="31">
        <f>IF($E450="","",E450*K450/(1-K450))</f>
        <v/>
      </c>
      <c r="P450" s="34">
        <f>IF(OR($E450="",B450=0),"",L450/B450*10000)</f>
        <v/>
      </c>
      <c r="Q450" s="34">
        <f>IF(OR($E450="",C450=0),"",F450/C450*10000)</f>
        <v/>
      </c>
      <c r="R450" s="34">
        <f>IF(OR($E450="",D450=0),"",'Daily Data'!I450/D450*10000)</f>
        <v/>
      </c>
    </row>
    <row r="451">
      <c r="A451" s="30" t="n">
        <v>46105</v>
      </c>
      <c r="B451" s="31">
        <f>'Daily Data'!B451-'Daily Data'!D451</f>
        <v/>
      </c>
      <c r="C451" s="32">
        <f>'Daily Data'!D451</f>
        <v/>
      </c>
      <c r="D451" s="32">
        <f>'Daily Data'!C451</f>
        <v/>
      </c>
      <c r="E451" s="32">
        <f>IF('Daily Data'!E451="","",'Daily Data'!E451)</f>
        <v/>
      </c>
      <c r="F451" s="32">
        <f>IF($E451="","",'Daily Data'!F451)</f>
        <v/>
      </c>
      <c r="G451" s="32">
        <f>IF($E451="","",'Daily Data'!G451)</f>
        <v/>
      </c>
      <c r="H451" s="31">
        <f>IF($E451="","",F451-G451)</f>
        <v/>
      </c>
      <c r="I451" s="32">
        <f>IF($E451="","",'Daily Data'!H451)</f>
        <v/>
      </c>
      <c r="J451" s="31">
        <f>IF($E451="","",E451-H451-I451)</f>
        <v/>
      </c>
      <c r="K451" s="33">
        <f>IF($E451="","",IF(A451&lt;HLP_ChangeDate,HLP_Legacy,HLP_Current))</f>
        <v/>
      </c>
      <c r="L451" s="31">
        <f>IF($E451="","",J451/(1-K451))</f>
        <v/>
      </c>
      <c r="M451" s="31">
        <f>IF($E451="","",I451/(1-K451))</f>
        <v/>
      </c>
      <c r="N451" s="31">
        <f>IF($E451="","",(B451+C451+D451)*Rate_Builder)</f>
        <v/>
      </c>
      <c r="O451" s="31">
        <f>IF($E451="","",E451*K451/(1-K451))</f>
        <v/>
      </c>
      <c r="P451" s="34">
        <f>IF(OR($E451="",B451=0),"",L451/B451*10000)</f>
        <v/>
      </c>
      <c r="Q451" s="34">
        <f>IF(OR($E451="",C451=0),"",F451/C451*10000)</f>
        <v/>
      </c>
      <c r="R451" s="34">
        <f>IF(OR($E451="",D451=0),"",'Daily Data'!I451/D451*10000)</f>
        <v/>
      </c>
    </row>
    <row r="452">
      <c r="A452" s="30" t="n">
        <v>46106</v>
      </c>
      <c r="B452" s="31">
        <f>'Daily Data'!B452-'Daily Data'!D452</f>
        <v/>
      </c>
      <c r="C452" s="32">
        <f>'Daily Data'!D452</f>
        <v/>
      </c>
      <c r="D452" s="32">
        <f>'Daily Data'!C452</f>
        <v/>
      </c>
      <c r="E452" s="32">
        <f>IF('Daily Data'!E452="","",'Daily Data'!E452)</f>
        <v/>
      </c>
      <c r="F452" s="32">
        <f>IF($E452="","",'Daily Data'!F452)</f>
        <v/>
      </c>
      <c r="G452" s="32">
        <f>IF($E452="","",'Daily Data'!G452)</f>
        <v/>
      </c>
      <c r="H452" s="31">
        <f>IF($E452="","",F452-G452)</f>
        <v/>
      </c>
      <c r="I452" s="32">
        <f>IF($E452="","",'Daily Data'!H452)</f>
        <v/>
      </c>
      <c r="J452" s="31">
        <f>IF($E452="","",E452-H452-I452)</f>
        <v/>
      </c>
      <c r="K452" s="33">
        <f>IF($E452="","",IF(A452&lt;HLP_ChangeDate,HLP_Legacy,HLP_Current))</f>
        <v/>
      </c>
      <c r="L452" s="31">
        <f>IF($E452="","",J452/(1-K452))</f>
        <v/>
      </c>
      <c r="M452" s="31">
        <f>IF($E452="","",I452/(1-K452))</f>
        <v/>
      </c>
      <c r="N452" s="31">
        <f>IF($E452="","",(B452+C452+D452)*Rate_Builder)</f>
        <v/>
      </c>
      <c r="O452" s="31">
        <f>IF($E452="","",E452*K452/(1-K452))</f>
        <v/>
      </c>
      <c r="P452" s="34">
        <f>IF(OR($E452="",B452=0),"",L452/B452*10000)</f>
        <v/>
      </c>
      <c r="Q452" s="34">
        <f>IF(OR($E452="",C452=0),"",F452/C452*10000)</f>
        <v/>
      </c>
      <c r="R452" s="34">
        <f>IF(OR($E452="",D452=0),"",'Daily Data'!I452/D452*10000)</f>
        <v/>
      </c>
    </row>
    <row r="453">
      <c r="A453" s="30" t="n">
        <v>46107</v>
      </c>
      <c r="B453" s="31">
        <f>'Daily Data'!B453-'Daily Data'!D453</f>
        <v/>
      </c>
      <c r="C453" s="32">
        <f>'Daily Data'!D453</f>
        <v/>
      </c>
      <c r="D453" s="32">
        <f>'Daily Data'!C453</f>
        <v/>
      </c>
      <c r="E453" s="32">
        <f>IF('Daily Data'!E453="","",'Daily Data'!E453)</f>
        <v/>
      </c>
      <c r="F453" s="32">
        <f>IF($E453="","",'Daily Data'!F453)</f>
        <v/>
      </c>
      <c r="G453" s="32">
        <f>IF($E453="","",'Daily Data'!G453)</f>
        <v/>
      </c>
      <c r="H453" s="31">
        <f>IF($E453="","",F453-G453)</f>
        <v/>
      </c>
      <c r="I453" s="32">
        <f>IF($E453="","",'Daily Data'!H453)</f>
        <v/>
      </c>
      <c r="J453" s="31">
        <f>IF($E453="","",E453-H453-I453)</f>
        <v/>
      </c>
      <c r="K453" s="33">
        <f>IF($E453="","",IF(A453&lt;HLP_ChangeDate,HLP_Legacy,HLP_Current))</f>
        <v/>
      </c>
      <c r="L453" s="31">
        <f>IF($E453="","",J453/(1-K453))</f>
        <v/>
      </c>
      <c r="M453" s="31">
        <f>IF($E453="","",I453/(1-K453))</f>
        <v/>
      </c>
      <c r="N453" s="31">
        <f>IF($E453="","",(B453+C453+D453)*Rate_Builder)</f>
        <v/>
      </c>
      <c r="O453" s="31">
        <f>IF($E453="","",E453*K453/(1-K453))</f>
        <v/>
      </c>
      <c r="P453" s="34">
        <f>IF(OR($E453="",B453=0),"",L453/B453*10000)</f>
        <v/>
      </c>
      <c r="Q453" s="34">
        <f>IF(OR($E453="",C453=0),"",F453/C453*10000)</f>
        <v/>
      </c>
      <c r="R453" s="34">
        <f>IF(OR($E453="",D453=0),"",'Daily Data'!I453/D453*10000)</f>
        <v/>
      </c>
    </row>
    <row r="454">
      <c r="A454" s="30" t="n">
        <v>46108</v>
      </c>
      <c r="B454" s="31">
        <f>'Daily Data'!B454-'Daily Data'!D454</f>
        <v/>
      </c>
      <c r="C454" s="32">
        <f>'Daily Data'!D454</f>
        <v/>
      </c>
      <c r="D454" s="32">
        <f>'Daily Data'!C454</f>
        <v/>
      </c>
      <c r="E454" s="32">
        <f>IF('Daily Data'!E454="","",'Daily Data'!E454)</f>
        <v/>
      </c>
      <c r="F454" s="32">
        <f>IF($E454="","",'Daily Data'!F454)</f>
        <v/>
      </c>
      <c r="G454" s="32">
        <f>IF($E454="","",'Daily Data'!G454)</f>
        <v/>
      </c>
      <c r="H454" s="31">
        <f>IF($E454="","",F454-G454)</f>
        <v/>
      </c>
      <c r="I454" s="32">
        <f>IF($E454="","",'Daily Data'!H454)</f>
        <v/>
      </c>
      <c r="J454" s="31">
        <f>IF($E454="","",E454-H454-I454)</f>
        <v/>
      </c>
      <c r="K454" s="33">
        <f>IF($E454="","",IF(A454&lt;HLP_ChangeDate,HLP_Legacy,HLP_Current))</f>
        <v/>
      </c>
      <c r="L454" s="31">
        <f>IF($E454="","",J454/(1-K454))</f>
        <v/>
      </c>
      <c r="M454" s="31">
        <f>IF($E454="","",I454/(1-K454))</f>
        <v/>
      </c>
      <c r="N454" s="31">
        <f>IF($E454="","",(B454+C454+D454)*Rate_Builder)</f>
        <v/>
      </c>
      <c r="O454" s="31">
        <f>IF($E454="","",E454*K454/(1-K454))</f>
        <v/>
      </c>
      <c r="P454" s="34">
        <f>IF(OR($E454="",B454=0),"",L454/B454*10000)</f>
        <v/>
      </c>
      <c r="Q454" s="34">
        <f>IF(OR($E454="",C454=0),"",F454/C454*10000)</f>
        <v/>
      </c>
      <c r="R454" s="34">
        <f>IF(OR($E454="",D454=0),"",'Daily Data'!I454/D454*10000)</f>
        <v/>
      </c>
    </row>
    <row r="455">
      <c r="A455" s="30" t="n">
        <v>46109</v>
      </c>
      <c r="B455" s="31">
        <f>'Daily Data'!B455-'Daily Data'!D455</f>
        <v/>
      </c>
      <c r="C455" s="32">
        <f>'Daily Data'!D455</f>
        <v/>
      </c>
      <c r="D455" s="32">
        <f>'Daily Data'!C455</f>
        <v/>
      </c>
      <c r="E455" s="32">
        <f>IF('Daily Data'!E455="","",'Daily Data'!E455)</f>
        <v/>
      </c>
      <c r="F455" s="32">
        <f>IF($E455="","",'Daily Data'!F455)</f>
        <v/>
      </c>
      <c r="G455" s="32">
        <f>IF($E455="","",'Daily Data'!G455)</f>
        <v/>
      </c>
      <c r="H455" s="31">
        <f>IF($E455="","",F455-G455)</f>
        <v/>
      </c>
      <c r="I455" s="32">
        <f>IF($E455="","",'Daily Data'!H455)</f>
        <v/>
      </c>
      <c r="J455" s="31">
        <f>IF($E455="","",E455-H455-I455)</f>
        <v/>
      </c>
      <c r="K455" s="33">
        <f>IF($E455="","",IF(A455&lt;HLP_ChangeDate,HLP_Legacy,HLP_Current))</f>
        <v/>
      </c>
      <c r="L455" s="31">
        <f>IF($E455="","",J455/(1-K455))</f>
        <v/>
      </c>
      <c r="M455" s="31">
        <f>IF($E455="","",I455/(1-K455))</f>
        <v/>
      </c>
      <c r="N455" s="31">
        <f>IF($E455="","",(B455+C455+D455)*Rate_Builder)</f>
        <v/>
      </c>
      <c r="O455" s="31">
        <f>IF($E455="","",E455*K455/(1-K455))</f>
        <v/>
      </c>
      <c r="P455" s="34">
        <f>IF(OR($E455="",B455=0),"",L455/B455*10000)</f>
        <v/>
      </c>
      <c r="Q455" s="34">
        <f>IF(OR($E455="",C455=0),"",F455/C455*10000)</f>
        <v/>
      </c>
      <c r="R455" s="34">
        <f>IF(OR($E455="",D455=0),"",'Daily Data'!I455/D455*10000)</f>
        <v/>
      </c>
    </row>
    <row r="456">
      <c r="A456" s="30" t="n">
        <v>46110</v>
      </c>
      <c r="B456" s="31">
        <f>'Daily Data'!B456-'Daily Data'!D456</f>
        <v/>
      </c>
      <c r="C456" s="32">
        <f>'Daily Data'!D456</f>
        <v/>
      </c>
      <c r="D456" s="32">
        <f>'Daily Data'!C456</f>
        <v/>
      </c>
      <c r="E456" s="32">
        <f>IF('Daily Data'!E456="","",'Daily Data'!E456)</f>
        <v/>
      </c>
      <c r="F456" s="32">
        <f>IF($E456="","",'Daily Data'!F456)</f>
        <v/>
      </c>
      <c r="G456" s="32">
        <f>IF($E456="","",'Daily Data'!G456)</f>
        <v/>
      </c>
      <c r="H456" s="31">
        <f>IF($E456="","",F456-G456)</f>
        <v/>
      </c>
      <c r="I456" s="32">
        <f>IF($E456="","",'Daily Data'!H456)</f>
        <v/>
      </c>
      <c r="J456" s="31">
        <f>IF($E456="","",E456-H456-I456)</f>
        <v/>
      </c>
      <c r="K456" s="33">
        <f>IF($E456="","",IF(A456&lt;HLP_ChangeDate,HLP_Legacy,HLP_Current))</f>
        <v/>
      </c>
      <c r="L456" s="31">
        <f>IF($E456="","",J456/(1-K456))</f>
        <v/>
      </c>
      <c r="M456" s="31">
        <f>IF($E456="","",I456/(1-K456))</f>
        <v/>
      </c>
      <c r="N456" s="31">
        <f>IF($E456="","",(B456+C456+D456)*Rate_Builder)</f>
        <v/>
      </c>
      <c r="O456" s="31">
        <f>IF($E456="","",E456*K456/(1-K456))</f>
        <v/>
      </c>
      <c r="P456" s="34">
        <f>IF(OR($E456="",B456=0),"",L456/B456*10000)</f>
        <v/>
      </c>
      <c r="Q456" s="34">
        <f>IF(OR($E456="",C456=0),"",F456/C456*10000)</f>
        <v/>
      </c>
      <c r="R456" s="34">
        <f>IF(OR($E456="",D456=0),"",'Daily Data'!I456/D456*10000)</f>
        <v/>
      </c>
    </row>
    <row r="457">
      <c r="A457" s="30" t="n">
        <v>46111</v>
      </c>
      <c r="B457" s="31">
        <f>'Daily Data'!B457-'Daily Data'!D457</f>
        <v/>
      </c>
      <c r="C457" s="32">
        <f>'Daily Data'!D457</f>
        <v/>
      </c>
      <c r="D457" s="32">
        <f>'Daily Data'!C457</f>
        <v/>
      </c>
      <c r="E457" s="32">
        <f>IF('Daily Data'!E457="","",'Daily Data'!E457)</f>
        <v/>
      </c>
      <c r="F457" s="32">
        <f>IF($E457="","",'Daily Data'!F457)</f>
        <v/>
      </c>
      <c r="G457" s="32">
        <f>IF($E457="","",'Daily Data'!G457)</f>
        <v/>
      </c>
      <c r="H457" s="31">
        <f>IF($E457="","",F457-G457)</f>
        <v/>
      </c>
      <c r="I457" s="32">
        <f>IF($E457="","",'Daily Data'!H457)</f>
        <v/>
      </c>
      <c r="J457" s="31">
        <f>IF($E457="","",E457-H457-I457)</f>
        <v/>
      </c>
      <c r="K457" s="33">
        <f>IF($E457="","",IF(A457&lt;HLP_ChangeDate,HLP_Legacy,HLP_Current))</f>
        <v/>
      </c>
      <c r="L457" s="31">
        <f>IF($E457="","",J457/(1-K457))</f>
        <v/>
      </c>
      <c r="M457" s="31">
        <f>IF($E457="","",I457/(1-K457))</f>
        <v/>
      </c>
      <c r="N457" s="31">
        <f>IF($E457="","",(B457+C457+D457)*Rate_Builder)</f>
        <v/>
      </c>
      <c r="O457" s="31">
        <f>IF($E457="","",E457*K457/(1-K457))</f>
        <v/>
      </c>
      <c r="P457" s="34">
        <f>IF(OR($E457="",B457=0),"",L457/B457*10000)</f>
        <v/>
      </c>
      <c r="Q457" s="34">
        <f>IF(OR($E457="",C457=0),"",F457/C457*10000)</f>
        <v/>
      </c>
      <c r="R457" s="34">
        <f>IF(OR($E457="",D457=0),"",'Daily Data'!I457/D457*10000)</f>
        <v/>
      </c>
    </row>
    <row r="458">
      <c r="A458" s="30" t="n">
        <v>46112</v>
      </c>
      <c r="B458" s="31">
        <f>'Daily Data'!B458-'Daily Data'!D458</f>
        <v/>
      </c>
      <c r="C458" s="32">
        <f>'Daily Data'!D458</f>
        <v/>
      </c>
      <c r="D458" s="32">
        <f>'Daily Data'!C458</f>
        <v/>
      </c>
      <c r="E458" s="32">
        <f>IF('Daily Data'!E458="","",'Daily Data'!E458)</f>
        <v/>
      </c>
      <c r="F458" s="32">
        <f>IF($E458="","",'Daily Data'!F458)</f>
        <v/>
      </c>
      <c r="G458" s="32">
        <f>IF($E458="","",'Daily Data'!G458)</f>
        <v/>
      </c>
      <c r="H458" s="31">
        <f>IF($E458="","",F458-G458)</f>
        <v/>
      </c>
      <c r="I458" s="32">
        <f>IF($E458="","",'Daily Data'!H458)</f>
        <v/>
      </c>
      <c r="J458" s="31">
        <f>IF($E458="","",E458-H458-I458)</f>
        <v/>
      </c>
      <c r="K458" s="33">
        <f>IF($E458="","",IF(A458&lt;HLP_ChangeDate,HLP_Legacy,HLP_Current))</f>
        <v/>
      </c>
      <c r="L458" s="31">
        <f>IF($E458="","",J458/(1-K458))</f>
        <v/>
      </c>
      <c r="M458" s="31">
        <f>IF($E458="","",I458/(1-K458))</f>
        <v/>
      </c>
      <c r="N458" s="31">
        <f>IF($E458="","",(B458+C458+D458)*Rate_Builder)</f>
        <v/>
      </c>
      <c r="O458" s="31">
        <f>IF($E458="","",E458*K458/(1-K458))</f>
        <v/>
      </c>
      <c r="P458" s="34">
        <f>IF(OR($E458="",B458=0),"",L458/B458*10000)</f>
        <v/>
      </c>
      <c r="Q458" s="34">
        <f>IF(OR($E458="",C458=0),"",F458/C458*10000)</f>
        <v/>
      </c>
      <c r="R458" s="34">
        <f>IF(OR($E458="",D458=0),"",'Daily Data'!I458/D458*10000)</f>
        <v/>
      </c>
    </row>
    <row r="459">
      <c r="A459" s="30" t="n">
        <v>46113</v>
      </c>
      <c r="B459" s="31">
        <f>'Daily Data'!B459-'Daily Data'!D459</f>
        <v/>
      </c>
      <c r="C459" s="32">
        <f>'Daily Data'!D459</f>
        <v/>
      </c>
      <c r="D459" s="32">
        <f>'Daily Data'!C459</f>
        <v/>
      </c>
      <c r="E459" s="32">
        <f>IF('Daily Data'!E459="","",'Daily Data'!E459)</f>
        <v/>
      </c>
      <c r="F459" s="32">
        <f>IF($E459="","",'Daily Data'!F459)</f>
        <v/>
      </c>
      <c r="G459" s="32">
        <f>IF($E459="","",'Daily Data'!G459)</f>
        <v/>
      </c>
      <c r="H459" s="31">
        <f>IF($E459="","",F459-G459)</f>
        <v/>
      </c>
      <c r="I459" s="32">
        <f>IF($E459="","",'Daily Data'!H459)</f>
        <v/>
      </c>
      <c r="J459" s="31">
        <f>IF($E459="","",E459-H459-I459)</f>
        <v/>
      </c>
      <c r="K459" s="33">
        <f>IF($E459="","",IF(A459&lt;HLP_ChangeDate,HLP_Legacy,HLP_Current))</f>
        <v/>
      </c>
      <c r="L459" s="31">
        <f>IF($E459="","",J459/(1-K459))</f>
        <v/>
      </c>
      <c r="M459" s="31">
        <f>IF($E459="","",I459/(1-K459))</f>
        <v/>
      </c>
      <c r="N459" s="31">
        <f>IF($E459="","",(B459+C459+D459)*Rate_Builder)</f>
        <v/>
      </c>
      <c r="O459" s="31">
        <f>IF($E459="","",E459*K459/(1-K459))</f>
        <v/>
      </c>
      <c r="P459" s="34">
        <f>IF(OR($E459="",B459=0),"",L459/B459*10000)</f>
        <v/>
      </c>
      <c r="Q459" s="34">
        <f>IF(OR($E459="",C459=0),"",F459/C459*10000)</f>
        <v/>
      </c>
      <c r="R459" s="34">
        <f>IF(OR($E459="",D459=0),"",'Daily Data'!I459/D459*10000)</f>
        <v/>
      </c>
    </row>
    <row r="460">
      <c r="A460" s="30" t="n">
        <v>46114</v>
      </c>
      <c r="B460" s="31">
        <f>'Daily Data'!B460-'Daily Data'!D460</f>
        <v/>
      </c>
      <c r="C460" s="32">
        <f>'Daily Data'!D460</f>
        <v/>
      </c>
      <c r="D460" s="32">
        <f>'Daily Data'!C460</f>
        <v/>
      </c>
      <c r="E460" s="32">
        <f>IF('Daily Data'!E460="","",'Daily Data'!E460)</f>
        <v/>
      </c>
      <c r="F460" s="32">
        <f>IF($E460="","",'Daily Data'!F460)</f>
        <v/>
      </c>
      <c r="G460" s="32">
        <f>IF($E460="","",'Daily Data'!G460)</f>
        <v/>
      </c>
      <c r="H460" s="31">
        <f>IF($E460="","",F460-G460)</f>
        <v/>
      </c>
      <c r="I460" s="32">
        <f>IF($E460="","",'Daily Data'!H460)</f>
        <v/>
      </c>
      <c r="J460" s="31">
        <f>IF($E460="","",E460-H460-I460)</f>
        <v/>
      </c>
      <c r="K460" s="33">
        <f>IF($E460="","",IF(A460&lt;HLP_ChangeDate,HLP_Legacy,HLP_Current))</f>
        <v/>
      </c>
      <c r="L460" s="31">
        <f>IF($E460="","",J460/(1-K460))</f>
        <v/>
      </c>
      <c r="M460" s="31">
        <f>IF($E460="","",I460/(1-K460))</f>
        <v/>
      </c>
      <c r="N460" s="31">
        <f>IF($E460="","",(B460+C460+D460)*Rate_Builder)</f>
        <v/>
      </c>
      <c r="O460" s="31">
        <f>IF($E460="","",E460*K460/(1-K460))</f>
        <v/>
      </c>
      <c r="P460" s="34">
        <f>IF(OR($E460="",B460=0),"",L460/B460*10000)</f>
        <v/>
      </c>
      <c r="Q460" s="34">
        <f>IF(OR($E460="",C460=0),"",F460/C460*10000)</f>
        <v/>
      </c>
      <c r="R460" s="34">
        <f>IF(OR($E460="",D460=0),"",'Daily Data'!I460/D460*10000)</f>
        <v/>
      </c>
    </row>
    <row r="461">
      <c r="A461" s="30" t="n">
        <v>46115</v>
      </c>
      <c r="B461" s="31">
        <f>'Daily Data'!B461-'Daily Data'!D461</f>
        <v/>
      </c>
      <c r="C461" s="32">
        <f>'Daily Data'!D461</f>
        <v/>
      </c>
      <c r="D461" s="32">
        <f>'Daily Data'!C461</f>
        <v/>
      </c>
      <c r="E461" s="32">
        <f>IF('Daily Data'!E461="","",'Daily Data'!E461)</f>
        <v/>
      </c>
      <c r="F461" s="32">
        <f>IF($E461="","",'Daily Data'!F461)</f>
        <v/>
      </c>
      <c r="G461" s="32">
        <f>IF($E461="","",'Daily Data'!G461)</f>
        <v/>
      </c>
      <c r="H461" s="31">
        <f>IF($E461="","",F461-G461)</f>
        <v/>
      </c>
      <c r="I461" s="32">
        <f>IF($E461="","",'Daily Data'!H461)</f>
        <v/>
      </c>
      <c r="J461" s="31">
        <f>IF($E461="","",E461-H461-I461)</f>
        <v/>
      </c>
      <c r="K461" s="33">
        <f>IF($E461="","",IF(A461&lt;HLP_ChangeDate,HLP_Legacy,HLP_Current))</f>
        <v/>
      </c>
      <c r="L461" s="31">
        <f>IF($E461="","",J461/(1-K461))</f>
        <v/>
      </c>
      <c r="M461" s="31">
        <f>IF($E461="","",I461/(1-K461))</f>
        <v/>
      </c>
      <c r="N461" s="31">
        <f>IF($E461="","",(B461+C461+D461)*Rate_Builder)</f>
        <v/>
      </c>
      <c r="O461" s="31">
        <f>IF($E461="","",E461*K461/(1-K461))</f>
        <v/>
      </c>
      <c r="P461" s="34">
        <f>IF(OR($E461="",B461=0),"",L461/B461*10000)</f>
        <v/>
      </c>
      <c r="Q461" s="34">
        <f>IF(OR($E461="",C461=0),"",F461/C461*10000)</f>
        <v/>
      </c>
      <c r="R461" s="34">
        <f>IF(OR($E461="",D461=0),"",'Daily Data'!I461/D461*10000)</f>
        <v/>
      </c>
    </row>
    <row r="462">
      <c r="A462" s="30" t="n">
        <v>46116</v>
      </c>
      <c r="B462" s="31">
        <f>'Daily Data'!B462-'Daily Data'!D462</f>
        <v/>
      </c>
      <c r="C462" s="32">
        <f>'Daily Data'!D462</f>
        <v/>
      </c>
      <c r="D462" s="32">
        <f>'Daily Data'!C462</f>
        <v/>
      </c>
      <c r="E462" s="32">
        <f>IF('Daily Data'!E462="","",'Daily Data'!E462)</f>
        <v/>
      </c>
      <c r="F462" s="32">
        <f>IF($E462="","",'Daily Data'!F462)</f>
        <v/>
      </c>
      <c r="G462" s="32">
        <f>IF($E462="","",'Daily Data'!G462)</f>
        <v/>
      </c>
      <c r="H462" s="31">
        <f>IF($E462="","",F462-G462)</f>
        <v/>
      </c>
      <c r="I462" s="32">
        <f>IF($E462="","",'Daily Data'!H462)</f>
        <v/>
      </c>
      <c r="J462" s="31">
        <f>IF($E462="","",E462-H462-I462)</f>
        <v/>
      </c>
      <c r="K462" s="33">
        <f>IF($E462="","",IF(A462&lt;HLP_ChangeDate,HLP_Legacy,HLP_Current))</f>
        <v/>
      </c>
      <c r="L462" s="31">
        <f>IF($E462="","",J462/(1-K462))</f>
        <v/>
      </c>
      <c r="M462" s="31">
        <f>IF($E462="","",I462/(1-K462))</f>
        <v/>
      </c>
      <c r="N462" s="31">
        <f>IF($E462="","",(B462+C462+D462)*Rate_Builder)</f>
        <v/>
      </c>
      <c r="O462" s="31">
        <f>IF($E462="","",E462*K462/(1-K462))</f>
        <v/>
      </c>
      <c r="P462" s="34">
        <f>IF(OR($E462="",B462=0),"",L462/B462*10000)</f>
        <v/>
      </c>
      <c r="Q462" s="34">
        <f>IF(OR($E462="",C462=0),"",F462/C462*10000)</f>
        <v/>
      </c>
      <c r="R462" s="34">
        <f>IF(OR($E462="",D462=0),"",'Daily Data'!I462/D462*10000)</f>
        <v/>
      </c>
    </row>
    <row r="463">
      <c r="A463" s="30" t="n">
        <v>46117</v>
      </c>
      <c r="B463" s="31">
        <f>'Daily Data'!B463-'Daily Data'!D463</f>
        <v/>
      </c>
      <c r="C463" s="32">
        <f>'Daily Data'!D463</f>
        <v/>
      </c>
      <c r="D463" s="32">
        <f>'Daily Data'!C463</f>
        <v/>
      </c>
      <c r="E463" s="32">
        <f>IF('Daily Data'!E463="","",'Daily Data'!E463)</f>
        <v/>
      </c>
      <c r="F463" s="32">
        <f>IF($E463="","",'Daily Data'!F463)</f>
        <v/>
      </c>
      <c r="G463" s="32">
        <f>IF($E463="","",'Daily Data'!G463)</f>
        <v/>
      </c>
      <c r="H463" s="31">
        <f>IF($E463="","",F463-G463)</f>
        <v/>
      </c>
      <c r="I463" s="32">
        <f>IF($E463="","",'Daily Data'!H463)</f>
        <v/>
      </c>
      <c r="J463" s="31">
        <f>IF($E463="","",E463-H463-I463)</f>
        <v/>
      </c>
      <c r="K463" s="33">
        <f>IF($E463="","",IF(A463&lt;HLP_ChangeDate,HLP_Legacy,HLP_Current))</f>
        <v/>
      </c>
      <c r="L463" s="31">
        <f>IF($E463="","",J463/(1-K463))</f>
        <v/>
      </c>
      <c r="M463" s="31">
        <f>IF($E463="","",I463/(1-K463))</f>
        <v/>
      </c>
      <c r="N463" s="31">
        <f>IF($E463="","",(B463+C463+D463)*Rate_Builder)</f>
        <v/>
      </c>
      <c r="O463" s="31">
        <f>IF($E463="","",E463*K463/(1-K463))</f>
        <v/>
      </c>
      <c r="P463" s="34">
        <f>IF(OR($E463="",B463=0),"",L463/B463*10000)</f>
        <v/>
      </c>
      <c r="Q463" s="34">
        <f>IF(OR($E463="",C463=0),"",F463/C463*10000)</f>
        <v/>
      </c>
      <c r="R463" s="34">
        <f>IF(OR($E463="",D463=0),"",'Daily Data'!I463/D463*10000)</f>
        <v/>
      </c>
    </row>
    <row r="464">
      <c r="A464" s="30" t="n">
        <v>46118</v>
      </c>
      <c r="B464" s="31">
        <f>'Daily Data'!B464-'Daily Data'!D464</f>
        <v/>
      </c>
      <c r="C464" s="32">
        <f>'Daily Data'!D464</f>
        <v/>
      </c>
      <c r="D464" s="32">
        <f>'Daily Data'!C464</f>
        <v/>
      </c>
      <c r="E464" s="32">
        <f>IF('Daily Data'!E464="","",'Daily Data'!E464)</f>
        <v/>
      </c>
      <c r="F464" s="32">
        <f>IF($E464="","",'Daily Data'!F464)</f>
        <v/>
      </c>
      <c r="G464" s="32">
        <f>IF($E464="","",'Daily Data'!G464)</f>
        <v/>
      </c>
      <c r="H464" s="31">
        <f>IF($E464="","",F464-G464)</f>
        <v/>
      </c>
      <c r="I464" s="32">
        <f>IF($E464="","",'Daily Data'!H464)</f>
        <v/>
      </c>
      <c r="J464" s="31">
        <f>IF($E464="","",E464-H464-I464)</f>
        <v/>
      </c>
      <c r="K464" s="33">
        <f>IF($E464="","",IF(A464&lt;HLP_ChangeDate,HLP_Legacy,HLP_Current))</f>
        <v/>
      </c>
      <c r="L464" s="31">
        <f>IF($E464="","",J464/(1-K464))</f>
        <v/>
      </c>
      <c r="M464" s="31">
        <f>IF($E464="","",I464/(1-K464))</f>
        <v/>
      </c>
      <c r="N464" s="31">
        <f>IF($E464="","",(B464+C464+D464)*Rate_Builder)</f>
        <v/>
      </c>
      <c r="O464" s="31">
        <f>IF($E464="","",E464*K464/(1-K464))</f>
        <v/>
      </c>
      <c r="P464" s="34">
        <f>IF(OR($E464="",B464=0),"",L464/B464*10000)</f>
        <v/>
      </c>
      <c r="Q464" s="34">
        <f>IF(OR($E464="",C464=0),"",F464/C464*10000)</f>
        <v/>
      </c>
      <c r="R464" s="34">
        <f>IF(OR($E464="",D464=0),"",'Daily Data'!I464/D464*10000)</f>
        <v/>
      </c>
    </row>
    <row r="465">
      <c r="A465" s="30" t="n">
        <v>46119</v>
      </c>
      <c r="B465" s="31">
        <f>'Daily Data'!B465-'Daily Data'!D465</f>
        <v/>
      </c>
      <c r="C465" s="32">
        <f>'Daily Data'!D465</f>
        <v/>
      </c>
      <c r="D465" s="32">
        <f>'Daily Data'!C465</f>
        <v/>
      </c>
      <c r="E465" s="32">
        <f>IF('Daily Data'!E465="","",'Daily Data'!E465)</f>
        <v/>
      </c>
      <c r="F465" s="32">
        <f>IF($E465="","",'Daily Data'!F465)</f>
        <v/>
      </c>
      <c r="G465" s="32">
        <f>IF($E465="","",'Daily Data'!G465)</f>
        <v/>
      </c>
      <c r="H465" s="31">
        <f>IF($E465="","",F465-G465)</f>
        <v/>
      </c>
      <c r="I465" s="32">
        <f>IF($E465="","",'Daily Data'!H465)</f>
        <v/>
      </c>
      <c r="J465" s="31">
        <f>IF($E465="","",E465-H465-I465)</f>
        <v/>
      </c>
      <c r="K465" s="33">
        <f>IF($E465="","",IF(A465&lt;HLP_ChangeDate,HLP_Legacy,HLP_Current))</f>
        <v/>
      </c>
      <c r="L465" s="31">
        <f>IF($E465="","",J465/(1-K465))</f>
        <v/>
      </c>
      <c r="M465" s="31">
        <f>IF($E465="","",I465/(1-K465))</f>
        <v/>
      </c>
      <c r="N465" s="31">
        <f>IF($E465="","",(B465+C465+D465)*Rate_Builder)</f>
        <v/>
      </c>
      <c r="O465" s="31">
        <f>IF($E465="","",E465*K465/(1-K465))</f>
        <v/>
      </c>
      <c r="P465" s="34">
        <f>IF(OR($E465="",B465=0),"",L465/B465*10000)</f>
        <v/>
      </c>
      <c r="Q465" s="34">
        <f>IF(OR($E465="",C465=0),"",F465/C465*10000)</f>
        <v/>
      </c>
      <c r="R465" s="34">
        <f>IF(OR($E465="",D465=0),"",'Daily Data'!I465/D465*10000)</f>
        <v/>
      </c>
    </row>
    <row r="466">
      <c r="A466" s="30" t="n">
        <v>46120</v>
      </c>
      <c r="B466" s="31">
        <f>'Daily Data'!B466-'Daily Data'!D466</f>
        <v/>
      </c>
      <c r="C466" s="32">
        <f>'Daily Data'!D466</f>
        <v/>
      </c>
      <c r="D466" s="32">
        <f>'Daily Data'!C466</f>
        <v/>
      </c>
      <c r="E466" s="32">
        <f>IF('Daily Data'!E466="","",'Daily Data'!E466)</f>
        <v/>
      </c>
      <c r="F466" s="32">
        <f>IF($E466="","",'Daily Data'!F466)</f>
        <v/>
      </c>
      <c r="G466" s="32">
        <f>IF($E466="","",'Daily Data'!G466)</f>
        <v/>
      </c>
      <c r="H466" s="31">
        <f>IF($E466="","",F466-G466)</f>
        <v/>
      </c>
      <c r="I466" s="32">
        <f>IF($E466="","",'Daily Data'!H466)</f>
        <v/>
      </c>
      <c r="J466" s="31">
        <f>IF($E466="","",E466-H466-I466)</f>
        <v/>
      </c>
      <c r="K466" s="33">
        <f>IF($E466="","",IF(A466&lt;HLP_ChangeDate,HLP_Legacy,HLP_Current))</f>
        <v/>
      </c>
      <c r="L466" s="31">
        <f>IF($E466="","",J466/(1-K466))</f>
        <v/>
      </c>
      <c r="M466" s="31">
        <f>IF($E466="","",I466/(1-K466))</f>
        <v/>
      </c>
      <c r="N466" s="31">
        <f>IF($E466="","",(B466+C466+D466)*Rate_Builder)</f>
        <v/>
      </c>
      <c r="O466" s="31">
        <f>IF($E466="","",E466*K466/(1-K466))</f>
        <v/>
      </c>
      <c r="P466" s="34">
        <f>IF(OR($E466="",B466=0),"",L466/B466*10000)</f>
        <v/>
      </c>
      <c r="Q466" s="34">
        <f>IF(OR($E466="",C466=0),"",F466/C466*10000)</f>
        <v/>
      </c>
      <c r="R466" s="34">
        <f>IF(OR($E466="",D466=0),"",'Daily Data'!I466/D466*10000)</f>
        <v/>
      </c>
    </row>
    <row r="467">
      <c r="A467" s="30" t="n">
        <v>46121</v>
      </c>
      <c r="B467" s="31">
        <f>'Daily Data'!B467-'Daily Data'!D467</f>
        <v/>
      </c>
      <c r="C467" s="32">
        <f>'Daily Data'!D467</f>
        <v/>
      </c>
      <c r="D467" s="32">
        <f>'Daily Data'!C467</f>
        <v/>
      </c>
      <c r="E467" s="32">
        <f>IF('Daily Data'!E467="","",'Daily Data'!E467)</f>
        <v/>
      </c>
      <c r="F467" s="32">
        <f>IF($E467="","",'Daily Data'!F467)</f>
        <v/>
      </c>
      <c r="G467" s="32">
        <f>IF($E467="","",'Daily Data'!G467)</f>
        <v/>
      </c>
      <c r="H467" s="31">
        <f>IF($E467="","",F467-G467)</f>
        <v/>
      </c>
      <c r="I467" s="32">
        <f>IF($E467="","",'Daily Data'!H467)</f>
        <v/>
      </c>
      <c r="J467" s="31">
        <f>IF($E467="","",E467-H467-I467)</f>
        <v/>
      </c>
      <c r="K467" s="33">
        <f>IF($E467="","",IF(A467&lt;HLP_ChangeDate,HLP_Legacy,HLP_Current))</f>
        <v/>
      </c>
      <c r="L467" s="31">
        <f>IF($E467="","",J467/(1-K467))</f>
        <v/>
      </c>
      <c r="M467" s="31">
        <f>IF($E467="","",I467/(1-K467))</f>
        <v/>
      </c>
      <c r="N467" s="31">
        <f>IF($E467="","",(B467+C467+D467)*Rate_Builder)</f>
        <v/>
      </c>
      <c r="O467" s="31">
        <f>IF($E467="","",E467*K467/(1-K467))</f>
        <v/>
      </c>
      <c r="P467" s="34">
        <f>IF(OR($E467="",B467=0),"",L467/B467*10000)</f>
        <v/>
      </c>
      <c r="Q467" s="34">
        <f>IF(OR($E467="",C467=0),"",F467/C467*10000)</f>
        <v/>
      </c>
      <c r="R467" s="34">
        <f>IF(OR($E467="",D467=0),"",'Daily Data'!I467/D467*10000)</f>
        <v/>
      </c>
    </row>
    <row r="468">
      <c r="A468" s="30" t="n">
        <v>46122</v>
      </c>
      <c r="B468" s="31">
        <f>'Daily Data'!B468-'Daily Data'!D468</f>
        <v/>
      </c>
      <c r="C468" s="32">
        <f>'Daily Data'!D468</f>
        <v/>
      </c>
      <c r="D468" s="32">
        <f>'Daily Data'!C468</f>
        <v/>
      </c>
      <c r="E468" s="32">
        <f>IF('Daily Data'!E468="","",'Daily Data'!E468)</f>
        <v/>
      </c>
      <c r="F468" s="32">
        <f>IF($E468="","",'Daily Data'!F468)</f>
        <v/>
      </c>
      <c r="G468" s="32">
        <f>IF($E468="","",'Daily Data'!G468)</f>
        <v/>
      </c>
      <c r="H468" s="31">
        <f>IF($E468="","",F468-G468)</f>
        <v/>
      </c>
      <c r="I468" s="32">
        <f>IF($E468="","",'Daily Data'!H468)</f>
        <v/>
      </c>
      <c r="J468" s="31">
        <f>IF($E468="","",E468-H468-I468)</f>
        <v/>
      </c>
      <c r="K468" s="33">
        <f>IF($E468="","",IF(A468&lt;HLP_ChangeDate,HLP_Legacy,HLP_Current))</f>
        <v/>
      </c>
      <c r="L468" s="31">
        <f>IF($E468="","",J468/(1-K468))</f>
        <v/>
      </c>
      <c r="M468" s="31">
        <f>IF($E468="","",I468/(1-K468))</f>
        <v/>
      </c>
      <c r="N468" s="31">
        <f>IF($E468="","",(B468+C468+D468)*Rate_Builder)</f>
        <v/>
      </c>
      <c r="O468" s="31">
        <f>IF($E468="","",E468*K468/(1-K468))</f>
        <v/>
      </c>
      <c r="P468" s="34">
        <f>IF(OR($E468="",B468=0),"",L468/B468*10000)</f>
        <v/>
      </c>
      <c r="Q468" s="34">
        <f>IF(OR($E468="",C468=0),"",F468/C468*10000)</f>
        <v/>
      </c>
      <c r="R468" s="34">
        <f>IF(OR($E468="",D468=0),"",'Daily Data'!I468/D468*10000)</f>
        <v/>
      </c>
    </row>
    <row r="469">
      <c r="A469" s="30" t="n">
        <v>46123</v>
      </c>
      <c r="B469" s="31">
        <f>'Daily Data'!B469-'Daily Data'!D469</f>
        <v/>
      </c>
      <c r="C469" s="32">
        <f>'Daily Data'!D469</f>
        <v/>
      </c>
      <c r="D469" s="32">
        <f>'Daily Data'!C469</f>
        <v/>
      </c>
      <c r="E469" s="32">
        <f>IF('Daily Data'!E469="","",'Daily Data'!E469)</f>
        <v/>
      </c>
      <c r="F469" s="32">
        <f>IF($E469="","",'Daily Data'!F469)</f>
        <v/>
      </c>
      <c r="G469" s="32">
        <f>IF($E469="","",'Daily Data'!G469)</f>
        <v/>
      </c>
      <c r="H469" s="31">
        <f>IF($E469="","",F469-G469)</f>
        <v/>
      </c>
      <c r="I469" s="32">
        <f>IF($E469="","",'Daily Data'!H469)</f>
        <v/>
      </c>
      <c r="J469" s="31">
        <f>IF($E469="","",E469-H469-I469)</f>
        <v/>
      </c>
      <c r="K469" s="33">
        <f>IF($E469="","",IF(A469&lt;HLP_ChangeDate,HLP_Legacy,HLP_Current))</f>
        <v/>
      </c>
      <c r="L469" s="31">
        <f>IF($E469="","",J469/(1-K469))</f>
        <v/>
      </c>
      <c r="M469" s="31">
        <f>IF($E469="","",I469/(1-K469))</f>
        <v/>
      </c>
      <c r="N469" s="31">
        <f>IF($E469="","",(B469+C469+D469)*Rate_Builder)</f>
        <v/>
      </c>
      <c r="O469" s="31">
        <f>IF($E469="","",E469*K469/(1-K469))</f>
        <v/>
      </c>
      <c r="P469" s="34">
        <f>IF(OR($E469="",B469=0),"",L469/B469*10000)</f>
        <v/>
      </c>
      <c r="Q469" s="34">
        <f>IF(OR($E469="",C469=0),"",F469/C469*10000)</f>
        <v/>
      </c>
      <c r="R469" s="34">
        <f>IF(OR($E469="",D469=0),"",'Daily Data'!I469/D469*10000)</f>
        <v/>
      </c>
    </row>
    <row r="470">
      <c r="A470" s="30" t="n">
        <v>46124</v>
      </c>
      <c r="B470" s="31">
        <f>'Daily Data'!B470-'Daily Data'!D470</f>
        <v/>
      </c>
      <c r="C470" s="32">
        <f>'Daily Data'!D470</f>
        <v/>
      </c>
      <c r="D470" s="32">
        <f>'Daily Data'!C470</f>
        <v/>
      </c>
      <c r="E470" s="32">
        <f>IF('Daily Data'!E470="","",'Daily Data'!E470)</f>
        <v/>
      </c>
      <c r="F470" s="32">
        <f>IF($E470="","",'Daily Data'!F470)</f>
        <v/>
      </c>
      <c r="G470" s="32">
        <f>IF($E470="","",'Daily Data'!G470)</f>
        <v/>
      </c>
      <c r="H470" s="31">
        <f>IF($E470="","",F470-G470)</f>
        <v/>
      </c>
      <c r="I470" s="32">
        <f>IF($E470="","",'Daily Data'!H470)</f>
        <v/>
      </c>
      <c r="J470" s="31">
        <f>IF($E470="","",E470-H470-I470)</f>
        <v/>
      </c>
      <c r="K470" s="33">
        <f>IF($E470="","",IF(A470&lt;HLP_ChangeDate,HLP_Legacy,HLP_Current))</f>
        <v/>
      </c>
      <c r="L470" s="31">
        <f>IF($E470="","",J470/(1-K470))</f>
        <v/>
      </c>
      <c r="M470" s="31">
        <f>IF($E470="","",I470/(1-K470))</f>
        <v/>
      </c>
      <c r="N470" s="31">
        <f>IF($E470="","",(B470+C470+D470)*Rate_Builder)</f>
        <v/>
      </c>
      <c r="O470" s="31">
        <f>IF($E470="","",E470*K470/(1-K470))</f>
        <v/>
      </c>
      <c r="P470" s="34">
        <f>IF(OR($E470="",B470=0),"",L470/B470*10000)</f>
        <v/>
      </c>
      <c r="Q470" s="34">
        <f>IF(OR($E470="",C470=0),"",F470/C470*10000)</f>
        <v/>
      </c>
      <c r="R470" s="34">
        <f>IF(OR($E470="",D470=0),"",'Daily Data'!I470/D470*10000)</f>
        <v/>
      </c>
    </row>
    <row r="471">
      <c r="A471" s="30" t="n">
        <v>46125</v>
      </c>
      <c r="B471" s="31">
        <f>'Daily Data'!B471-'Daily Data'!D471</f>
        <v/>
      </c>
      <c r="C471" s="32">
        <f>'Daily Data'!D471</f>
        <v/>
      </c>
      <c r="D471" s="32">
        <f>'Daily Data'!C471</f>
        <v/>
      </c>
      <c r="E471" s="32">
        <f>IF('Daily Data'!E471="","",'Daily Data'!E471)</f>
        <v/>
      </c>
      <c r="F471" s="32">
        <f>IF($E471="","",'Daily Data'!F471)</f>
        <v/>
      </c>
      <c r="G471" s="32">
        <f>IF($E471="","",'Daily Data'!G471)</f>
        <v/>
      </c>
      <c r="H471" s="31">
        <f>IF($E471="","",F471-G471)</f>
        <v/>
      </c>
      <c r="I471" s="32">
        <f>IF($E471="","",'Daily Data'!H471)</f>
        <v/>
      </c>
      <c r="J471" s="31">
        <f>IF($E471="","",E471-H471-I471)</f>
        <v/>
      </c>
      <c r="K471" s="33">
        <f>IF($E471="","",IF(A471&lt;HLP_ChangeDate,HLP_Legacy,HLP_Current))</f>
        <v/>
      </c>
      <c r="L471" s="31">
        <f>IF($E471="","",J471/(1-K471))</f>
        <v/>
      </c>
      <c r="M471" s="31">
        <f>IF($E471="","",I471/(1-K471))</f>
        <v/>
      </c>
      <c r="N471" s="31">
        <f>IF($E471="","",(B471+C471+D471)*Rate_Builder)</f>
        <v/>
      </c>
      <c r="O471" s="31">
        <f>IF($E471="","",E471*K471/(1-K471))</f>
        <v/>
      </c>
      <c r="P471" s="34">
        <f>IF(OR($E471="",B471=0),"",L471/B471*10000)</f>
        <v/>
      </c>
      <c r="Q471" s="34">
        <f>IF(OR($E471="",C471=0),"",F471/C471*10000)</f>
        <v/>
      </c>
      <c r="R471" s="34">
        <f>IF(OR($E471="",D471=0),"",'Daily Data'!I471/D471*10000)</f>
        <v/>
      </c>
    </row>
    <row r="472">
      <c r="A472" s="30" t="n">
        <v>46126</v>
      </c>
      <c r="B472" s="31">
        <f>'Daily Data'!B472-'Daily Data'!D472</f>
        <v/>
      </c>
      <c r="C472" s="32">
        <f>'Daily Data'!D472</f>
        <v/>
      </c>
      <c r="D472" s="32">
        <f>'Daily Data'!C472</f>
        <v/>
      </c>
      <c r="E472" s="32">
        <f>IF('Daily Data'!E472="","",'Daily Data'!E472)</f>
        <v/>
      </c>
      <c r="F472" s="32">
        <f>IF($E472="","",'Daily Data'!F472)</f>
        <v/>
      </c>
      <c r="G472" s="32">
        <f>IF($E472="","",'Daily Data'!G472)</f>
        <v/>
      </c>
      <c r="H472" s="31">
        <f>IF($E472="","",F472-G472)</f>
        <v/>
      </c>
      <c r="I472" s="32">
        <f>IF($E472="","",'Daily Data'!H472)</f>
        <v/>
      </c>
      <c r="J472" s="31">
        <f>IF($E472="","",E472-H472-I472)</f>
        <v/>
      </c>
      <c r="K472" s="33">
        <f>IF($E472="","",IF(A472&lt;HLP_ChangeDate,HLP_Legacy,HLP_Current))</f>
        <v/>
      </c>
      <c r="L472" s="31">
        <f>IF($E472="","",J472/(1-K472))</f>
        <v/>
      </c>
      <c r="M472" s="31">
        <f>IF($E472="","",I472/(1-K472))</f>
        <v/>
      </c>
      <c r="N472" s="31">
        <f>IF($E472="","",(B472+C472+D472)*Rate_Builder)</f>
        <v/>
      </c>
      <c r="O472" s="31">
        <f>IF($E472="","",E472*K472/(1-K472))</f>
        <v/>
      </c>
      <c r="P472" s="34">
        <f>IF(OR($E472="",B472=0),"",L472/B472*10000)</f>
        <v/>
      </c>
      <c r="Q472" s="34">
        <f>IF(OR($E472="",C472=0),"",F472/C472*10000)</f>
        <v/>
      </c>
      <c r="R472" s="34">
        <f>IF(OR($E472="",D472=0),"",'Daily Data'!I472/D472*10000)</f>
        <v/>
      </c>
    </row>
    <row r="473">
      <c r="A473" s="30" t="n">
        <v>46127</v>
      </c>
      <c r="B473" s="31">
        <f>'Daily Data'!B473-'Daily Data'!D473</f>
        <v/>
      </c>
      <c r="C473" s="32">
        <f>'Daily Data'!D473</f>
        <v/>
      </c>
      <c r="D473" s="32">
        <f>'Daily Data'!C473</f>
        <v/>
      </c>
      <c r="E473" s="32">
        <f>IF('Daily Data'!E473="","",'Daily Data'!E473)</f>
        <v/>
      </c>
      <c r="F473" s="32">
        <f>IF($E473="","",'Daily Data'!F473)</f>
        <v/>
      </c>
      <c r="G473" s="32">
        <f>IF($E473="","",'Daily Data'!G473)</f>
        <v/>
      </c>
      <c r="H473" s="31">
        <f>IF($E473="","",F473-G473)</f>
        <v/>
      </c>
      <c r="I473" s="32">
        <f>IF($E473="","",'Daily Data'!H473)</f>
        <v/>
      </c>
      <c r="J473" s="31">
        <f>IF($E473="","",E473-H473-I473)</f>
        <v/>
      </c>
      <c r="K473" s="33">
        <f>IF($E473="","",IF(A473&lt;HLP_ChangeDate,HLP_Legacy,HLP_Current))</f>
        <v/>
      </c>
      <c r="L473" s="31">
        <f>IF($E473="","",J473/(1-K473))</f>
        <v/>
      </c>
      <c r="M473" s="31">
        <f>IF($E473="","",I473/(1-K473))</f>
        <v/>
      </c>
      <c r="N473" s="31">
        <f>IF($E473="","",(B473+C473+D473)*Rate_Builder)</f>
        <v/>
      </c>
      <c r="O473" s="31">
        <f>IF($E473="","",E473*K473/(1-K473))</f>
        <v/>
      </c>
      <c r="P473" s="34">
        <f>IF(OR($E473="",B473=0),"",L473/B473*10000)</f>
        <v/>
      </c>
      <c r="Q473" s="34">
        <f>IF(OR($E473="",C473=0),"",F473/C473*10000)</f>
        <v/>
      </c>
      <c r="R473" s="34">
        <f>IF(OR($E473="",D473=0),"",'Daily Data'!I473/D473*10000)</f>
        <v/>
      </c>
    </row>
    <row r="474">
      <c r="A474" s="30" t="n">
        <v>46128</v>
      </c>
      <c r="B474" s="31">
        <f>'Daily Data'!B474-'Daily Data'!D474</f>
        <v/>
      </c>
      <c r="C474" s="32">
        <f>'Daily Data'!D474</f>
        <v/>
      </c>
      <c r="D474" s="32">
        <f>'Daily Data'!C474</f>
        <v/>
      </c>
      <c r="E474" s="32">
        <f>IF('Daily Data'!E474="","",'Daily Data'!E474)</f>
        <v/>
      </c>
      <c r="F474" s="32">
        <f>IF($E474="","",'Daily Data'!F474)</f>
        <v/>
      </c>
      <c r="G474" s="32">
        <f>IF($E474="","",'Daily Data'!G474)</f>
        <v/>
      </c>
      <c r="H474" s="31">
        <f>IF($E474="","",F474-G474)</f>
        <v/>
      </c>
      <c r="I474" s="32">
        <f>IF($E474="","",'Daily Data'!H474)</f>
        <v/>
      </c>
      <c r="J474" s="31">
        <f>IF($E474="","",E474-H474-I474)</f>
        <v/>
      </c>
      <c r="K474" s="33">
        <f>IF($E474="","",IF(A474&lt;HLP_ChangeDate,HLP_Legacy,HLP_Current))</f>
        <v/>
      </c>
      <c r="L474" s="31">
        <f>IF($E474="","",J474/(1-K474))</f>
        <v/>
      </c>
      <c r="M474" s="31">
        <f>IF($E474="","",I474/(1-K474))</f>
        <v/>
      </c>
      <c r="N474" s="31">
        <f>IF($E474="","",(B474+C474+D474)*Rate_Builder)</f>
        <v/>
      </c>
      <c r="O474" s="31">
        <f>IF($E474="","",E474*K474/(1-K474))</f>
        <v/>
      </c>
      <c r="P474" s="34">
        <f>IF(OR($E474="",B474=0),"",L474/B474*10000)</f>
        <v/>
      </c>
      <c r="Q474" s="34">
        <f>IF(OR($E474="",C474=0),"",F474/C474*10000)</f>
        <v/>
      </c>
      <c r="R474" s="34">
        <f>IF(OR($E474="",D474=0),"",'Daily Data'!I474/D474*10000)</f>
        <v/>
      </c>
    </row>
    <row r="475">
      <c r="A475" s="30" t="n">
        <v>46129</v>
      </c>
      <c r="B475" s="31">
        <f>'Daily Data'!B475-'Daily Data'!D475</f>
        <v/>
      </c>
      <c r="C475" s="32">
        <f>'Daily Data'!D475</f>
        <v/>
      </c>
      <c r="D475" s="32">
        <f>'Daily Data'!C475</f>
        <v/>
      </c>
      <c r="E475" s="32">
        <f>IF('Daily Data'!E475="","",'Daily Data'!E475)</f>
        <v/>
      </c>
      <c r="F475" s="32">
        <f>IF($E475="","",'Daily Data'!F475)</f>
        <v/>
      </c>
      <c r="G475" s="32">
        <f>IF($E475="","",'Daily Data'!G475)</f>
        <v/>
      </c>
      <c r="H475" s="31">
        <f>IF($E475="","",F475-G475)</f>
        <v/>
      </c>
      <c r="I475" s="32">
        <f>IF($E475="","",'Daily Data'!H475)</f>
        <v/>
      </c>
      <c r="J475" s="31">
        <f>IF($E475="","",E475-H475-I475)</f>
        <v/>
      </c>
      <c r="K475" s="33">
        <f>IF($E475="","",IF(A475&lt;HLP_ChangeDate,HLP_Legacy,HLP_Current))</f>
        <v/>
      </c>
      <c r="L475" s="31">
        <f>IF($E475="","",J475/(1-K475))</f>
        <v/>
      </c>
      <c r="M475" s="31">
        <f>IF($E475="","",I475/(1-K475))</f>
        <v/>
      </c>
      <c r="N475" s="31">
        <f>IF($E475="","",(B475+C475+D475)*Rate_Builder)</f>
        <v/>
      </c>
      <c r="O475" s="31">
        <f>IF($E475="","",E475*K475/(1-K475))</f>
        <v/>
      </c>
      <c r="P475" s="34">
        <f>IF(OR($E475="",B475=0),"",L475/B475*10000)</f>
        <v/>
      </c>
      <c r="Q475" s="34">
        <f>IF(OR($E475="",C475=0),"",F475/C475*10000)</f>
        <v/>
      </c>
      <c r="R475" s="34">
        <f>IF(OR($E475="",D475=0),"",'Daily Data'!I475/D475*10000)</f>
        <v/>
      </c>
    </row>
    <row r="476">
      <c r="A476" s="30" t="n">
        <v>46130</v>
      </c>
      <c r="B476" s="31">
        <f>'Daily Data'!B476-'Daily Data'!D476</f>
        <v/>
      </c>
      <c r="C476" s="32">
        <f>'Daily Data'!D476</f>
        <v/>
      </c>
      <c r="D476" s="32">
        <f>'Daily Data'!C476</f>
        <v/>
      </c>
      <c r="E476" s="32">
        <f>IF('Daily Data'!E476="","",'Daily Data'!E476)</f>
        <v/>
      </c>
      <c r="F476" s="32">
        <f>IF($E476="","",'Daily Data'!F476)</f>
        <v/>
      </c>
      <c r="G476" s="32">
        <f>IF($E476="","",'Daily Data'!G476)</f>
        <v/>
      </c>
      <c r="H476" s="31">
        <f>IF($E476="","",F476-G476)</f>
        <v/>
      </c>
      <c r="I476" s="32">
        <f>IF($E476="","",'Daily Data'!H476)</f>
        <v/>
      </c>
      <c r="J476" s="31">
        <f>IF($E476="","",E476-H476-I476)</f>
        <v/>
      </c>
      <c r="K476" s="33">
        <f>IF($E476="","",IF(A476&lt;HLP_ChangeDate,HLP_Legacy,HLP_Current))</f>
        <v/>
      </c>
      <c r="L476" s="31">
        <f>IF($E476="","",J476/(1-K476))</f>
        <v/>
      </c>
      <c r="M476" s="31">
        <f>IF($E476="","",I476/(1-K476))</f>
        <v/>
      </c>
      <c r="N476" s="31">
        <f>IF($E476="","",(B476+C476+D476)*Rate_Builder)</f>
        <v/>
      </c>
      <c r="O476" s="31">
        <f>IF($E476="","",E476*K476/(1-K476))</f>
        <v/>
      </c>
      <c r="P476" s="34">
        <f>IF(OR($E476="",B476=0),"",L476/B476*10000)</f>
        <v/>
      </c>
      <c r="Q476" s="34">
        <f>IF(OR($E476="",C476=0),"",F476/C476*10000)</f>
        <v/>
      </c>
      <c r="R476" s="34">
        <f>IF(OR($E476="",D476=0),"",'Daily Data'!I476/D476*10000)</f>
        <v/>
      </c>
    </row>
    <row r="477">
      <c r="A477" s="30" t="n">
        <v>46131</v>
      </c>
      <c r="B477" s="31">
        <f>'Daily Data'!B477-'Daily Data'!D477</f>
        <v/>
      </c>
      <c r="C477" s="32">
        <f>'Daily Data'!D477</f>
        <v/>
      </c>
      <c r="D477" s="32">
        <f>'Daily Data'!C477</f>
        <v/>
      </c>
      <c r="E477" s="32">
        <f>IF('Daily Data'!E477="","",'Daily Data'!E477)</f>
        <v/>
      </c>
      <c r="F477" s="32">
        <f>IF($E477="","",'Daily Data'!F477)</f>
        <v/>
      </c>
      <c r="G477" s="32">
        <f>IF($E477="","",'Daily Data'!G477)</f>
        <v/>
      </c>
      <c r="H477" s="31">
        <f>IF($E477="","",F477-G477)</f>
        <v/>
      </c>
      <c r="I477" s="32">
        <f>IF($E477="","",'Daily Data'!H477)</f>
        <v/>
      </c>
      <c r="J477" s="31">
        <f>IF($E477="","",E477-H477-I477)</f>
        <v/>
      </c>
      <c r="K477" s="33">
        <f>IF($E477="","",IF(A477&lt;HLP_ChangeDate,HLP_Legacy,HLP_Current))</f>
        <v/>
      </c>
      <c r="L477" s="31">
        <f>IF($E477="","",J477/(1-K477))</f>
        <v/>
      </c>
      <c r="M477" s="31">
        <f>IF($E477="","",I477/(1-K477))</f>
        <v/>
      </c>
      <c r="N477" s="31">
        <f>IF($E477="","",(B477+C477+D477)*Rate_Builder)</f>
        <v/>
      </c>
      <c r="O477" s="31">
        <f>IF($E477="","",E477*K477/(1-K477))</f>
        <v/>
      </c>
      <c r="P477" s="34">
        <f>IF(OR($E477="",B477=0),"",L477/B477*10000)</f>
        <v/>
      </c>
      <c r="Q477" s="34">
        <f>IF(OR($E477="",C477=0),"",F477/C477*10000)</f>
        <v/>
      </c>
      <c r="R477" s="34">
        <f>IF(OR($E477="",D477=0),"",'Daily Data'!I477/D477*10000)</f>
        <v/>
      </c>
    </row>
    <row r="478">
      <c r="A478" s="30" t="n">
        <v>46132</v>
      </c>
      <c r="B478" s="31">
        <f>'Daily Data'!B478-'Daily Data'!D478</f>
        <v/>
      </c>
      <c r="C478" s="32">
        <f>'Daily Data'!D478</f>
        <v/>
      </c>
      <c r="D478" s="32">
        <f>'Daily Data'!C478</f>
        <v/>
      </c>
      <c r="E478" s="32">
        <f>IF('Daily Data'!E478="","",'Daily Data'!E478)</f>
        <v/>
      </c>
      <c r="F478" s="32">
        <f>IF($E478="","",'Daily Data'!F478)</f>
        <v/>
      </c>
      <c r="G478" s="32">
        <f>IF($E478="","",'Daily Data'!G478)</f>
        <v/>
      </c>
      <c r="H478" s="31">
        <f>IF($E478="","",F478-G478)</f>
        <v/>
      </c>
      <c r="I478" s="32">
        <f>IF($E478="","",'Daily Data'!H478)</f>
        <v/>
      </c>
      <c r="J478" s="31">
        <f>IF($E478="","",E478-H478-I478)</f>
        <v/>
      </c>
      <c r="K478" s="33">
        <f>IF($E478="","",IF(A478&lt;HLP_ChangeDate,HLP_Legacy,HLP_Current))</f>
        <v/>
      </c>
      <c r="L478" s="31">
        <f>IF($E478="","",J478/(1-K478))</f>
        <v/>
      </c>
      <c r="M478" s="31">
        <f>IF($E478="","",I478/(1-K478))</f>
        <v/>
      </c>
      <c r="N478" s="31">
        <f>IF($E478="","",(B478+C478+D478)*Rate_Builder)</f>
        <v/>
      </c>
      <c r="O478" s="31">
        <f>IF($E478="","",E478*K478/(1-K478))</f>
        <v/>
      </c>
      <c r="P478" s="34">
        <f>IF(OR($E478="",B478=0),"",L478/B478*10000)</f>
        <v/>
      </c>
      <c r="Q478" s="34">
        <f>IF(OR($E478="",C478=0),"",F478/C478*10000)</f>
        <v/>
      </c>
      <c r="R478" s="34">
        <f>IF(OR($E478="",D478=0),"",'Daily Data'!I478/D478*10000)</f>
        <v/>
      </c>
    </row>
    <row r="479">
      <c r="A479" s="30" t="n">
        <v>46133</v>
      </c>
      <c r="B479" s="31">
        <f>'Daily Data'!B479-'Daily Data'!D479</f>
        <v/>
      </c>
      <c r="C479" s="32">
        <f>'Daily Data'!D479</f>
        <v/>
      </c>
      <c r="D479" s="32">
        <f>'Daily Data'!C479</f>
        <v/>
      </c>
      <c r="E479" s="32">
        <f>IF('Daily Data'!E479="","",'Daily Data'!E479)</f>
        <v/>
      </c>
      <c r="F479" s="32">
        <f>IF($E479="","",'Daily Data'!F479)</f>
        <v/>
      </c>
      <c r="G479" s="32">
        <f>IF($E479="","",'Daily Data'!G479)</f>
        <v/>
      </c>
      <c r="H479" s="31">
        <f>IF($E479="","",F479-G479)</f>
        <v/>
      </c>
      <c r="I479" s="32">
        <f>IF($E479="","",'Daily Data'!H479)</f>
        <v/>
      </c>
      <c r="J479" s="31">
        <f>IF($E479="","",E479-H479-I479)</f>
        <v/>
      </c>
      <c r="K479" s="33">
        <f>IF($E479="","",IF(A479&lt;HLP_ChangeDate,HLP_Legacy,HLP_Current))</f>
        <v/>
      </c>
      <c r="L479" s="31">
        <f>IF($E479="","",J479/(1-K479))</f>
        <v/>
      </c>
      <c r="M479" s="31">
        <f>IF($E479="","",I479/(1-K479))</f>
        <v/>
      </c>
      <c r="N479" s="31">
        <f>IF($E479="","",(B479+C479+D479)*Rate_Builder)</f>
        <v/>
      </c>
      <c r="O479" s="31">
        <f>IF($E479="","",E479*K479/(1-K479))</f>
        <v/>
      </c>
      <c r="P479" s="34">
        <f>IF(OR($E479="",B479=0),"",L479/B479*10000)</f>
        <v/>
      </c>
      <c r="Q479" s="34">
        <f>IF(OR($E479="",C479=0),"",F479/C479*10000)</f>
        <v/>
      </c>
      <c r="R479" s="34">
        <f>IF(OR($E479="",D479=0),"",'Daily Data'!I479/D479*10000)</f>
        <v/>
      </c>
    </row>
    <row r="480">
      <c r="A480" s="30" t="n">
        <v>46134</v>
      </c>
      <c r="B480" s="31">
        <f>'Daily Data'!B480-'Daily Data'!D480</f>
        <v/>
      </c>
      <c r="C480" s="32">
        <f>'Daily Data'!D480</f>
        <v/>
      </c>
      <c r="D480" s="32">
        <f>'Daily Data'!C480</f>
        <v/>
      </c>
      <c r="E480" s="32">
        <f>IF('Daily Data'!E480="","",'Daily Data'!E480)</f>
        <v/>
      </c>
      <c r="F480" s="32">
        <f>IF($E480="","",'Daily Data'!F480)</f>
        <v/>
      </c>
      <c r="G480" s="32">
        <f>IF($E480="","",'Daily Data'!G480)</f>
        <v/>
      </c>
      <c r="H480" s="31">
        <f>IF($E480="","",F480-G480)</f>
        <v/>
      </c>
      <c r="I480" s="32">
        <f>IF($E480="","",'Daily Data'!H480)</f>
        <v/>
      </c>
      <c r="J480" s="31">
        <f>IF($E480="","",E480-H480-I480)</f>
        <v/>
      </c>
      <c r="K480" s="33">
        <f>IF($E480="","",IF(A480&lt;HLP_ChangeDate,HLP_Legacy,HLP_Current))</f>
        <v/>
      </c>
      <c r="L480" s="31">
        <f>IF($E480="","",J480/(1-K480))</f>
        <v/>
      </c>
      <c r="M480" s="31">
        <f>IF($E480="","",I480/(1-K480))</f>
        <v/>
      </c>
      <c r="N480" s="31">
        <f>IF($E480="","",(B480+C480+D480)*Rate_Builder)</f>
        <v/>
      </c>
      <c r="O480" s="31">
        <f>IF($E480="","",E480*K480/(1-K480))</f>
        <v/>
      </c>
      <c r="P480" s="34">
        <f>IF(OR($E480="",B480=0),"",L480/B480*10000)</f>
        <v/>
      </c>
      <c r="Q480" s="34">
        <f>IF(OR($E480="",C480=0),"",F480/C480*10000)</f>
        <v/>
      </c>
      <c r="R480" s="34">
        <f>IF(OR($E480="",D480=0),"",'Daily Data'!I480/D480*10000)</f>
        <v/>
      </c>
    </row>
    <row r="481">
      <c r="A481" s="30" t="n">
        <v>46135</v>
      </c>
      <c r="B481" s="31">
        <f>'Daily Data'!B481-'Daily Data'!D481</f>
        <v/>
      </c>
      <c r="C481" s="32">
        <f>'Daily Data'!D481</f>
        <v/>
      </c>
      <c r="D481" s="32">
        <f>'Daily Data'!C481</f>
        <v/>
      </c>
      <c r="E481" s="32">
        <f>IF('Daily Data'!E481="","",'Daily Data'!E481)</f>
        <v/>
      </c>
      <c r="F481" s="32">
        <f>IF($E481="","",'Daily Data'!F481)</f>
        <v/>
      </c>
      <c r="G481" s="32">
        <f>IF($E481="","",'Daily Data'!G481)</f>
        <v/>
      </c>
      <c r="H481" s="31">
        <f>IF($E481="","",F481-G481)</f>
        <v/>
      </c>
      <c r="I481" s="32">
        <f>IF($E481="","",'Daily Data'!H481)</f>
        <v/>
      </c>
      <c r="J481" s="31">
        <f>IF($E481="","",E481-H481-I481)</f>
        <v/>
      </c>
      <c r="K481" s="33">
        <f>IF($E481="","",IF(A481&lt;HLP_ChangeDate,HLP_Legacy,HLP_Current))</f>
        <v/>
      </c>
      <c r="L481" s="31">
        <f>IF($E481="","",J481/(1-K481))</f>
        <v/>
      </c>
      <c r="M481" s="31">
        <f>IF($E481="","",I481/(1-K481))</f>
        <v/>
      </c>
      <c r="N481" s="31">
        <f>IF($E481="","",(B481+C481+D481)*Rate_Builder)</f>
        <v/>
      </c>
      <c r="O481" s="31">
        <f>IF($E481="","",E481*K481/(1-K481))</f>
        <v/>
      </c>
      <c r="P481" s="34">
        <f>IF(OR($E481="",B481=0),"",L481/B481*10000)</f>
        <v/>
      </c>
      <c r="Q481" s="34">
        <f>IF(OR($E481="",C481=0),"",F481/C481*10000)</f>
        <v/>
      </c>
      <c r="R481" s="34">
        <f>IF(OR($E481="",D481=0),"",'Daily Data'!I481/D481*10000)</f>
        <v/>
      </c>
    </row>
    <row r="482">
      <c r="A482" s="30" t="n">
        <v>46136</v>
      </c>
      <c r="B482" s="31">
        <f>'Daily Data'!B482-'Daily Data'!D482</f>
        <v/>
      </c>
      <c r="C482" s="32">
        <f>'Daily Data'!D482</f>
        <v/>
      </c>
      <c r="D482" s="32">
        <f>'Daily Data'!C482</f>
        <v/>
      </c>
      <c r="E482" s="32">
        <f>IF('Daily Data'!E482="","",'Daily Data'!E482)</f>
        <v/>
      </c>
      <c r="F482" s="32">
        <f>IF($E482="","",'Daily Data'!F482)</f>
        <v/>
      </c>
      <c r="G482" s="32">
        <f>IF($E482="","",'Daily Data'!G482)</f>
        <v/>
      </c>
      <c r="H482" s="31">
        <f>IF($E482="","",F482-G482)</f>
        <v/>
      </c>
      <c r="I482" s="32">
        <f>IF($E482="","",'Daily Data'!H482)</f>
        <v/>
      </c>
      <c r="J482" s="31">
        <f>IF($E482="","",E482-H482-I482)</f>
        <v/>
      </c>
      <c r="K482" s="33">
        <f>IF($E482="","",IF(A482&lt;HLP_ChangeDate,HLP_Legacy,HLP_Current))</f>
        <v/>
      </c>
      <c r="L482" s="31">
        <f>IF($E482="","",J482/(1-K482))</f>
        <v/>
      </c>
      <c r="M482" s="31">
        <f>IF($E482="","",I482/(1-K482))</f>
        <v/>
      </c>
      <c r="N482" s="31">
        <f>IF($E482="","",(B482+C482+D482)*Rate_Builder)</f>
        <v/>
      </c>
      <c r="O482" s="31">
        <f>IF($E482="","",E482*K482/(1-K482))</f>
        <v/>
      </c>
      <c r="P482" s="34">
        <f>IF(OR($E482="",B482=0),"",L482/B482*10000)</f>
        <v/>
      </c>
      <c r="Q482" s="34">
        <f>IF(OR($E482="",C482=0),"",F482/C482*10000)</f>
        <v/>
      </c>
      <c r="R482" s="34">
        <f>IF(OR($E482="",D482=0),"",'Daily Data'!I482/D482*10000)</f>
        <v/>
      </c>
    </row>
    <row r="483">
      <c r="A483" s="30" t="n">
        <v>46137</v>
      </c>
      <c r="B483" s="31">
        <f>'Daily Data'!B483-'Daily Data'!D483</f>
        <v/>
      </c>
      <c r="C483" s="32">
        <f>'Daily Data'!D483</f>
        <v/>
      </c>
      <c r="D483" s="32">
        <f>'Daily Data'!C483</f>
        <v/>
      </c>
      <c r="E483" s="32">
        <f>IF('Daily Data'!E483="","",'Daily Data'!E483)</f>
        <v/>
      </c>
      <c r="F483" s="32">
        <f>IF($E483="","",'Daily Data'!F483)</f>
        <v/>
      </c>
      <c r="G483" s="32">
        <f>IF($E483="","",'Daily Data'!G483)</f>
        <v/>
      </c>
      <c r="H483" s="31">
        <f>IF($E483="","",F483-G483)</f>
        <v/>
      </c>
      <c r="I483" s="32">
        <f>IF($E483="","",'Daily Data'!H483)</f>
        <v/>
      </c>
      <c r="J483" s="31">
        <f>IF($E483="","",E483-H483-I483)</f>
        <v/>
      </c>
      <c r="K483" s="33">
        <f>IF($E483="","",IF(A483&lt;HLP_ChangeDate,HLP_Legacy,HLP_Current))</f>
        <v/>
      </c>
      <c r="L483" s="31">
        <f>IF($E483="","",J483/(1-K483))</f>
        <v/>
      </c>
      <c r="M483" s="31">
        <f>IF($E483="","",I483/(1-K483))</f>
        <v/>
      </c>
      <c r="N483" s="31">
        <f>IF($E483="","",(B483+C483+D483)*Rate_Builder)</f>
        <v/>
      </c>
      <c r="O483" s="31">
        <f>IF($E483="","",E483*K483/(1-K483))</f>
        <v/>
      </c>
      <c r="P483" s="34">
        <f>IF(OR($E483="",B483=0),"",L483/B483*10000)</f>
        <v/>
      </c>
      <c r="Q483" s="34">
        <f>IF(OR($E483="",C483=0),"",F483/C483*10000)</f>
        <v/>
      </c>
      <c r="R483" s="34">
        <f>IF(OR($E483="",D483=0),"",'Daily Data'!I483/D483*10000)</f>
        <v/>
      </c>
    </row>
    <row r="484">
      <c r="A484" s="30" t="n">
        <v>46138</v>
      </c>
      <c r="B484" s="31">
        <f>'Daily Data'!B484-'Daily Data'!D484</f>
        <v/>
      </c>
      <c r="C484" s="32">
        <f>'Daily Data'!D484</f>
        <v/>
      </c>
      <c r="D484" s="32">
        <f>'Daily Data'!C484</f>
        <v/>
      </c>
      <c r="E484" s="32">
        <f>IF('Daily Data'!E484="","",'Daily Data'!E484)</f>
        <v/>
      </c>
      <c r="F484" s="32">
        <f>IF($E484="","",'Daily Data'!F484)</f>
        <v/>
      </c>
      <c r="G484" s="32">
        <f>IF($E484="","",'Daily Data'!G484)</f>
        <v/>
      </c>
      <c r="H484" s="31">
        <f>IF($E484="","",F484-G484)</f>
        <v/>
      </c>
      <c r="I484" s="32">
        <f>IF($E484="","",'Daily Data'!H484)</f>
        <v/>
      </c>
      <c r="J484" s="31">
        <f>IF($E484="","",E484-H484-I484)</f>
        <v/>
      </c>
      <c r="K484" s="33">
        <f>IF($E484="","",IF(A484&lt;HLP_ChangeDate,HLP_Legacy,HLP_Current))</f>
        <v/>
      </c>
      <c r="L484" s="31">
        <f>IF($E484="","",J484/(1-K484))</f>
        <v/>
      </c>
      <c r="M484" s="31">
        <f>IF($E484="","",I484/(1-K484))</f>
        <v/>
      </c>
      <c r="N484" s="31">
        <f>IF($E484="","",(B484+C484+D484)*Rate_Builder)</f>
        <v/>
      </c>
      <c r="O484" s="31">
        <f>IF($E484="","",E484*K484/(1-K484))</f>
        <v/>
      </c>
      <c r="P484" s="34">
        <f>IF(OR($E484="",B484=0),"",L484/B484*10000)</f>
        <v/>
      </c>
      <c r="Q484" s="34">
        <f>IF(OR($E484="",C484=0),"",F484/C484*10000)</f>
        <v/>
      </c>
      <c r="R484" s="34">
        <f>IF(OR($E484="",D484=0),"",'Daily Data'!I484/D484*10000)</f>
        <v/>
      </c>
    </row>
    <row r="485">
      <c r="A485" s="30" t="n">
        <v>46139</v>
      </c>
      <c r="B485" s="31">
        <f>'Daily Data'!B485-'Daily Data'!D485</f>
        <v/>
      </c>
      <c r="C485" s="32">
        <f>'Daily Data'!D485</f>
        <v/>
      </c>
      <c r="D485" s="32">
        <f>'Daily Data'!C485</f>
        <v/>
      </c>
      <c r="E485" s="32">
        <f>IF('Daily Data'!E485="","",'Daily Data'!E485)</f>
        <v/>
      </c>
      <c r="F485" s="32">
        <f>IF($E485="","",'Daily Data'!F485)</f>
        <v/>
      </c>
      <c r="G485" s="32">
        <f>IF($E485="","",'Daily Data'!G485)</f>
        <v/>
      </c>
      <c r="H485" s="31">
        <f>IF($E485="","",F485-G485)</f>
        <v/>
      </c>
      <c r="I485" s="32">
        <f>IF($E485="","",'Daily Data'!H485)</f>
        <v/>
      </c>
      <c r="J485" s="31">
        <f>IF($E485="","",E485-H485-I485)</f>
        <v/>
      </c>
      <c r="K485" s="33">
        <f>IF($E485="","",IF(A485&lt;HLP_ChangeDate,HLP_Legacy,HLP_Current))</f>
        <v/>
      </c>
      <c r="L485" s="31">
        <f>IF($E485="","",J485/(1-K485))</f>
        <v/>
      </c>
      <c r="M485" s="31">
        <f>IF($E485="","",I485/(1-K485))</f>
        <v/>
      </c>
      <c r="N485" s="31">
        <f>IF($E485="","",(B485+C485+D485)*Rate_Builder)</f>
        <v/>
      </c>
      <c r="O485" s="31">
        <f>IF($E485="","",E485*K485/(1-K485))</f>
        <v/>
      </c>
      <c r="P485" s="34">
        <f>IF(OR($E485="",B485=0),"",L485/B485*10000)</f>
        <v/>
      </c>
      <c r="Q485" s="34">
        <f>IF(OR($E485="",C485=0),"",F485/C485*10000)</f>
        <v/>
      </c>
      <c r="R485" s="34">
        <f>IF(OR($E485="",D485=0),"",'Daily Data'!I485/D485*10000)</f>
        <v/>
      </c>
    </row>
    <row r="486">
      <c r="A486" s="30" t="n">
        <v>46140</v>
      </c>
      <c r="B486" s="31">
        <f>'Daily Data'!B486-'Daily Data'!D486</f>
        <v/>
      </c>
      <c r="C486" s="32">
        <f>'Daily Data'!D486</f>
        <v/>
      </c>
      <c r="D486" s="32">
        <f>'Daily Data'!C486</f>
        <v/>
      </c>
      <c r="E486" s="32">
        <f>IF('Daily Data'!E486="","",'Daily Data'!E486)</f>
        <v/>
      </c>
      <c r="F486" s="32">
        <f>IF($E486="","",'Daily Data'!F486)</f>
        <v/>
      </c>
      <c r="G486" s="32">
        <f>IF($E486="","",'Daily Data'!G486)</f>
        <v/>
      </c>
      <c r="H486" s="31">
        <f>IF($E486="","",F486-G486)</f>
        <v/>
      </c>
      <c r="I486" s="32">
        <f>IF($E486="","",'Daily Data'!H486)</f>
        <v/>
      </c>
      <c r="J486" s="31">
        <f>IF($E486="","",E486-H486-I486)</f>
        <v/>
      </c>
      <c r="K486" s="33">
        <f>IF($E486="","",IF(A486&lt;HLP_ChangeDate,HLP_Legacy,HLP_Current))</f>
        <v/>
      </c>
      <c r="L486" s="31">
        <f>IF($E486="","",J486/(1-K486))</f>
        <v/>
      </c>
      <c r="M486" s="31">
        <f>IF($E486="","",I486/(1-K486))</f>
        <v/>
      </c>
      <c r="N486" s="31">
        <f>IF($E486="","",(B486+C486+D486)*Rate_Builder)</f>
        <v/>
      </c>
      <c r="O486" s="31">
        <f>IF($E486="","",E486*K486/(1-K486))</f>
        <v/>
      </c>
      <c r="P486" s="34">
        <f>IF(OR($E486="",B486=0),"",L486/B486*10000)</f>
        <v/>
      </c>
      <c r="Q486" s="34">
        <f>IF(OR($E486="",C486=0),"",F486/C486*10000)</f>
        <v/>
      </c>
      <c r="R486" s="34">
        <f>IF(OR($E486="",D486=0),"",'Daily Data'!I486/D486*10000)</f>
        <v/>
      </c>
    </row>
    <row r="487">
      <c r="A487" s="30" t="n">
        <v>46141</v>
      </c>
      <c r="B487" s="31">
        <f>'Daily Data'!B487-'Daily Data'!D487</f>
        <v/>
      </c>
      <c r="C487" s="32">
        <f>'Daily Data'!D487</f>
        <v/>
      </c>
      <c r="D487" s="32">
        <f>'Daily Data'!C487</f>
        <v/>
      </c>
      <c r="E487" s="32">
        <f>IF('Daily Data'!E487="","",'Daily Data'!E487)</f>
        <v/>
      </c>
      <c r="F487" s="32">
        <f>IF($E487="","",'Daily Data'!F487)</f>
        <v/>
      </c>
      <c r="G487" s="32">
        <f>IF($E487="","",'Daily Data'!G487)</f>
        <v/>
      </c>
      <c r="H487" s="31">
        <f>IF($E487="","",F487-G487)</f>
        <v/>
      </c>
      <c r="I487" s="32">
        <f>IF($E487="","",'Daily Data'!H487)</f>
        <v/>
      </c>
      <c r="J487" s="31">
        <f>IF($E487="","",E487-H487-I487)</f>
        <v/>
      </c>
      <c r="K487" s="33">
        <f>IF($E487="","",IF(A487&lt;HLP_ChangeDate,HLP_Legacy,HLP_Current))</f>
        <v/>
      </c>
      <c r="L487" s="31">
        <f>IF($E487="","",J487/(1-K487))</f>
        <v/>
      </c>
      <c r="M487" s="31">
        <f>IF($E487="","",I487/(1-K487))</f>
        <v/>
      </c>
      <c r="N487" s="31">
        <f>IF($E487="","",(B487+C487+D487)*Rate_Builder)</f>
        <v/>
      </c>
      <c r="O487" s="31">
        <f>IF($E487="","",E487*K487/(1-K487))</f>
        <v/>
      </c>
      <c r="P487" s="34">
        <f>IF(OR($E487="",B487=0),"",L487/B487*10000)</f>
        <v/>
      </c>
      <c r="Q487" s="34">
        <f>IF(OR($E487="",C487=0),"",F487/C487*10000)</f>
        <v/>
      </c>
      <c r="R487" s="34">
        <f>IF(OR($E487="",D487=0),"",'Daily Data'!I487/D487*10000)</f>
        <v/>
      </c>
    </row>
    <row r="488">
      <c r="A488" s="30" t="n">
        <v>46142</v>
      </c>
      <c r="B488" s="31">
        <f>'Daily Data'!B488-'Daily Data'!D488</f>
        <v/>
      </c>
      <c r="C488" s="32">
        <f>'Daily Data'!D488</f>
        <v/>
      </c>
      <c r="D488" s="32">
        <f>'Daily Data'!C488</f>
        <v/>
      </c>
      <c r="E488" s="32">
        <f>IF('Daily Data'!E488="","",'Daily Data'!E488)</f>
        <v/>
      </c>
      <c r="F488" s="32">
        <f>IF($E488="","",'Daily Data'!F488)</f>
        <v/>
      </c>
      <c r="G488" s="32">
        <f>IF($E488="","",'Daily Data'!G488)</f>
        <v/>
      </c>
      <c r="H488" s="31">
        <f>IF($E488="","",F488-G488)</f>
        <v/>
      </c>
      <c r="I488" s="32">
        <f>IF($E488="","",'Daily Data'!H488)</f>
        <v/>
      </c>
      <c r="J488" s="31">
        <f>IF($E488="","",E488-H488-I488)</f>
        <v/>
      </c>
      <c r="K488" s="33">
        <f>IF($E488="","",IF(A488&lt;HLP_ChangeDate,HLP_Legacy,HLP_Current))</f>
        <v/>
      </c>
      <c r="L488" s="31">
        <f>IF($E488="","",J488/(1-K488))</f>
        <v/>
      </c>
      <c r="M488" s="31">
        <f>IF($E488="","",I488/(1-K488))</f>
        <v/>
      </c>
      <c r="N488" s="31">
        <f>IF($E488="","",(B488+C488+D488)*Rate_Builder)</f>
        <v/>
      </c>
      <c r="O488" s="31">
        <f>IF($E488="","",E488*K488/(1-K488))</f>
        <v/>
      </c>
      <c r="P488" s="34">
        <f>IF(OR($E488="",B488=0),"",L488/B488*10000)</f>
        <v/>
      </c>
      <c r="Q488" s="34">
        <f>IF(OR($E488="",C488=0),"",F488/C488*10000)</f>
        <v/>
      </c>
      <c r="R488" s="34">
        <f>IF(OR($E488="",D488=0),"",'Daily Data'!I488/D488*10000)</f>
        <v/>
      </c>
    </row>
    <row r="489">
      <c r="A489" s="30" t="n">
        <v>46143</v>
      </c>
      <c r="B489" s="31">
        <f>'Daily Data'!B489-'Daily Data'!D489</f>
        <v/>
      </c>
      <c r="C489" s="32">
        <f>'Daily Data'!D489</f>
        <v/>
      </c>
      <c r="D489" s="32">
        <f>'Daily Data'!C489</f>
        <v/>
      </c>
      <c r="E489" s="32">
        <f>IF('Daily Data'!E489="","",'Daily Data'!E489)</f>
        <v/>
      </c>
      <c r="F489" s="32">
        <f>IF($E489="","",'Daily Data'!F489)</f>
        <v/>
      </c>
      <c r="G489" s="32">
        <f>IF($E489="","",'Daily Data'!G489)</f>
        <v/>
      </c>
      <c r="H489" s="31">
        <f>IF($E489="","",F489-G489)</f>
        <v/>
      </c>
      <c r="I489" s="32">
        <f>IF($E489="","",'Daily Data'!H489)</f>
        <v/>
      </c>
      <c r="J489" s="31">
        <f>IF($E489="","",E489-H489-I489)</f>
        <v/>
      </c>
      <c r="K489" s="33">
        <f>IF($E489="","",IF(A489&lt;HLP_ChangeDate,HLP_Legacy,HLP_Current))</f>
        <v/>
      </c>
      <c r="L489" s="31">
        <f>IF($E489="","",J489/(1-K489))</f>
        <v/>
      </c>
      <c r="M489" s="31">
        <f>IF($E489="","",I489/(1-K489))</f>
        <v/>
      </c>
      <c r="N489" s="31">
        <f>IF($E489="","",(B489+C489+D489)*Rate_Builder)</f>
        <v/>
      </c>
      <c r="O489" s="31">
        <f>IF($E489="","",E489*K489/(1-K489))</f>
        <v/>
      </c>
      <c r="P489" s="34">
        <f>IF(OR($E489="",B489=0),"",L489/B489*10000)</f>
        <v/>
      </c>
      <c r="Q489" s="34">
        <f>IF(OR($E489="",C489=0),"",F489/C489*10000)</f>
        <v/>
      </c>
      <c r="R489" s="34">
        <f>IF(OR($E489="",D489=0),"",'Daily Data'!I489/D489*10000)</f>
        <v/>
      </c>
    </row>
    <row r="490">
      <c r="A490" s="30" t="n">
        <v>46144</v>
      </c>
      <c r="B490" s="31">
        <f>'Daily Data'!B490-'Daily Data'!D490</f>
        <v/>
      </c>
      <c r="C490" s="32">
        <f>'Daily Data'!D490</f>
        <v/>
      </c>
      <c r="D490" s="32">
        <f>'Daily Data'!C490</f>
        <v/>
      </c>
      <c r="E490" s="32">
        <f>IF('Daily Data'!E490="","",'Daily Data'!E490)</f>
        <v/>
      </c>
      <c r="F490" s="32">
        <f>IF($E490="","",'Daily Data'!F490)</f>
        <v/>
      </c>
      <c r="G490" s="32">
        <f>IF($E490="","",'Daily Data'!G490)</f>
        <v/>
      </c>
      <c r="H490" s="31">
        <f>IF($E490="","",F490-G490)</f>
        <v/>
      </c>
      <c r="I490" s="32">
        <f>IF($E490="","",'Daily Data'!H490)</f>
        <v/>
      </c>
      <c r="J490" s="31">
        <f>IF($E490="","",E490-H490-I490)</f>
        <v/>
      </c>
      <c r="K490" s="33">
        <f>IF($E490="","",IF(A490&lt;HLP_ChangeDate,HLP_Legacy,HLP_Current))</f>
        <v/>
      </c>
      <c r="L490" s="31">
        <f>IF($E490="","",J490/(1-K490))</f>
        <v/>
      </c>
      <c r="M490" s="31">
        <f>IF($E490="","",I490/(1-K490))</f>
        <v/>
      </c>
      <c r="N490" s="31">
        <f>IF($E490="","",(B490+C490+D490)*Rate_Builder)</f>
        <v/>
      </c>
      <c r="O490" s="31">
        <f>IF($E490="","",E490*K490/(1-K490))</f>
        <v/>
      </c>
      <c r="P490" s="34">
        <f>IF(OR($E490="",B490=0),"",L490/B490*10000)</f>
        <v/>
      </c>
      <c r="Q490" s="34">
        <f>IF(OR($E490="",C490=0),"",F490/C490*10000)</f>
        <v/>
      </c>
      <c r="R490" s="34">
        <f>IF(OR($E490="",D490=0),"",'Daily Data'!I490/D490*10000)</f>
        <v/>
      </c>
    </row>
    <row r="491">
      <c r="A491" s="30" t="n">
        <v>46145</v>
      </c>
      <c r="B491" s="31">
        <f>'Daily Data'!B491-'Daily Data'!D491</f>
        <v/>
      </c>
      <c r="C491" s="32">
        <f>'Daily Data'!D491</f>
        <v/>
      </c>
      <c r="D491" s="32">
        <f>'Daily Data'!C491</f>
        <v/>
      </c>
      <c r="E491" s="32">
        <f>IF('Daily Data'!E491="","",'Daily Data'!E491)</f>
        <v/>
      </c>
      <c r="F491" s="32">
        <f>IF($E491="","",'Daily Data'!F491)</f>
        <v/>
      </c>
      <c r="G491" s="32">
        <f>IF($E491="","",'Daily Data'!G491)</f>
        <v/>
      </c>
      <c r="H491" s="31">
        <f>IF($E491="","",F491-G491)</f>
        <v/>
      </c>
      <c r="I491" s="32">
        <f>IF($E491="","",'Daily Data'!H491)</f>
        <v/>
      </c>
      <c r="J491" s="31">
        <f>IF($E491="","",E491-H491-I491)</f>
        <v/>
      </c>
      <c r="K491" s="33">
        <f>IF($E491="","",IF(A491&lt;HLP_ChangeDate,HLP_Legacy,HLP_Current))</f>
        <v/>
      </c>
      <c r="L491" s="31">
        <f>IF($E491="","",J491/(1-K491))</f>
        <v/>
      </c>
      <c r="M491" s="31">
        <f>IF($E491="","",I491/(1-K491))</f>
        <v/>
      </c>
      <c r="N491" s="31">
        <f>IF($E491="","",(B491+C491+D491)*Rate_Builder)</f>
        <v/>
      </c>
      <c r="O491" s="31">
        <f>IF($E491="","",E491*K491/(1-K491))</f>
        <v/>
      </c>
      <c r="P491" s="34">
        <f>IF(OR($E491="",B491=0),"",L491/B491*10000)</f>
        <v/>
      </c>
      <c r="Q491" s="34">
        <f>IF(OR($E491="",C491=0),"",F491/C491*10000)</f>
        <v/>
      </c>
      <c r="R491" s="34">
        <f>IF(OR($E491="",D491=0),"",'Daily Data'!I491/D491*10000)</f>
        <v/>
      </c>
    </row>
    <row r="492">
      <c r="A492" s="30" t="n">
        <v>46146</v>
      </c>
      <c r="B492" s="31">
        <f>'Daily Data'!B492-'Daily Data'!D492</f>
        <v/>
      </c>
      <c r="C492" s="32">
        <f>'Daily Data'!D492</f>
        <v/>
      </c>
      <c r="D492" s="32">
        <f>'Daily Data'!C492</f>
        <v/>
      </c>
      <c r="E492" s="32">
        <f>IF('Daily Data'!E492="","",'Daily Data'!E492)</f>
        <v/>
      </c>
      <c r="F492" s="32">
        <f>IF($E492="","",'Daily Data'!F492)</f>
        <v/>
      </c>
      <c r="G492" s="32">
        <f>IF($E492="","",'Daily Data'!G492)</f>
        <v/>
      </c>
      <c r="H492" s="31">
        <f>IF($E492="","",F492-G492)</f>
        <v/>
      </c>
      <c r="I492" s="32">
        <f>IF($E492="","",'Daily Data'!H492)</f>
        <v/>
      </c>
      <c r="J492" s="31">
        <f>IF($E492="","",E492-H492-I492)</f>
        <v/>
      </c>
      <c r="K492" s="33">
        <f>IF($E492="","",IF(A492&lt;HLP_ChangeDate,HLP_Legacy,HLP_Current))</f>
        <v/>
      </c>
      <c r="L492" s="31">
        <f>IF($E492="","",J492/(1-K492))</f>
        <v/>
      </c>
      <c r="M492" s="31">
        <f>IF($E492="","",I492/(1-K492))</f>
        <v/>
      </c>
      <c r="N492" s="31">
        <f>IF($E492="","",(B492+C492+D492)*Rate_Builder)</f>
        <v/>
      </c>
      <c r="O492" s="31">
        <f>IF($E492="","",E492*K492/(1-K492))</f>
        <v/>
      </c>
      <c r="P492" s="34">
        <f>IF(OR($E492="",B492=0),"",L492/B492*10000)</f>
        <v/>
      </c>
      <c r="Q492" s="34">
        <f>IF(OR($E492="",C492=0),"",F492/C492*10000)</f>
        <v/>
      </c>
      <c r="R492" s="34">
        <f>IF(OR($E492="",D492=0),"",'Daily Data'!I492/D492*10000)</f>
        <v/>
      </c>
    </row>
    <row r="493">
      <c r="A493" s="30" t="n">
        <v>46147</v>
      </c>
      <c r="B493" s="31">
        <f>'Daily Data'!B493-'Daily Data'!D493</f>
        <v/>
      </c>
      <c r="C493" s="32">
        <f>'Daily Data'!D493</f>
        <v/>
      </c>
      <c r="D493" s="32">
        <f>'Daily Data'!C493</f>
        <v/>
      </c>
      <c r="E493" s="32">
        <f>IF('Daily Data'!E493="","",'Daily Data'!E493)</f>
        <v/>
      </c>
      <c r="F493" s="32">
        <f>IF($E493="","",'Daily Data'!F493)</f>
        <v/>
      </c>
      <c r="G493" s="32">
        <f>IF($E493="","",'Daily Data'!G493)</f>
        <v/>
      </c>
      <c r="H493" s="31">
        <f>IF($E493="","",F493-G493)</f>
        <v/>
      </c>
      <c r="I493" s="32">
        <f>IF($E493="","",'Daily Data'!H493)</f>
        <v/>
      </c>
      <c r="J493" s="31">
        <f>IF($E493="","",E493-H493-I493)</f>
        <v/>
      </c>
      <c r="K493" s="33">
        <f>IF($E493="","",IF(A493&lt;HLP_ChangeDate,HLP_Legacy,HLP_Current))</f>
        <v/>
      </c>
      <c r="L493" s="31">
        <f>IF($E493="","",J493/(1-K493))</f>
        <v/>
      </c>
      <c r="M493" s="31">
        <f>IF($E493="","",I493/(1-K493))</f>
        <v/>
      </c>
      <c r="N493" s="31">
        <f>IF($E493="","",(B493+C493+D493)*Rate_Builder)</f>
        <v/>
      </c>
      <c r="O493" s="31">
        <f>IF($E493="","",E493*K493/(1-K493))</f>
        <v/>
      </c>
      <c r="P493" s="34">
        <f>IF(OR($E493="",B493=0),"",L493/B493*10000)</f>
        <v/>
      </c>
      <c r="Q493" s="34">
        <f>IF(OR($E493="",C493=0),"",F493/C493*10000)</f>
        <v/>
      </c>
      <c r="R493" s="34">
        <f>IF(OR($E493="",D493=0),"",'Daily Data'!I493/D493*10000)</f>
        <v/>
      </c>
    </row>
    <row r="494">
      <c r="A494" s="30" t="n">
        <v>46148</v>
      </c>
      <c r="B494" s="31">
        <f>'Daily Data'!B494-'Daily Data'!D494</f>
        <v/>
      </c>
      <c r="C494" s="32">
        <f>'Daily Data'!D494</f>
        <v/>
      </c>
      <c r="D494" s="32">
        <f>'Daily Data'!C494</f>
        <v/>
      </c>
      <c r="E494" s="32">
        <f>IF('Daily Data'!E494="","",'Daily Data'!E494)</f>
        <v/>
      </c>
      <c r="F494" s="32">
        <f>IF($E494="","",'Daily Data'!F494)</f>
        <v/>
      </c>
      <c r="G494" s="32">
        <f>IF($E494="","",'Daily Data'!G494)</f>
        <v/>
      </c>
      <c r="H494" s="31">
        <f>IF($E494="","",F494-G494)</f>
        <v/>
      </c>
      <c r="I494" s="32">
        <f>IF($E494="","",'Daily Data'!H494)</f>
        <v/>
      </c>
      <c r="J494" s="31">
        <f>IF($E494="","",E494-H494-I494)</f>
        <v/>
      </c>
      <c r="K494" s="33">
        <f>IF($E494="","",IF(A494&lt;HLP_ChangeDate,HLP_Legacy,HLP_Current))</f>
        <v/>
      </c>
      <c r="L494" s="31">
        <f>IF($E494="","",J494/(1-K494))</f>
        <v/>
      </c>
      <c r="M494" s="31">
        <f>IF($E494="","",I494/(1-K494))</f>
        <v/>
      </c>
      <c r="N494" s="31">
        <f>IF($E494="","",(B494+C494+D494)*Rate_Builder)</f>
        <v/>
      </c>
      <c r="O494" s="31">
        <f>IF($E494="","",E494*K494/(1-K494))</f>
        <v/>
      </c>
      <c r="P494" s="34">
        <f>IF(OR($E494="",B494=0),"",L494/B494*10000)</f>
        <v/>
      </c>
      <c r="Q494" s="34">
        <f>IF(OR($E494="",C494=0),"",F494/C494*10000)</f>
        <v/>
      </c>
      <c r="R494" s="34">
        <f>IF(OR($E494="",D494=0),"",'Daily Data'!I494/D494*10000)</f>
        <v/>
      </c>
    </row>
    <row r="495">
      <c r="A495" s="30" t="n">
        <v>46149</v>
      </c>
      <c r="B495" s="31">
        <f>'Daily Data'!B495-'Daily Data'!D495</f>
        <v/>
      </c>
      <c r="C495" s="32">
        <f>'Daily Data'!D495</f>
        <v/>
      </c>
      <c r="D495" s="32">
        <f>'Daily Data'!C495</f>
        <v/>
      </c>
      <c r="E495" s="32">
        <f>IF('Daily Data'!E495="","",'Daily Data'!E495)</f>
        <v/>
      </c>
      <c r="F495" s="32">
        <f>IF($E495="","",'Daily Data'!F495)</f>
        <v/>
      </c>
      <c r="G495" s="32">
        <f>IF($E495="","",'Daily Data'!G495)</f>
        <v/>
      </c>
      <c r="H495" s="31">
        <f>IF($E495="","",F495-G495)</f>
        <v/>
      </c>
      <c r="I495" s="32">
        <f>IF($E495="","",'Daily Data'!H495)</f>
        <v/>
      </c>
      <c r="J495" s="31">
        <f>IF($E495="","",E495-H495-I495)</f>
        <v/>
      </c>
      <c r="K495" s="33">
        <f>IF($E495="","",IF(A495&lt;HLP_ChangeDate,HLP_Legacy,HLP_Current))</f>
        <v/>
      </c>
      <c r="L495" s="31">
        <f>IF($E495="","",J495/(1-K495))</f>
        <v/>
      </c>
      <c r="M495" s="31">
        <f>IF($E495="","",I495/(1-K495))</f>
        <v/>
      </c>
      <c r="N495" s="31">
        <f>IF($E495="","",(B495+C495+D495)*Rate_Builder)</f>
        <v/>
      </c>
      <c r="O495" s="31">
        <f>IF($E495="","",E495*K495/(1-K495))</f>
        <v/>
      </c>
      <c r="P495" s="34">
        <f>IF(OR($E495="",B495=0),"",L495/B495*10000)</f>
        <v/>
      </c>
      <c r="Q495" s="34">
        <f>IF(OR($E495="",C495=0),"",F495/C495*10000)</f>
        <v/>
      </c>
      <c r="R495" s="34">
        <f>IF(OR($E495="",D495=0),"",'Daily Data'!I495/D495*10000)</f>
        <v/>
      </c>
    </row>
    <row r="496">
      <c r="A496" s="30" t="n">
        <v>46150</v>
      </c>
      <c r="B496" s="31">
        <f>'Daily Data'!B496-'Daily Data'!D496</f>
        <v/>
      </c>
      <c r="C496" s="32">
        <f>'Daily Data'!D496</f>
        <v/>
      </c>
      <c r="D496" s="32">
        <f>'Daily Data'!C496</f>
        <v/>
      </c>
      <c r="E496" s="32">
        <f>IF('Daily Data'!E496="","",'Daily Data'!E496)</f>
        <v/>
      </c>
      <c r="F496" s="32">
        <f>IF($E496="","",'Daily Data'!F496)</f>
        <v/>
      </c>
      <c r="G496" s="32">
        <f>IF($E496="","",'Daily Data'!G496)</f>
        <v/>
      </c>
      <c r="H496" s="31">
        <f>IF($E496="","",F496-G496)</f>
        <v/>
      </c>
      <c r="I496" s="32">
        <f>IF($E496="","",'Daily Data'!H496)</f>
        <v/>
      </c>
      <c r="J496" s="31">
        <f>IF($E496="","",E496-H496-I496)</f>
        <v/>
      </c>
      <c r="K496" s="33">
        <f>IF($E496="","",IF(A496&lt;HLP_ChangeDate,HLP_Legacy,HLP_Current))</f>
        <v/>
      </c>
      <c r="L496" s="31">
        <f>IF($E496="","",J496/(1-K496))</f>
        <v/>
      </c>
      <c r="M496" s="31">
        <f>IF($E496="","",I496/(1-K496))</f>
        <v/>
      </c>
      <c r="N496" s="31">
        <f>IF($E496="","",(B496+C496+D496)*Rate_Builder)</f>
        <v/>
      </c>
      <c r="O496" s="31">
        <f>IF($E496="","",E496*K496/(1-K496))</f>
        <v/>
      </c>
      <c r="P496" s="34">
        <f>IF(OR($E496="",B496=0),"",L496/B496*10000)</f>
        <v/>
      </c>
      <c r="Q496" s="34">
        <f>IF(OR($E496="",C496=0),"",F496/C496*10000)</f>
        <v/>
      </c>
      <c r="R496" s="34">
        <f>IF(OR($E496="",D496=0),"",'Daily Data'!I496/D496*10000)</f>
        <v/>
      </c>
    </row>
    <row r="497">
      <c r="A497" s="30" t="n">
        <v>46151</v>
      </c>
      <c r="B497" s="31">
        <f>'Daily Data'!B497-'Daily Data'!D497</f>
        <v/>
      </c>
      <c r="C497" s="32">
        <f>'Daily Data'!D497</f>
        <v/>
      </c>
      <c r="D497" s="32">
        <f>'Daily Data'!C497</f>
        <v/>
      </c>
      <c r="E497" s="32">
        <f>IF('Daily Data'!E497="","",'Daily Data'!E497)</f>
        <v/>
      </c>
      <c r="F497" s="32">
        <f>IF($E497="","",'Daily Data'!F497)</f>
        <v/>
      </c>
      <c r="G497" s="32">
        <f>IF($E497="","",'Daily Data'!G497)</f>
        <v/>
      </c>
      <c r="H497" s="31">
        <f>IF($E497="","",F497-G497)</f>
        <v/>
      </c>
      <c r="I497" s="32">
        <f>IF($E497="","",'Daily Data'!H497)</f>
        <v/>
      </c>
      <c r="J497" s="31">
        <f>IF($E497="","",E497-H497-I497)</f>
        <v/>
      </c>
      <c r="K497" s="33">
        <f>IF($E497="","",IF(A497&lt;HLP_ChangeDate,HLP_Legacy,HLP_Current))</f>
        <v/>
      </c>
      <c r="L497" s="31">
        <f>IF($E497="","",J497/(1-K497))</f>
        <v/>
      </c>
      <c r="M497" s="31">
        <f>IF($E497="","",I497/(1-K497))</f>
        <v/>
      </c>
      <c r="N497" s="31">
        <f>IF($E497="","",(B497+C497+D497)*Rate_Builder)</f>
        <v/>
      </c>
      <c r="O497" s="31">
        <f>IF($E497="","",E497*K497/(1-K497))</f>
        <v/>
      </c>
      <c r="P497" s="34">
        <f>IF(OR($E497="",B497=0),"",L497/B497*10000)</f>
        <v/>
      </c>
      <c r="Q497" s="34">
        <f>IF(OR($E497="",C497=0),"",F497/C497*10000)</f>
        <v/>
      </c>
      <c r="R497" s="34">
        <f>IF(OR($E497="",D497=0),"",'Daily Data'!I497/D497*10000)</f>
        <v/>
      </c>
    </row>
    <row r="498">
      <c r="A498" s="30" t="n">
        <v>46152</v>
      </c>
      <c r="B498" s="31">
        <f>'Daily Data'!B498-'Daily Data'!D498</f>
        <v/>
      </c>
      <c r="C498" s="32">
        <f>'Daily Data'!D498</f>
        <v/>
      </c>
      <c r="D498" s="32">
        <f>'Daily Data'!C498</f>
        <v/>
      </c>
      <c r="E498" s="32">
        <f>IF('Daily Data'!E498="","",'Daily Data'!E498)</f>
        <v/>
      </c>
      <c r="F498" s="32">
        <f>IF($E498="","",'Daily Data'!F498)</f>
        <v/>
      </c>
      <c r="G498" s="32">
        <f>IF($E498="","",'Daily Data'!G498)</f>
        <v/>
      </c>
      <c r="H498" s="31">
        <f>IF($E498="","",F498-G498)</f>
        <v/>
      </c>
      <c r="I498" s="32">
        <f>IF($E498="","",'Daily Data'!H498)</f>
        <v/>
      </c>
      <c r="J498" s="31">
        <f>IF($E498="","",E498-H498-I498)</f>
        <v/>
      </c>
      <c r="K498" s="33">
        <f>IF($E498="","",IF(A498&lt;HLP_ChangeDate,HLP_Legacy,HLP_Current))</f>
        <v/>
      </c>
      <c r="L498" s="31">
        <f>IF($E498="","",J498/(1-K498))</f>
        <v/>
      </c>
      <c r="M498" s="31">
        <f>IF($E498="","",I498/(1-K498))</f>
        <v/>
      </c>
      <c r="N498" s="31">
        <f>IF($E498="","",(B498+C498+D498)*Rate_Builder)</f>
        <v/>
      </c>
      <c r="O498" s="31">
        <f>IF($E498="","",E498*K498/(1-K498))</f>
        <v/>
      </c>
      <c r="P498" s="34">
        <f>IF(OR($E498="",B498=0),"",L498/B498*10000)</f>
        <v/>
      </c>
      <c r="Q498" s="34">
        <f>IF(OR($E498="",C498=0),"",F498/C498*10000)</f>
        <v/>
      </c>
      <c r="R498" s="34">
        <f>IF(OR($E498="",D498=0),"",'Daily Data'!I498/D498*10000)</f>
        <v/>
      </c>
    </row>
    <row r="499">
      <c r="A499" s="30" t="n">
        <v>46153</v>
      </c>
      <c r="B499" s="31">
        <f>'Daily Data'!B499-'Daily Data'!D499</f>
        <v/>
      </c>
      <c r="C499" s="32">
        <f>'Daily Data'!D499</f>
        <v/>
      </c>
      <c r="D499" s="32">
        <f>'Daily Data'!C499</f>
        <v/>
      </c>
      <c r="E499" s="32">
        <f>IF('Daily Data'!E499="","",'Daily Data'!E499)</f>
        <v/>
      </c>
      <c r="F499" s="32">
        <f>IF($E499="","",'Daily Data'!F499)</f>
        <v/>
      </c>
      <c r="G499" s="32">
        <f>IF($E499="","",'Daily Data'!G499)</f>
        <v/>
      </c>
      <c r="H499" s="31">
        <f>IF($E499="","",F499-G499)</f>
        <v/>
      </c>
      <c r="I499" s="32">
        <f>IF($E499="","",'Daily Data'!H499)</f>
        <v/>
      </c>
      <c r="J499" s="31">
        <f>IF($E499="","",E499-H499-I499)</f>
        <v/>
      </c>
      <c r="K499" s="33">
        <f>IF($E499="","",IF(A499&lt;HLP_ChangeDate,HLP_Legacy,HLP_Current))</f>
        <v/>
      </c>
      <c r="L499" s="31">
        <f>IF($E499="","",J499/(1-K499))</f>
        <v/>
      </c>
      <c r="M499" s="31">
        <f>IF($E499="","",I499/(1-K499))</f>
        <v/>
      </c>
      <c r="N499" s="31">
        <f>IF($E499="","",(B499+C499+D499)*Rate_Builder)</f>
        <v/>
      </c>
      <c r="O499" s="31">
        <f>IF($E499="","",E499*K499/(1-K499))</f>
        <v/>
      </c>
      <c r="P499" s="34">
        <f>IF(OR($E499="",B499=0),"",L499/B499*10000)</f>
        <v/>
      </c>
      <c r="Q499" s="34">
        <f>IF(OR($E499="",C499=0),"",F499/C499*10000)</f>
        <v/>
      </c>
      <c r="R499" s="34">
        <f>IF(OR($E499="",D499=0),"",'Daily Data'!I499/D499*10000)</f>
        <v/>
      </c>
    </row>
    <row r="500">
      <c r="A500" s="30" t="n">
        <v>46154</v>
      </c>
      <c r="B500" s="31">
        <f>'Daily Data'!B500-'Daily Data'!D500</f>
        <v/>
      </c>
      <c r="C500" s="32">
        <f>'Daily Data'!D500</f>
        <v/>
      </c>
      <c r="D500" s="32">
        <f>'Daily Data'!C500</f>
        <v/>
      </c>
      <c r="E500" s="32">
        <f>IF('Daily Data'!E500="","",'Daily Data'!E500)</f>
        <v/>
      </c>
      <c r="F500" s="32">
        <f>IF($E500="","",'Daily Data'!F500)</f>
        <v/>
      </c>
      <c r="G500" s="32">
        <f>IF($E500="","",'Daily Data'!G500)</f>
        <v/>
      </c>
      <c r="H500" s="31">
        <f>IF($E500="","",F500-G500)</f>
        <v/>
      </c>
      <c r="I500" s="32">
        <f>IF($E500="","",'Daily Data'!H500)</f>
        <v/>
      </c>
      <c r="J500" s="31">
        <f>IF($E500="","",E500-H500-I500)</f>
        <v/>
      </c>
      <c r="K500" s="33">
        <f>IF($E500="","",IF(A500&lt;HLP_ChangeDate,HLP_Legacy,HLP_Current))</f>
        <v/>
      </c>
      <c r="L500" s="31">
        <f>IF($E500="","",J500/(1-K500))</f>
        <v/>
      </c>
      <c r="M500" s="31">
        <f>IF($E500="","",I500/(1-K500))</f>
        <v/>
      </c>
      <c r="N500" s="31">
        <f>IF($E500="","",(B500+C500+D500)*Rate_Builder)</f>
        <v/>
      </c>
      <c r="O500" s="31">
        <f>IF($E500="","",E500*K500/(1-K500))</f>
        <v/>
      </c>
      <c r="P500" s="34">
        <f>IF(OR($E500="",B500=0),"",L500/B500*10000)</f>
        <v/>
      </c>
      <c r="Q500" s="34">
        <f>IF(OR($E500="",C500=0),"",F500/C500*10000)</f>
        <v/>
      </c>
      <c r="R500" s="34">
        <f>IF(OR($E500="",D500=0),"",'Daily Data'!I500/D500*10000)</f>
        <v/>
      </c>
    </row>
    <row r="501">
      <c r="A501" s="30" t="n">
        <v>46155</v>
      </c>
      <c r="B501" s="31">
        <f>'Daily Data'!B501-'Daily Data'!D501</f>
        <v/>
      </c>
      <c r="C501" s="32">
        <f>'Daily Data'!D501</f>
        <v/>
      </c>
      <c r="D501" s="32">
        <f>'Daily Data'!C501</f>
        <v/>
      </c>
      <c r="E501" s="32">
        <f>IF('Daily Data'!E501="","",'Daily Data'!E501)</f>
        <v/>
      </c>
      <c r="F501" s="32">
        <f>IF($E501="","",'Daily Data'!F501)</f>
        <v/>
      </c>
      <c r="G501" s="32">
        <f>IF($E501="","",'Daily Data'!G501)</f>
        <v/>
      </c>
      <c r="H501" s="31">
        <f>IF($E501="","",F501-G501)</f>
        <v/>
      </c>
      <c r="I501" s="32">
        <f>IF($E501="","",'Daily Data'!H501)</f>
        <v/>
      </c>
      <c r="J501" s="31">
        <f>IF($E501="","",E501-H501-I501)</f>
        <v/>
      </c>
      <c r="K501" s="33">
        <f>IF($E501="","",IF(A501&lt;HLP_ChangeDate,HLP_Legacy,HLP_Current))</f>
        <v/>
      </c>
      <c r="L501" s="31">
        <f>IF($E501="","",J501/(1-K501))</f>
        <v/>
      </c>
      <c r="M501" s="31">
        <f>IF($E501="","",I501/(1-K501))</f>
        <v/>
      </c>
      <c r="N501" s="31">
        <f>IF($E501="","",(B501+C501+D501)*Rate_Builder)</f>
        <v/>
      </c>
      <c r="O501" s="31">
        <f>IF($E501="","",E501*K501/(1-K501))</f>
        <v/>
      </c>
      <c r="P501" s="34">
        <f>IF(OR($E501="",B501=0),"",L501/B501*10000)</f>
        <v/>
      </c>
      <c r="Q501" s="34">
        <f>IF(OR($E501="",C501=0),"",F501/C501*10000)</f>
        <v/>
      </c>
      <c r="R501" s="34">
        <f>IF(OR($E501="",D501=0),"",'Daily Data'!I501/D501*10000)</f>
        <v/>
      </c>
    </row>
    <row r="502">
      <c r="A502" s="30" t="n">
        <v>46156</v>
      </c>
      <c r="B502" s="31">
        <f>'Daily Data'!B502-'Daily Data'!D502</f>
        <v/>
      </c>
      <c r="C502" s="32">
        <f>'Daily Data'!D502</f>
        <v/>
      </c>
      <c r="D502" s="32">
        <f>'Daily Data'!C502</f>
        <v/>
      </c>
      <c r="E502" s="32">
        <f>IF('Daily Data'!E502="","",'Daily Data'!E502)</f>
        <v/>
      </c>
      <c r="F502" s="32">
        <f>IF($E502="","",'Daily Data'!F502)</f>
        <v/>
      </c>
      <c r="G502" s="32">
        <f>IF($E502="","",'Daily Data'!G502)</f>
        <v/>
      </c>
      <c r="H502" s="31">
        <f>IF($E502="","",F502-G502)</f>
        <v/>
      </c>
      <c r="I502" s="32">
        <f>IF($E502="","",'Daily Data'!H502)</f>
        <v/>
      </c>
      <c r="J502" s="31">
        <f>IF($E502="","",E502-H502-I502)</f>
        <v/>
      </c>
      <c r="K502" s="33">
        <f>IF($E502="","",IF(A502&lt;HLP_ChangeDate,HLP_Legacy,HLP_Current))</f>
        <v/>
      </c>
      <c r="L502" s="31">
        <f>IF($E502="","",J502/(1-K502))</f>
        <v/>
      </c>
      <c r="M502" s="31">
        <f>IF($E502="","",I502/(1-K502))</f>
        <v/>
      </c>
      <c r="N502" s="31">
        <f>IF($E502="","",(B502+C502+D502)*Rate_Builder)</f>
        <v/>
      </c>
      <c r="O502" s="31">
        <f>IF($E502="","",E502*K502/(1-K502))</f>
        <v/>
      </c>
      <c r="P502" s="34">
        <f>IF(OR($E502="",B502=0),"",L502/B502*10000)</f>
        <v/>
      </c>
      <c r="Q502" s="34">
        <f>IF(OR($E502="",C502=0),"",F502/C502*10000)</f>
        <v/>
      </c>
      <c r="R502" s="34">
        <f>IF(OR($E502="",D502=0),"",'Daily Data'!I502/D502*10000)</f>
        <v/>
      </c>
    </row>
    <row r="503">
      <c r="A503" s="30" t="n">
        <v>46157</v>
      </c>
      <c r="B503" s="31">
        <f>'Daily Data'!B503-'Daily Data'!D503</f>
        <v/>
      </c>
      <c r="C503" s="32">
        <f>'Daily Data'!D503</f>
        <v/>
      </c>
      <c r="D503" s="32">
        <f>'Daily Data'!C503</f>
        <v/>
      </c>
      <c r="E503" s="32">
        <f>IF('Daily Data'!E503="","",'Daily Data'!E503)</f>
        <v/>
      </c>
      <c r="F503" s="32">
        <f>IF($E503="","",'Daily Data'!F503)</f>
        <v/>
      </c>
      <c r="G503" s="32">
        <f>IF($E503="","",'Daily Data'!G503)</f>
        <v/>
      </c>
      <c r="H503" s="31">
        <f>IF($E503="","",F503-G503)</f>
        <v/>
      </c>
      <c r="I503" s="32">
        <f>IF($E503="","",'Daily Data'!H503)</f>
        <v/>
      </c>
      <c r="J503" s="31">
        <f>IF($E503="","",E503-H503-I503)</f>
        <v/>
      </c>
      <c r="K503" s="33">
        <f>IF($E503="","",IF(A503&lt;HLP_ChangeDate,HLP_Legacy,HLP_Current))</f>
        <v/>
      </c>
      <c r="L503" s="31">
        <f>IF($E503="","",J503/(1-K503))</f>
        <v/>
      </c>
      <c r="M503" s="31">
        <f>IF($E503="","",I503/(1-K503))</f>
        <v/>
      </c>
      <c r="N503" s="31">
        <f>IF($E503="","",(B503+C503+D503)*Rate_Builder)</f>
        <v/>
      </c>
      <c r="O503" s="31">
        <f>IF($E503="","",E503*K503/(1-K503))</f>
        <v/>
      </c>
      <c r="P503" s="34">
        <f>IF(OR($E503="",B503=0),"",L503/B503*10000)</f>
        <v/>
      </c>
      <c r="Q503" s="34">
        <f>IF(OR($E503="",C503=0),"",F503/C503*10000)</f>
        <v/>
      </c>
      <c r="R503" s="34">
        <f>IF(OR($E503="",D503=0),"",'Daily Data'!I503/D503*10000)</f>
        <v/>
      </c>
    </row>
    <row r="504">
      <c r="A504" s="30" t="n">
        <v>46158</v>
      </c>
      <c r="B504" s="31">
        <f>'Daily Data'!B504-'Daily Data'!D504</f>
        <v/>
      </c>
      <c r="C504" s="32">
        <f>'Daily Data'!D504</f>
        <v/>
      </c>
      <c r="D504" s="32">
        <f>'Daily Data'!C504</f>
        <v/>
      </c>
      <c r="E504" s="32">
        <f>IF('Daily Data'!E504="","",'Daily Data'!E504)</f>
        <v/>
      </c>
      <c r="F504" s="32">
        <f>IF($E504="","",'Daily Data'!F504)</f>
        <v/>
      </c>
      <c r="G504" s="32">
        <f>IF($E504="","",'Daily Data'!G504)</f>
        <v/>
      </c>
      <c r="H504" s="31">
        <f>IF($E504="","",F504-G504)</f>
        <v/>
      </c>
      <c r="I504" s="32">
        <f>IF($E504="","",'Daily Data'!H504)</f>
        <v/>
      </c>
      <c r="J504" s="31">
        <f>IF($E504="","",E504-H504-I504)</f>
        <v/>
      </c>
      <c r="K504" s="33">
        <f>IF($E504="","",IF(A504&lt;HLP_ChangeDate,HLP_Legacy,HLP_Current))</f>
        <v/>
      </c>
      <c r="L504" s="31">
        <f>IF($E504="","",J504/(1-K504))</f>
        <v/>
      </c>
      <c r="M504" s="31">
        <f>IF($E504="","",I504/(1-K504))</f>
        <v/>
      </c>
      <c r="N504" s="31">
        <f>IF($E504="","",(B504+C504+D504)*Rate_Builder)</f>
        <v/>
      </c>
      <c r="O504" s="31">
        <f>IF($E504="","",E504*K504/(1-K504))</f>
        <v/>
      </c>
      <c r="P504" s="34">
        <f>IF(OR($E504="",B504=0),"",L504/B504*10000)</f>
        <v/>
      </c>
      <c r="Q504" s="34">
        <f>IF(OR($E504="",C504=0),"",F504/C504*10000)</f>
        <v/>
      </c>
      <c r="R504" s="34">
        <f>IF(OR($E504="",D504=0),"",'Daily Data'!I504/D504*10000)</f>
        <v/>
      </c>
    </row>
    <row r="505">
      <c r="A505" s="30" t="n">
        <v>46159</v>
      </c>
      <c r="B505" s="31">
        <f>'Daily Data'!B505-'Daily Data'!D505</f>
        <v/>
      </c>
      <c r="C505" s="32">
        <f>'Daily Data'!D505</f>
        <v/>
      </c>
      <c r="D505" s="32">
        <f>'Daily Data'!C505</f>
        <v/>
      </c>
      <c r="E505" s="32">
        <f>IF('Daily Data'!E505="","",'Daily Data'!E505)</f>
        <v/>
      </c>
      <c r="F505" s="32">
        <f>IF($E505="","",'Daily Data'!F505)</f>
        <v/>
      </c>
      <c r="G505" s="32">
        <f>IF($E505="","",'Daily Data'!G505)</f>
        <v/>
      </c>
      <c r="H505" s="31">
        <f>IF($E505="","",F505-G505)</f>
        <v/>
      </c>
      <c r="I505" s="32">
        <f>IF($E505="","",'Daily Data'!H505)</f>
        <v/>
      </c>
      <c r="J505" s="31">
        <f>IF($E505="","",E505-H505-I505)</f>
        <v/>
      </c>
      <c r="K505" s="33">
        <f>IF($E505="","",IF(A505&lt;HLP_ChangeDate,HLP_Legacy,HLP_Current))</f>
        <v/>
      </c>
      <c r="L505" s="31">
        <f>IF($E505="","",J505/(1-K505))</f>
        <v/>
      </c>
      <c r="M505" s="31">
        <f>IF($E505="","",I505/(1-K505))</f>
        <v/>
      </c>
      <c r="N505" s="31">
        <f>IF($E505="","",(B505+C505+D505)*Rate_Builder)</f>
        <v/>
      </c>
      <c r="O505" s="31">
        <f>IF($E505="","",E505*K505/(1-K505))</f>
        <v/>
      </c>
      <c r="P505" s="34">
        <f>IF(OR($E505="",B505=0),"",L505/B505*10000)</f>
        <v/>
      </c>
      <c r="Q505" s="34">
        <f>IF(OR($E505="",C505=0),"",F505/C505*10000)</f>
        <v/>
      </c>
      <c r="R505" s="34">
        <f>IF(OR($E505="",D505=0),"",'Daily Data'!I505/D505*10000)</f>
        <v/>
      </c>
    </row>
    <row r="506">
      <c r="A506" s="30" t="n">
        <v>46160</v>
      </c>
      <c r="B506" s="31">
        <f>'Daily Data'!B506-'Daily Data'!D506</f>
        <v/>
      </c>
      <c r="C506" s="32">
        <f>'Daily Data'!D506</f>
        <v/>
      </c>
      <c r="D506" s="32">
        <f>'Daily Data'!C506</f>
        <v/>
      </c>
      <c r="E506" s="32">
        <f>IF('Daily Data'!E506="","",'Daily Data'!E506)</f>
        <v/>
      </c>
      <c r="F506" s="32">
        <f>IF($E506="","",'Daily Data'!F506)</f>
        <v/>
      </c>
      <c r="G506" s="32">
        <f>IF($E506="","",'Daily Data'!G506)</f>
        <v/>
      </c>
      <c r="H506" s="31">
        <f>IF($E506="","",F506-G506)</f>
        <v/>
      </c>
      <c r="I506" s="32">
        <f>IF($E506="","",'Daily Data'!H506)</f>
        <v/>
      </c>
      <c r="J506" s="31">
        <f>IF($E506="","",E506-H506-I506)</f>
        <v/>
      </c>
      <c r="K506" s="33">
        <f>IF($E506="","",IF(A506&lt;HLP_ChangeDate,HLP_Legacy,HLP_Current))</f>
        <v/>
      </c>
      <c r="L506" s="31">
        <f>IF($E506="","",J506/(1-K506))</f>
        <v/>
      </c>
      <c r="M506" s="31">
        <f>IF($E506="","",I506/(1-K506))</f>
        <v/>
      </c>
      <c r="N506" s="31">
        <f>IF($E506="","",(B506+C506+D506)*Rate_Builder)</f>
        <v/>
      </c>
      <c r="O506" s="31">
        <f>IF($E506="","",E506*K506/(1-K506))</f>
        <v/>
      </c>
      <c r="P506" s="34">
        <f>IF(OR($E506="",B506=0),"",L506/B506*10000)</f>
        <v/>
      </c>
      <c r="Q506" s="34">
        <f>IF(OR($E506="",C506=0),"",F506/C506*10000)</f>
        <v/>
      </c>
      <c r="R506" s="34">
        <f>IF(OR($E506="",D506=0),"",'Daily Data'!I506/D506*10000)</f>
        <v/>
      </c>
    </row>
    <row r="507">
      <c r="A507" s="30" t="n">
        <v>46161</v>
      </c>
      <c r="B507" s="31">
        <f>'Daily Data'!B507-'Daily Data'!D507</f>
        <v/>
      </c>
      <c r="C507" s="32">
        <f>'Daily Data'!D507</f>
        <v/>
      </c>
      <c r="D507" s="32">
        <f>'Daily Data'!C507</f>
        <v/>
      </c>
      <c r="E507" s="32">
        <f>IF('Daily Data'!E507="","",'Daily Data'!E507)</f>
        <v/>
      </c>
      <c r="F507" s="32">
        <f>IF($E507="","",'Daily Data'!F507)</f>
        <v/>
      </c>
      <c r="G507" s="32">
        <f>IF($E507="","",'Daily Data'!G507)</f>
        <v/>
      </c>
      <c r="H507" s="31">
        <f>IF($E507="","",F507-G507)</f>
        <v/>
      </c>
      <c r="I507" s="32">
        <f>IF($E507="","",'Daily Data'!H507)</f>
        <v/>
      </c>
      <c r="J507" s="31">
        <f>IF($E507="","",E507-H507-I507)</f>
        <v/>
      </c>
      <c r="K507" s="33">
        <f>IF($E507="","",IF(A507&lt;HLP_ChangeDate,HLP_Legacy,HLP_Current))</f>
        <v/>
      </c>
      <c r="L507" s="31">
        <f>IF($E507="","",J507/(1-K507))</f>
        <v/>
      </c>
      <c r="M507" s="31">
        <f>IF($E507="","",I507/(1-K507))</f>
        <v/>
      </c>
      <c r="N507" s="31">
        <f>IF($E507="","",(B507+C507+D507)*Rate_Builder)</f>
        <v/>
      </c>
      <c r="O507" s="31">
        <f>IF($E507="","",E507*K507/(1-K507))</f>
        <v/>
      </c>
      <c r="P507" s="34">
        <f>IF(OR($E507="",B507=0),"",L507/B507*10000)</f>
        <v/>
      </c>
      <c r="Q507" s="34">
        <f>IF(OR($E507="",C507=0),"",F507/C507*10000)</f>
        <v/>
      </c>
      <c r="R507" s="34">
        <f>IF(OR($E507="",D507=0),"",'Daily Data'!I507/D507*10000)</f>
        <v/>
      </c>
    </row>
    <row r="508">
      <c r="A508" s="30" t="n">
        <v>46162</v>
      </c>
      <c r="B508" s="31">
        <f>'Daily Data'!B508-'Daily Data'!D508</f>
        <v/>
      </c>
      <c r="C508" s="32">
        <f>'Daily Data'!D508</f>
        <v/>
      </c>
      <c r="D508" s="32">
        <f>'Daily Data'!C508</f>
        <v/>
      </c>
      <c r="E508" s="32">
        <f>IF('Daily Data'!E508="","",'Daily Data'!E508)</f>
        <v/>
      </c>
      <c r="F508" s="32">
        <f>IF($E508="","",'Daily Data'!F508)</f>
        <v/>
      </c>
      <c r="G508" s="32">
        <f>IF($E508="","",'Daily Data'!G508)</f>
        <v/>
      </c>
      <c r="H508" s="31">
        <f>IF($E508="","",F508-G508)</f>
        <v/>
      </c>
      <c r="I508" s="32">
        <f>IF($E508="","",'Daily Data'!H508)</f>
        <v/>
      </c>
      <c r="J508" s="31">
        <f>IF($E508="","",E508-H508-I508)</f>
        <v/>
      </c>
      <c r="K508" s="33">
        <f>IF($E508="","",IF(A508&lt;HLP_ChangeDate,HLP_Legacy,HLP_Current))</f>
        <v/>
      </c>
      <c r="L508" s="31">
        <f>IF($E508="","",J508/(1-K508))</f>
        <v/>
      </c>
      <c r="M508" s="31">
        <f>IF($E508="","",I508/(1-K508))</f>
        <v/>
      </c>
      <c r="N508" s="31">
        <f>IF($E508="","",(B508+C508+D508)*Rate_Builder)</f>
        <v/>
      </c>
      <c r="O508" s="31">
        <f>IF($E508="","",E508*K508/(1-K508))</f>
        <v/>
      </c>
      <c r="P508" s="34">
        <f>IF(OR($E508="",B508=0),"",L508/B508*10000)</f>
        <v/>
      </c>
      <c r="Q508" s="34">
        <f>IF(OR($E508="",C508=0),"",F508/C508*10000)</f>
        <v/>
      </c>
      <c r="R508" s="34">
        <f>IF(OR($E508="",D508=0),"",'Daily Data'!I508/D508*10000)</f>
        <v/>
      </c>
    </row>
  </sheetData>
  <autoFilter ref="A3:R508"/>
  <mergeCells count="5">
    <mergeCell ref="E2:J2"/>
    <mergeCell ref="P2:R2"/>
    <mergeCell ref="K2:O2"/>
    <mergeCell ref="A1:R1"/>
    <mergeCell ref="B2:D2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0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0" customHeight="1">
      <c r="A1" s="24" t="inlineStr">
        <is>
          <t>DAILY DATA — raw inputs by source.  hyperscreener.asxn.xyz · Loris (loris.tools) · DefiLlama</t>
        </is>
      </c>
    </row>
    <row r="2">
      <c r="A2" s="35" t="inlineStr"/>
      <c r="B2" s="35" t="inlineStr">
        <is>
          <t>hyperscreener</t>
        </is>
      </c>
      <c r="C2" s="35" t="inlineStr">
        <is>
          <t>hyperscreener</t>
        </is>
      </c>
      <c r="D2" s="35" t="inlineStr">
        <is>
          <t>Loris</t>
        </is>
      </c>
      <c r="E2" s="35" t="inlineStr">
        <is>
          <t>hyperscreener</t>
        </is>
      </c>
      <c r="F2" s="35" t="inlineStr">
        <is>
          <t>Loris</t>
        </is>
      </c>
      <c r="G2" s="35" t="inlineStr">
        <is>
          <t>Loris</t>
        </is>
      </c>
      <c r="H2" s="35" t="inlineStr">
        <is>
          <t>DefiLlama</t>
        </is>
      </c>
      <c r="I2" s="35" t="inlineStr">
        <is>
          <t>DefiLlama</t>
        </is>
      </c>
      <c r="J2" s="35" t="inlineStr">
        <is>
          <t>hyperscreener</t>
        </is>
      </c>
      <c r="K2" s="35" t="inlineStr">
        <is>
          <t>hyperscreener</t>
        </is>
      </c>
      <c r="L2" s="35" t="inlineStr">
        <is>
          <t>hyperscreener</t>
        </is>
      </c>
      <c r="M2" s="35" t="inlineStr">
        <is>
          <t>hyperscreener</t>
        </is>
      </c>
      <c r="N2" s="35" t="inlineStr">
        <is>
          <t>hyperscreener</t>
        </is>
      </c>
      <c r="O2" s="35" t="inlineStr">
        <is>
          <t>hyperscreener</t>
        </is>
      </c>
      <c r="P2" s="35" t="inlineStr">
        <is>
          <t>hyperscreener</t>
        </is>
      </c>
      <c r="Q2" s="35" t="inlineStr">
        <is>
          <t>hyperscreener</t>
        </is>
      </c>
      <c r="R2" s="35" t="inlineStr">
        <is>
          <t>hyperscreener</t>
        </is>
      </c>
      <c r="S2" s="35" t="inlineStr">
        <is>
          <t>hyperscreener</t>
        </is>
      </c>
      <c r="T2" s="35" t="inlineStr">
        <is>
          <t>Calc</t>
        </is>
      </c>
      <c r="U2" s="35" t="inlineStr">
        <is>
          <t>Calc</t>
        </is>
      </c>
      <c r="V2" s="35" t="inlineStr">
        <is>
          <t>Calc</t>
        </is>
      </c>
      <c r="W2" s="35" t="inlineStr">
        <is>
          <t>Calc</t>
        </is>
      </c>
    </row>
    <row r="3" ht="46" customHeight="1">
      <c r="A3" s="29" t="inlineStr">
        <is>
          <t>Date</t>
        </is>
      </c>
      <c r="B3" s="29" t="inlineStr">
        <is>
          <t>Total Perp Volume ($)</t>
        </is>
      </c>
      <c r="C3" s="29" t="inlineStr">
        <is>
          <t>Spot Volume ($)</t>
        </is>
      </c>
      <c r="D3" s="29" t="inlineStr">
        <is>
          <t>HIP-3 Volume ($)</t>
        </is>
      </c>
      <c r="E3" s="29" t="inlineStr">
        <is>
          <t>HyperCore Revenue ($)</t>
        </is>
      </c>
      <c r="F3" s="29" t="inlineStr">
        <is>
          <t>HIP-3 Gross Fees ($)</t>
        </is>
      </c>
      <c r="G3" s="29" t="inlineStr">
        <is>
          <t>HIP-3 Deployer Fees ($)</t>
        </is>
      </c>
      <c r="H3" s="29" t="inlineStr">
        <is>
          <t>Spot Revenue ($)</t>
        </is>
      </c>
      <c r="I3" s="29" t="inlineStr">
        <is>
          <t>Spot Fees ($)</t>
        </is>
      </c>
      <c r="J3" s="29" t="inlineStr">
        <is>
          <t>HyperEVM Burn ($)</t>
        </is>
      </c>
      <c r="K3" s="29" t="inlineStr">
        <is>
          <t>Auction Burn ($)</t>
        </is>
      </c>
      <c r="L3" s="29" t="inlineStr">
        <is>
          <t>Buyback HYPE</t>
        </is>
      </c>
      <c r="M3" s="29" t="inlineStr">
        <is>
          <t>Buyback USD ($)</t>
        </is>
      </c>
      <c r="N3" s="29" t="inlineStr">
        <is>
          <t>AF Holdings (HYPE)</t>
        </is>
      </c>
      <c r="O3" s="29" t="inlineStr">
        <is>
          <t>Daily Emission (HYPE)</t>
        </is>
      </c>
      <c r="P3" s="29" t="inlineStr">
        <is>
          <t>Daily Burn (HYPE)</t>
        </is>
      </c>
      <c r="Q3" s="29" t="inlineStr">
        <is>
          <t>Daily Burn ($)</t>
        </is>
      </c>
      <c r="R3" s="29" t="inlineStr">
        <is>
          <t>Circulating Supply (HYPE)</t>
        </is>
      </c>
      <c r="S3" s="29" t="inlineStr">
        <is>
          <t>Total Supply (HYPE)</t>
        </is>
      </c>
      <c r="T3" s="29" t="inlineStr">
        <is>
          <t>Δ Circ Supply (HYPE)</t>
        </is>
      </c>
      <c r="U3" s="29" t="inlineStr">
        <is>
          <t>Δ Total Supply (HYPE)</t>
        </is>
      </c>
      <c r="V3" s="29" t="inlineStr">
        <is>
          <t>Total Supply Check ≈0</t>
        </is>
      </c>
      <c r="W3" s="29" t="inlineStr">
        <is>
          <t>Circ Residual / Other (HYPE)</t>
        </is>
      </c>
    </row>
    <row r="4">
      <c r="A4" s="30" t="n">
        <v>45658</v>
      </c>
      <c r="B4" s="36" t="n">
        <v>2157256818.437762</v>
      </c>
      <c r="C4" s="36" t="n"/>
      <c r="D4" s="36" t="n">
        <v>0</v>
      </c>
      <c r="E4" s="36" t="n"/>
      <c r="F4" s="36" t="n">
        <v>0</v>
      </c>
      <c r="G4" s="36" t="n">
        <v>0</v>
      </c>
      <c r="H4" s="36" t="n">
        <v>29237</v>
      </c>
      <c r="I4" s="36" t="n">
        <v>30141</v>
      </c>
      <c r="J4" s="36" t="n"/>
      <c r="K4" s="36" t="n"/>
      <c r="L4" s="37" t="n"/>
      <c r="M4" s="36" t="n"/>
      <c r="N4" s="37" t="n">
        <v>11719550.93</v>
      </c>
      <c r="O4" s="37" t="n">
        <v>24499.3537</v>
      </c>
      <c r="P4" s="37" t="n">
        <v>941.1022</v>
      </c>
      <c r="Q4" s="36" t="n">
        <v>22586.45</v>
      </c>
      <c r="R4" s="37" t="n">
        <v>333849125.8989</v>
      </c>
      <c r="S4" s="37" t="n">
        <v>999888964.2307</v>
      </c>
      <c r="T4" s="38" t="inlineStr"/>
      <c r="U4" s="38" t="inlineStr"/>
      <c r="V4" s="38" t="inlineStr"/>
      <c r="W4" s="38" t="inlineStr"/>
    </row>
    <row r="5">
      <c r="A5" s="30" t="n">
        <v>45659</v>
      </c>
      <c r="B5" s="36" t="n">
        <v>3645816158.632274</v>
      </c>
      <c r="C5" s="36" t="n"/>
      <c r="D5" s="36" t="n">
        <v>0</v>
      </c>
      <c r="E5" s="36" t="n"/>
      <c r="F5" s="36" t="n">
        <v>0</v>
      </c>
      <c r="G5" s="36" t="n">
        <v>0</v>
      </c>
      <c r="H5" s="36" t="n">
        <v>40416</v>
      </c>
      <c r="I5" s="36" t="n">
        <v>41666</v>
      </c>
      <c r="J5" s="36" t="n"/>
      <c r="K5" s="36" t="n"/>
      <c r="L5" s="37" t="n"/>
      <c r="M5" s="36" t="n"/>
      <c r="N5" s="37" t="n">
        <v>11756780.96</v>
      </c>
      <c r="O5" s="37" t="n">
        <v>24851.902</v>
      </c>
      <c r="P5" s="37" t="n">
        <v>920.9016</v>
      </c>
      <c r="Q5" s="36" t="n">
        <v>24230.76</v>
      </c>
      <c r="R5" s="37" t="n">
        <v>333857876.6145</v>
      </c>
      <c r="S5" s="37" t="n">
        <v>999888043.3291</v>
      </c>
      <c r="T5" s="38">
        <f>IF(OR(R5="",R4=""),"",R5-R4)</f>
        <v/>
      </c>
      <c r="U5" s="38">
        <f>IF(OR(S5="",S4=""),"",S5-S4)</f>
        <v/>
      </c>
      <c r="V5" s="38">
        <f>IF(OR(U5="",P5=""),"",U5+P5)</f>
        <v/>
      </c>
      <c r="W5" s="38">
        <f>IF(OR(T5="",O5="",P5=""),"",T5-O5+P5)</f>
        <v/>
      </c>
    </row>
    <row r="6">
      <c r="A6" s="30" t="n">
        <v>45660</v>
      </c>
      <c r="B6" s="36" t="n">
        <v>3573160271.399251</v>
      </c>
      <c r="C6" s="36" t="n"/>
      <c r="D6" s="36" t="n">
        <v>0</v>
      </c>
      <c r="E6" s="36" t="n"/>
      <c r="F6" s="36" t="n">
        <v>0</v>
      </c>
      <c r="G6" s="36" t="n">
        <v>0</v>
      </c>
      <c r="H6" s="36" t="n">
        <v>35895</v>
      </c>
      <c r="I6" s="36" t="n">
        <v>37005</v>
      </c>
      <c r="J6" s="36" t="n"/>
      <c r="K6" s="36" t="n"/>
      <c r="L6" s="37" t="n"/>
      <c r="M6" s="36" t="n"/>
      <c r="N6" s="37" t="n">
        <v>11812512.97</v>
      </c>
      <c r="O6" s="37" t="n">
        <v>25219.868</v>
      </c>
      <c r="P6" s="37" t="n">
        <v>905.5316</v>
      </c>
      <c r="Q6" s="36" t="n">
        <v>20963.06</v>
      </c>
      <c r="R6" s="37" t="n">
        <v>333867190.5134</v>
      </c>
      <c r="S6" s="37" t="n">
        <v>999887137.7975</v>
      </c>
      <c r="T6" s="38">
        <f>IF(OR(R6="",R5=""),"",R6-R5)</f>
        <v/>
      </c>
      <c r="U6" s="38">
        <f>IF(OR(S6="",S5=""),"",S6-S5)</f>
        <v/>
      </c>
      <c r="V6" s="38">
        <f>IF(OR(U6="",P6=""),"",U6+P6)</f>
        <v/>
      </c>
      <c r="W6" s="38">
        <f>IF(OR(T6="",O6="",P6=""),"",T6-O6+P6)</f>
        <v/>
      </c>
    </row>
    <row r="7">
      <c r="A7" s="30" t="n">
        <v>45661</v>
      </c>
      <c r="B7" s="36" t="n">
        <v>2506267603.423615</v>
      </c>
      <c r="C7" s="36" t="n"/>
      <c r="D7" s="36" t="n">
        <v>0</v>
      </c>
      <c r="E7" s="36" t="n"/>
      <c r="F7" s="36" t="n">
        <v>0</v>
      </c>
      <c r="G7" s="36" t="n">
        <v>0</v>
      </c>
      <c r="H7" s="36" t="n">
        <v>24616</v>
      </c>
      <c r="I7" s="36" t="n">
        <v>25377</v>
      </c>
      <c r="J7" s="36" t="n"/>
      <c r="K7" s="36" t="n"/>
      <c r="L7" s="37" t="n"/>
      <c r="M7" s="36" t="n"/>
      <c r="N7" s="37" t="n">
        <v>11846794.38</v>
      </c>
      <c r="O7" s="37" t="n">
        <v>25452.7777</v>
      </c>
      <c r="P7" s="37" t="n">
        <v>1232.8801</v>
      </c>
      <c r="Q7" s="36" t="n">
        <v>30121.73</v>
      </c>
      <c r="R7" s="37" t="n">
        <v>333876478.2175</v>
      </c>
      <c r="S7" s="37" t="n">
        <v>999885904.9174</v>
      </c>
      <c r="T7" s="38">
        <f>IF(OR(R7="",R6=""),"",R7-R6)</f>
        <v/>
      </c>
      <c r="U7" s="38">
        <f>IF(OR(S7="",S6=""),"",S7-S6)</f>
        <v/>
      </c>
      <c r="V7" s="38">
        <f>IF(OR(U7="",P7=""),"",U7+P7)</f>
        <v/>
      </c>
      <c r="W7" s="38">
        <f>IF(OR(T7="",O7="",P7=""),"",T7-O7+P7)</f>
        <v/>
      </c>
    </row>
    <row r="8">
      <c r="A8" s="30" t="n">
        <v>45662</v>
      </c>
      <c r="B8" s="36" t="n">
        <v>2149149006.151282</v>
      </c>
      <c r="C8" s="36" t="n"/>
      <c r="D8" s="36" t="n">
        <v>0</v>
      </c>
      <c r="E8" s="36" t="n"/>
      <c r="F8" s="36" t="n">
        <v>0</v>
      </c>
      <c r="G8" s="36" t="n">
        <v>0</v>
      </c>
      <c r="H8" s="36" t="n">
        <v>18684</v>
      </c>
      <c r="I8" s="36" t="n">
        <v>19262</v>
      </c>
      <c r="J8" s="36" t="n"/>
      <c r="K8" s="36" t="n"/>
      <c r="L8" s="37" t="n"/>
      <c r="M8" s="36" t="n"/>
      <c r="N8" s="37" t="n">
        <v>11889347.85</v>
      </c>
      <c r="O8" s="37" t="n">
        <v>25665.1115</v>
      </c>
      <c r="P8" s="37" t="n">
        <v>617.3145</v>
      </c>
      <c r="Q8" s="36" t="n">
        <v>15443.36</v>
      </c>
      <c r="R8" s="37" t="n">
        <v>333886736.6613</v>
      </c>
      <c r="S8" s="37" t="n">
        <v>999885287.603</v>
      </c>
      <c r="T8" s="38">
        <f>IF(OR(R8="",R7=""),"",R8-R7)</f>
        <v/>
      </c>
      <c r="U8" s="38">
        <f>IF(OR(S8="",S7=""),"",S8-S7)</f>
        <v/>
      </c>
      <c r="V8" s="38">
        <f>IF(OR(U8="",P8=""),"",U8+P8)</f>
        <v/>
      </c>
      <c r="W8" s="38">
        <f>IF(OR(T8="",O8="",P8=""),"",T8-O8+P8)</f>
        <v/>
      </c>
    </row>
    <row r="9">
      <c r="A9" s="30" t="n">
        <v>45663</v>
      </c>
      <c r="B9" s="36" t="n">
        <v>4404918704.09836</v>
      </c>
      <c r="C9" s="36" t="n"/>
      <c r="D9" s="36" t="n">
        <v>0</v>
      </c>
      <c r="E9" s="36" t="n"/>
      <c r="F9" s="36" t="n">
        <v>0</v>
      </c>
      <c r="G9" s="36" t="n">
        <v>0</v>
      </c>
      <c r="H9" s="36" t="n">
        <v>22750</v>
      </c>
      <c r="I9" s="36" t="n">
        <v>23453</v>
      </c>
      <c r="J9" s="36" t="n"/>
      <c r="K9" s="36" t="n"/>
      <c r="L9" s="37" t="n"/>
      <c r="M9" s="36" t="n"/>
      <c r="N9" s="37" t="n">
        <v>11933135.19</v>
      </c>
      <c r="O9" s="37" t="n">
        <v>25789.8854</v>
      </c>
      <c r="P9" s="37" t="n">
        <v>447.5855</v>
      </c>
      <c r="Q9" s="36" t="n">
        <v>10920.86</v>
      </c>
      <c r="R9" s="37" t="n">
        <v>333897339.3035</v>
      </c>
      <c r="S9" s="37" t="n">
        <v>999884840.0175</v>
      </c>
      <c r="T9" s="38">
        <f>IF(OR(R9="",R8=""),"",R9-R8)</f>
        <v/>
      </c>
      <c r="U9" s="38">
        <f>IF(OR(S9="",S8=""),"",S9-S8)</f>
        <v/>
      </c>
      <c r="V9" s="38">
        <f>IF(OR(U9="",P9=""),"",U9+P9)</f>
        <v/>
      </c>
      <c r="W9" s="38">
        <f>IF(OR(T9="",O9="",P9=""),"",T9-O9+P9)</f>
        <v/>
      </c>
    </row>
    <row r="10">
      <c r="A10" s="30" t="n">
        <v>45664</v>
      </c>
      <c r="B10" s="36" t="n">
        <v>7004545546.809596</v>
      </c>
      <c r="C10" s="36" t="n"/>
      <c r="D10" s="36" t="n">
        <v>0</v>
      </c>
      <c r="E10" s="36" t="n"/>
      <c r="F10" s="36" t="n">
        <v>0</v>
      </c>
      <c r="G10" s="36" t="n">
        <v>0</v>
      </c>
      <c r="H10" s="36" t="n">
        <v>29308</v>
      </c>
      <c r="I10" s="36" t="n">
        <v>30214</v>
      </c>
      <c r="J10" s="36" t="n"/>
      <c r="K10" s="36" t="n"/>
      <c r="L10" s="37" t="n"/>
      <c r="M10" s="36" t="n"/>
      <c r="N10" s="37" t="n">
        <v>11991786.89</v>
      </c>
      <c r="O10" s="37" t="n">
        <v>25854.6111</v>
      </c>
      <c r="P10" s="37" t="n">
        <v>718.7295</v>
      </c>
      <c r="Q10" s="36" t="n">
        <v>18132.11</v>
      </c>
      <c r="R10" s="37" t="n">
        <v>333907775.6758</v>
      </c>
      <c r="S10" s="37" t="n">
        <v>999884121.288</v>
      </c>
      <c r="T10" s="38">
        <f>IF(OR(R10="",R9=""),"",R10-R9)</f>
        <v/>
      </c>
      <c r="U10" s="38">
        <f>IF(OR(S10="",S9=""),"",S10-S9)</f>
        <v/>
      </c>
      <c r="V10" s="38">
        <f>IF(OR(U10="",P10=""),"",U10+P10)</f>
        <v/>
      </c>
      <c r="W10" s="38">
        <f>IF(OR(T10="",O10="",P10=""),"",T10-O10+P10)</f>
        <v/>
      </c>
    </row>
    <row r="11">
      <c r="A11" s="30" t="n">
        <v>45665</v>
      </c>
      <c r="B11" s="36" t="n">
        <v>6019784666.991272</v>
      </c>
      <c r="C11" s="36" t="n"/>
      <c r="D11" s="36" t="n">
        <v>0</v>
      </c>
      <c r="E11" s="36" t="n"/>
      <c r="F11" s="36" t="n">
        <v>0</v>
      </c>
      <c r="G11" s="36" t="n">
        <v>0</v>
      </c>
      <c r="H11" s="36" t="n">
        <v>43915</v>
      </c>
      <c r="I11" s="36" t="n">
        <v>45273</v>
      </c>
      <c r="J11" s="36" t="n"/>
      <c r="K11" s="36" t="n"/>
      <c r="L11" s="37" t="n"/>
      <c r="M11" s="36" t="n"/>
      <c r="N11" s="37" t="n">
        <v>12076330.36</v>
      </c>
      <c r="O11" s="37" t="n">
        <v>25924.4198</v>
      </c>
      <c r="P11" s="37" t="n">
        <v>744.9065000000001</v>
      </c>
      <c r="Q11" s="36" t="n">
        <v>17501.58</v>
      </c>
      <c r="R11" s="37" t="n">
        <v>333918284.3031</v>
      </c>
      <c r="S11" s="37" t="n">
        <v>999883376.3815</v>
      </c>
      <c r="T11" s="38">
        <f>IF(OR(R11="",R10=""),"",R11-R10)</f>
        <v/>
      </c>
      <c r="U11" s="38">
        <f>IF(OR(S11="",S10=""),"",S11-S10)</f>
        <v/>
      </c>
      <c r="V11" s="38">
        <f>IF(OR(U11="",P11=""),"",U11+P11)</f>
        <v/>
      </c>
      <c r="W11" s="38">
        <f>IF(OR(T11="",O11="",P11=""),"",T11-O11+P11)</f>
        <v/>
      </c>
    </row>
    <row r="12">
      <c r="A12" s="30" t="n">
        <v>45666</v>
      </c>
      <c r="B12" s="36" t="n">
        <v>7123327274.12612</v>
      </c>
      <c r="C12" s="36" t="n"/>
      <c r="D12" s="36" t="n">
        <v>0</v>
      </c>
      <c r="E12" s="36" t="n"/>
      <c r="F12" s="36" t="n">
        <v>0</v>
      </c>
      <c r="G12" s="36" t="n">
        <v>0</v>
      </c>
      <c r="H12" s="36" t="n">
        <v>45969</v>
      </c>
      <c r="I12" s="36" t="n">
        <v>47391</v>
      </c>
      <c r="J12" s="36" t="n"/>
      <c r="K12" s="36" t="n"/>
      <c r="L12" s="37" t="n"/>
      <c r="M12" s="36" t="n"/>
      <c r="N12" s="37" t="n">
        <v>12156974.88</v>
      </c>
      <c r="O12" s="37" t="n">
        <v>25984.3451</v>
      </c>
      <c r="P12" s="37" t="n">
        <v>1579.5356</v>
      </c>
      <c r="Q12" s="36" t="n">
        <v>35552.19</v>
      </c>
      <c r="R12" s="37" t="n">
        <v>333928049.9218</v>
      </c>
      <c r="S12" s="37" t="n">
        <v>999881796.8459001</v>
      </c>
      <c r="T12" s="38">
        <f>IF(OR(R12="",R11=""),"",R12-R11)</f>
        <v/>
      </c>
      <c r="U12" s="38">
        <f>IF(OR(S12="",S11=""),"",S12-S11)</f>
        <v/>
      </c>
      <c r="V12" s="38">
        <f>IF(OR(U12="",P12=""),"",U12+P12)</f>
        <v/>
      </c>
      <c r="W12" s="38">
        <f>IF(OR(T12="",O12="",P12=""),"",T12-O12+P12)</f>
        <v/>
      </c>
    </row>
    <row r="13">
      <c r="A13" s="30" t="n">
        <v>45667</v>
      </c>
      <c r="B13" s="36" t="n">
        <v>5110006119.872235</v>
      </c>
      <c r="C13" s="36" t="n"/>
      <c r="D13" s="36" t="n">
        <v>0</v>
      </c>
      <c r="E13" s="36" t="n"/>
      <c r="F13" s="36" t="n">
        <v>0</v>
      </c>
      <c r="G13" s="36" t="n">
        <v>0</v>
      </c>
      <c r="H13" s="36" t="n">
        <v>26938</v>
      </c>
      <c r="I13" s="36" t="n">
        <v>27771</v>
      </c>
      <c r="J13" s="36" t="n"/>
      <c r="K13" s="36" t="n"/>
      <c r="L13" s="37" t="n"/>
      <c r="M13" s="36" t="n"/>
      <c r="N13" s="37" t="n">
        <v>12241033.24</v>
      </c>
      <c r="O13" s="37" t="n">
        <v>26008.9029</v>
      </c>
      <c r="P13" s="37" t="n">
        <v>1664.9046</v>
      </c>
      <c r="Q13" s="36" t="n">
        <v>33764.27</v>
      </c>
      <c r="R13" s="37" t="n">
        <v>333937753.3291</v>
      </c>
      <c r="S13" s="37" t="n">
        <v>999880131.9413</v>
      </c>
      <c r="T13" s="38">
        <f>IF(OR(R13="",R12=""),"",R13-R12)</f>
        <v/>
      </c>
      <c r="U13" s="38">
        <f>IF(OR(S13="",S12=""),"",S13-S12)</f>
        <v/>
      </c>
      <c r="V13" s="38">
        <f>IF(OR(U13="",P13=""),"",U13+P13)</f>
        <v/>
      </c>
      <c r="W13" s="38">
        <f>IF(OR(T13="",O13="",P13=""),"",T13-O13+P13)</f>
        <v/>
      </c>
    </row>
    <row r="14">
      <c r="A14" s="30" t="n">
        <v>45668</v>
      </c>
      <c r="B14" s="36" t="n">
        <v>1975220110.645682</v>
      </c>
      <c r="C14" s="36" t="n"/>
      <c r="D14" s="36" t="n">
        <v>0</v>
      </c>
      <c r="E14" s="36" t="n"/>
      <c r="F14" s="36" t="n">
        <v>0</v>
      </c>
      <c r="G14" s="36" t="n">
        <v>0</v>
      </c>
      <c r="H14" s="36" t="n">
        <v>14512</v>
      </c>
      <c r="I14" s="36" t="n">
        <v>14961</v>
      </c>
      <c r="J14" s="36" t="n"/>
      <c r="K14" s="36" t="n"/>
      <c r="L14" s="37" t="n"/>
      <c r="M14" s="36" t="n"/>
      <c r="N14" s="37" t="n">
        <v>12305408.94</v>
      </c>
      <c r="O14" s="37" t="n">
        <v>26032.7188</v>
      </c>
      <c r="P14" s="37" t="n">
        <v>984.8383</v>
      </c>
      <c r="Q14" s="36" t="n">
        <v>20333.96</v>
      </c>
      <c r="R14" s="37" t="n">
        <v>333948180.3825</v>
      </c>
      <c r="S14" s="37" t="n">
        <v>999879147.103</v>
      </c>
      <c r="T14" s="38">
        <f>IF(OR(R14="",R13=""),"",R14-R13)</f>
        <v/>
      </c>
      <c r="U14" s="38">
        <f>IF(OR(S14="",S13=""),"",S14-S13)</f>
        <v/>
      </c>
      <c r="V14" s="38">
        <f>IF(OR(U14="",P14=""),"",U14+P14)</f>
        <v/>
      </c>
      <c r="W14" s="38">
        <f>IF(OR(T14="",O14="",P14=""),"",T14-O14+P14)</f>
        <v/>
      </c>
    </row>
    <row r="15">
      <c r="A15" s="30" t="n">
        <v>45669</v>
      </c>
      <c r="B15" s="36" t="n">
        <v>1868823313.52282</v>
      </c>
      <c r="C15" s="36" t="n"/>
      <c r="D15" s="36" t="n">
        <v>0</v>
      </c>
      <c r="E15" s="36" t="n"/>
      <c r="F15" s="36" t="n">
        <v>0</v>
      </c>
      <c r="G15" s="36" t="n">
        <v>0</v>
      </c>
      <c r="H15" s="36" t="n"/>
      <c r="I15" s="36" t="n"/>
      <c r="J15" s="36" t="n"/>
      <c r="K15" s="36" t="n"/>
      <c r="L15" s="37" t="n"/>
      <c r="M15" s="36" t="n"/>
      <c r="N15" s="37" t="n">
        <v>12323093.09</v>
      </c>
      <c r="O15" s="37" t="n">
        <v>26062.989</v>
      </c>
      <c r="P15" s="37" t="n">
        <v>555.3528</v>
      </c>
      <c r="Q15" s="36" t="n">
        <v>11594.93</v>
      </c>
      <c r="R15" s="37" t="n">
        <v>333959083.2302</v>
      </c>
      <c r="S15" s="37" t="n">
        <v>999878591.7502</v>
      </c>
      <c r="T15" s="38">
        <f>IF(OR(R15="",R14=""),"",R15-R14)</f>
        <v/>
      </c>
      <c r="U15" s="38">
        <f>IF(OR(S15="",S14=""),"",S15-S14)</f>
        <v/>
      </c>
      <c r="V15" s="38">
        <f>IF(OR(U15="",P15=""),"",U15+P15)</f>
        <v/>
      </c>
      <c r="W15" s="38">
        <f>IF(OR(T15="",O15="",P15=""),"",T15-O15+P15)</f>
        <v/>
      </c>
    </row>
    <row r="16">
      <c r="A16" s="30" t="n">
        <v>45670</v>
      </c>
      <c r="B16" s="36" t="n">
        <v>7614889367.89616</v>
      </c>
      <c r="C16" s="36" t="n"/>
      <c r="D16" s="36" t="n">
        <v>0</v>
      </c>
      <c r="E16" s="36" t="n"/>
      <c r="F16" s="36" t="n">
        <v>0</v>
      </c>
      <c r="G16" s="36" t="n">
        <v>0</v>
      </c>
      <c r="H16" s="36" t="n"/>
      <c r="I16" s="36" t="n"/>
      <c r="J16" s="36" t="n"/>
      <c r="K16" s="36" t="n"/>
      <c r="L16" s="37" t="n"/>
      <c r="M16" s="36" t="n"/>
      <c r="N16" s="37" t="n">
        <v>12366458.05</v>
      </c>
      <c r="O16" s="37" t="n">
        <v>26085.5853</v>
      </c>
      <c r="P16" s="37" t="n">
        <v>490.8274</v>
      </c>
      <c r="Q16" s="36" t="n">
        <v>10364.31</v>
      </c>
      <c r="R16" s="37" t="n">
        <v>333970100.8173</v>
      </c>
      <c r="S16" s="37" t="n">
        <v>999878100.9227999</v>
      </c>
      <c r="T16" s="38">
        <f>IF(OR(R16="",R15=""),"",R16-R15)</f>
        <v/>
      </c>
      <c r="U16" s="38">
        <f>IF(OR(S16="",S15=""),"",S16-S15)</f>
        <v/>
      </c>
      <c r="V16" s="38">
        <f>IF(OR(U16="",P16=""),"",U16+P16)</f>
        <v/>
      </c>
      <c r="W16" s="38">
        <f>IF(OR(T16="",O16="",P16=""),"",T16-O16+P16)</f>
        <v/>
      </c>
    </row>
    <row r="17">
      <c r="A17" s="30" t="n">
        <v>45671</v>
      </c>
      <c r="B17" s="36" t="n">
        <v>4164534612.205659</v>
      </c>
      <c r="C17" s="36" t="n"/>
      <c r="D17" s="36" t="n">
        <v>0</v>
      </c>
      <c r="E17" s="36" t="n"/>
      <c r="F17" s="36" t="n">
        <v>0</v>
      </c>
      <c r="G17" s="36" t="n">
        <v>0</v>
      </c>
      <c r="H17" s="36" t="n">
        <v>23594</v>
      </c>
      <c r="I17" s="36" t="n">
        <v>24324</v>
      </c>
      <c r="J17" s="36" t="n"/>
      <c r="K17" s="36" t="n"/>
      <c r="L17" s="37" t="n"/>
      <c r="M17" s="36" t="n"/>
      <c r="N17" s="37" t="n">
        <v>12467820.96</v>
      </c>
      <c r="O17" s="37" t="n">
        <v>26275.62</v>
      </c>
      <c r="P17" s="37" t="n">
        <v>1292.8946</v>
      </c>
      <c r="Q17" s="36" t="n">
        <v>27962.08</v>
      </c>
      <c r="R17" s="37" t="n">
        <v>333980615.0392</v>
      </c>
      <c r="S17" s="37" t="n">
        <v>999876808.0282</v>
      </c>
      <c r="T17" s="38">
        <f>IF(OR(R17="",R16=""),"",R17-R16)</f>
        <v/>
      </c>
      <c r="U17" s="38">
        <f>IF(OR(S17="",S16=""),"",S17-S16)</f>
        <v/>
      </c>
      <c r="V17" s="38">
        <f>IF(OR(U17="",P17=""),"",U17+P17)</f>
        <v/>
      </c>
      <c r="W17" s="38">
        <f>IF(OR(T17="",O17="",P17=""),"",T17-O17+P17)</f>
        <v/>
      </c>
    </row>
    <row r="18">
      <c r="A18" s="30" t="n">
        <v>45672</v>
      </c>
      <c r="B18" s="36" t="n">
        <v>5315407561.347315</v>
      </c>
      <c r="C18" s="36" t="n"/>
      <c r="D18" s="36" t="n">
        <v>0</v>
      </c>
      <c r="E18" s="36" t="n"/>
      <c r="F18" s="36" t="n">
        <v>0</v>
      </c>
      <c r="G18" s="36" t="n">
        <v>0</v>
      </c>
      <c r="H18" s="36" t="n">
        <v>23198</v>
      </c>
      <c r="I18" s="36" t="n">
        <v>23915</v>
      </c>
      <c r="J18" s="36" t="n"/>
      <c r="K18" s="36" t="n"/>
      <c r="L18" s="37" t="n"/>
      <c r="M18" s="36" t="n"/>
      <c r="N18" s="37" t="n">
        <v>12522774.12</v>
      </c>
      <c r="O18" s="37" t="n">
        <v>26404.1858</v>
      </c>
      <c r="P18" s="37" t="n">
        <v>1035.8599</v>
      </c>
      <c r="Q18" s="36" t="n">
        <v>23826.33</v>
      </c>
      <c r="R18" s="37" t="n">
        <v>333991585.3763</v>
      </c>
      <c r="S18" s="37" t="n">
        <v>999875772.1684</v>
      </c>
      <c r="T18" s="38">
        <f>IF(OR(R18="",R17=""),"",R18-R17)</f>
        <v/>
      </c>
      <c r="U18" s="38">
        <f>IF(OR(S18="",S17=""),"",S18-S17)</f>
        <v/>
      </c>
      <c r="V18" s="38">
        <f>IF(OR(U18="",P18=""),"",U18+P18)</f>
        <v/>
      </c>
      <c r="W18" s="38">
        <f>IF(OR(T18="",O18="",P18=""),"",T18-O18+P18)</f>
        <v/>
      </c>
    </row>
    <row r="19">
      <c r="A19" s="30" t="n">
        <v>45673</v>
      </c>
      <c r="B19" s="36" t="n">
        <v>5713611240.033678</v>
      </c>
      <c r="C19" s="36" t="n"/>
      <c r="D19" s="36" t="n">
        <v>0</v>
      </c>
      <c r="E19" s="36" t="n"/>
      <c r="F19" s="36" t="n">
        <v>0</v>
      </c>
      <c r="G19" s="36" t="n">
        <v>0</v>
      </c>
      <c r="H19" s="36" t="n">
        <v>18044</v>
      </c>
      <c r="I19" s="36" t="n">
        <v>18602</v>
      </c>
      <c r="J19" s="36" t="n"/>
      <c r="K19" s="36" t="n"/>
      <c r="L19" s="37" t="n"/>
      <c r="M19" s="36" t="n"/>
      <c r="N19" s="37" t="n">
        <v>12591916.98</v>
      </c>
      <c r="O19" s="37" t="n">
        <v>26508.232</v>
      </c>
      <c r="P19" s="37" t="n">
        <v>883.4029</v>
      </c>
      <c r="Q19" s="36" t="n">
        <v>21532.95</v>
      </c>
      <c r="R19" s="37" t="n">
        <v>334002836.9296</v>
      </c>
      <c r="S19" s="37" t="n">
        <v>999874888.7654999</v>
      </c>
      <c r="T19" s="38">
        <f>IF(OR(R19="",R18=""),"",R19-R18)</f>
        <v/>
      </c>
      <c r="U19" s="38">
        <f>IF(OR(S19="",S18=""),"",S19-S18)</f>
        <v/>
      </c>
      <c r="V19" s="38">
        <f>IF(OR(U19="",P19=""),"",U19+P19)</f>
        <v/>
      </c>
      <c r="W19" s="38">
        <f>IF(OR(T19="",O19="",P19=""),"",T19-O19+P19)</f>
        <v/>
      </c>
    </row>
    <row r="20">
      <c r="A20" s="30" t="n">
        <v>45674</v>
      </c>
      <c r="B20" s="36" t="n">
        <v>5461277249.166445</v>
      </c>
      <c r="C20" s="36" t="n"/>
      <c r="D20" s="36" t="n">
        <v>0</v>
      </c>
      <c r="E20" s="36" t="n"/>
      <c r="F20" s="36" t="n">
        <v>0</v>
      </c>
      <c r="G20" s="36" t="n">
        <v>0</v>
      </c>
      <c r="H20" s="36" t="n">
        <v>19870</v>
      </c>
      <c r="I20" s="36" t="n">
        <v>20485</v>
      </c>
      <c r="J20" s="36" t="n"/>
      <c r="K20" s="36" t="n"/>
      <c r="L20" s="37" t="n"/>
      <c r="M20" s="36" t="n"/>
      <c r="N20" s="37" t="n">
        <v>12657481.55</v>
      </c>
      <c r="O20" s="37" t="n">
        <v>26562.754</v>
      </c>
      <c r="P20" s="37" t="n">
        <v>560.1256</v>
      </c>
      <c r="Q20" s="36" t="n">
        <v>13148.11</v>
      </c>
      <c r="R20" s="37" t="n">
        <v>334014509.1143</v>
      </c>
      <c r="S20" s="37" t="n">
        <v>999874328.6399</v>
      </c>
      <c r="T20" s="38">
        <f>IF(OR(R20="",R19=""),"",R20-R19)</f>
        <v/>
      </c>
      <c r="U20" s="38">
        <f>IF(OR(S20="",S19=""),"",S20-S19)</f>
        <v/>
      </c>
      <c r="V20" s="38">
        <f>IF(OR(U20="",P20=""),"",U20+P20)</f>
        <v/>
      </c>
      <c r="W20" s="38">
        <f>IF(OR(T20="",O20="",P20=""),"",T20-O20+P20)</f>
        <v/>
      </c>
    </row>
    <row r="21">
      <c r="A21" s="30" t="n">
        <v>45675</v>
      </c>
      <c r="B21" s="36" t="n">
        <v>9678960134.805155</v>
      </c>
      <c r="C21" s="36" t="n"/>
      <c r="D21" s="36" t="n">
        <v>0</v>
      </c>
      <c r="E21" s="36" t="n"/>
      <c r="F21" s="36" t="n">
        <v>0</v>
      </c>
      <c r="G21" s="36" t="n">
        <v>0</v>
      </c>
      <c r="H21" s="36" t="n">
        <v>50841</v>
      </c>
      <c r="I21" s="36" t="n">
        <v>52413</v>
      </c>
      <c r="J21" s="36" t="n"/>
      <c r="K21" s="36" t="n"/>
      <c r="L21" s="37" t="n"/>
      <c r="M21" s="36" t="n"/>
      <c r="N21" s="37" t="n">
        <v>12746262.37</v>
      </c>
      <c r="O21" s="37" t="n">
        <v>26584.0125</v>
      </c>
      <c r="P21" s="37" t="n">
        <v>614.0791</v>
      </c>
      <c r="Q21" s="36" t="n">
        <v>14179.39</v>
      </c>
      <c r="R21" s="37" t="n">
        <v>334026157.3313</v>
      </c>
      <c r="S21" s="37" t="n">
        <v>999873714.5608</v>
      </c>
      <c r="T21" s="38">
        <f>IF(OR(R21="",R20=""),"",R21-R20)</f>
        <v/>
      </c>
      <c r="U21" s="38">
        <f>IF(OR(S21="",S20=""),"",S21-S20)</f>
        <v/>
      </c>
      <c r="V21" s="38">
        <f>IF(OR(U21="",P21=""),"",U21+P21)</f>
        <v/>
      </c>
      <c r="W21" s="38">
        <f>IF(OR(T21="",O21="",P21=""),"",T21-O21+P21)</f>
        <v/>
      </c>
    </row>
    <row r="22">
      <c r="A22" s="30" t="n">
        <v>45676</v>
      </c>
      <c r="B22" s="36" t="n">
        <v>17750219553.23</v>
      </c>
      <c r="C22" s="36" t="n"/>
      <c r="D22" s="36" t="n">
        <v>0</v>
      </c>
      <c r="E22" s="36" t="n"/>
      <c r="F22" s="36" t="n">
        <v>0</v>
      </c>
      <c r="G22" s="36" t="n">
        <v>0</v>
      </c>
      <c r="H22" s="36" t="n">
        <v>59675</v>
      </c>
      <c r="I22" s="36" t="n">
        <v>61521</v>
      </c>
      <c r="J22" s="36" t="n"/>
      <c r="K22" s="36" t="n"/>
      <c r="L22" s="37" t="n"/>
      <c r="M22" s="36" t="n"/>
      <c r="N22" s="37" t="n">
        <v>12889602.64</v>
      </c>
      <c r="O22" s="37" t="n">
        <v>26576.453</v>
      </c>
      <c r="P22" s="37" t="n">
        <v>1549.2138</v>
      </c>
      <c r="Q22" s="36" t="n">
        <v>33984.33</v>
      </c>
      <c r="R22" s="37" t="n">
        <v>334036841.5769</v>
      </c>
      <c r="S22" s="37" t="n">
        <v>999872165.347</v>
      </c>
      <c r="T22" s="38">
        <f>IF(OR(R22="",R21=""),"",R22-R21)</f>
        <v/>
      </c>
      <c r="U22" s="38">
        <f>IF(OR(S22="",S21=""),"",S22-S21)</f>
        <v/>
      </c>
      <c r="V22" s="38">
        <f>IF(OR(U22="",P22=""),"",U22+P22)</f>
        <v/>
      </c>
      <c r="W22" s="38">
        <f>IF(OR(T22="",O22="",P22=""),"",T22-O22+P22)</f>
        <v/>
      </c>
    </row>
    <row r="23">
      <c r="A23" s="30" t="n">
        <v>45677</v>
      </c>
      <c r="B23" s="36" t="n">
        <v>16339004971.72497</v>
      </c>
      <c r="C23" s="36" t="n"/>
      <c r="D23" s="36" t="n">
        <v>0</v>
      </c>
      <c r="E23" s="36" t="n"/>
      <c r="F23" s="36" t="n">
        <v>0</v>
      </c>
      <c r="G23" s="36" t="n">
        <v>0</v>
      </c>
      <c r="H23" s="36" t="n">
        <v>33251</v>
      </c>
      <c r="I23" s="36" t="n">
        <v>34279</v>
      </c>
      <c r="J23" s="36" t="n"/>
      <c r="K23" s="36" t="n"/>
      <c r="L23" s="37" t="n"/>
      <c r="M23" s="36" t="n"/>
      <c r="N23" s="37" t="n">
        <v>13118129.89</v>
      </c>
      <c r="O23" s="37" t="n">
        <v>26541.2726</v>
      </c>
      <c r="P23" s="37" t="n">
        <v>2127.3129</v>
      </c>
      <c r="Q23" s="36" t="n">
        <v>42947.26</v>
      </c>
      <c r="R23" s="37" t="n">
        <v>334046893.0016</v>
      </c>
      <c r="S23" s="37" t="n">
        <v>999870038.0341001</v>
      </c>
      <c r="T23" s="38">
        <f>IF(OR(R23="",R22=""),"",R23-R22)</f>
        <v/>
      </c>
      <c r="U23" s="38">
        <f>IF(OR(S23="",S22=""),"",S23-S22)</f>
        <v/>
      </c>
      <c r="V23" s="38">
        <f>IF(OR(U23="",P23=""),"",U23+P23)</f>
        <v/>
      </c>
      <c r="W23" s="38">
        <f>IF(OR(T23="",O23="",P23=""),"",T23-O23+P23)</f>
        <v/>
      </c>
    </row>
    <row r="24">
      <c r="A24" s="30" t="n">
        <v>45678</v>
      </c>
      <c r="B24" s="36" t="n">
        <v>8341944948.310147</v>
      </c>
      <c r="C24" s="36" t="n"/>
      <c r="D24" s="36" t="n">
        <v>0</v>
      </c>
      <c r="E24" s="36" t="n"/>
      <c r="F24" s="36" t="n">
        <v>0</v>
      </c>
      <c r="G24" s="36" t="n">
        <v>0</v>
      </c>
      <c r="H24" s="36" t="n">
        <v>33047</v>
      </c>
      <c r="I24" s="36" t="n">
        <v>34069</v>
      </c>
      <c r="J24" s="36" t="n"/>
      <c r="K24" s="36" t="n"/>
      <c r="L24" s="37" t="n"/>
      <c r="M24" s="36" t="n"/>
      <c r="N24" s="37" t="n">
        <v>13251258.78</v>
      </c>
      <c r="O24" s="37" t="n">
        <v>26530.7477</v>
      </c>
      <c r="P24" s="37" t="n">
        <v>1392.5278</v>
      </c>
      <c r="Q24" s="36" t="n">
        <v>28622.71</v>
      </c>
      <c r="R24" s="37" t="n">
        <v>334057677.6746</v>
      </c>
      <c r="S24" s="37" t="n">
        <v>999868645.5063</v>
      </c>
      <c r="T24" s="38">
        <f>IF(OR(R24="",R23=""),"",R24-R23)</f>
        <v/>
      </c>
      <c r="U24" s="38">
        <f>IF(OR(S24="",S23=""),"",S24-S23)</f>
        <v/>
      </c>
      <c r="V24" s="38">
        <f>IF(OR(U24="",P24=""),"",U24+P24)</f>
        <v/>
      </c>
      <c r="W24" s="38">
        <f>IF(OR(T24="",O24="",P24=""),"",T24-O24+P24)</f>
        <v/>
      </c>
    </row>
    <row r="25">
      <c r="A25" s="30" t="n">
        <v>45679</v>
      </c>
      <c r="B25" s="36" t="n">
        <v>5281551150.558711</v>
      </c>
      <c r="C25" s="36" t="n"/>
      <c r="D25" s="36" t="n">
        <v>0</v>
      </c>
      <c r="E25" s="36" t="n"/>
      <c r="F25" s="36" t="n">
        <v>0</v>
      </c>
      <c r="G25" s="36" t="n">
        <v>0</v>
      </c>
      <c r="H25" s="36" t="n">
        <v>29505</v>
      </c>
      <c r="I25" s="36" t="n">
        <v>30418</v>
      </c>
      <c r="J25" s="36" t="n"/>
      <c r="K25" s="36" t="n"/>
      <c r="L25" s="37" t="n"/>
      <c r="M25" s="36" t="n"/>
      <c r="N25" s="37" t="n">
        <v>13322388.74</v>
      </c>
      <c r="O25" s="37" t="n">
        <v>26567.3464</v>
      </c>
      <c r="P25" s="37" t="n">
        <v>1404.8497</v>
      </c>
      <c r="Q25" s="36" t="n">
        <v>32564.41</v>
      </c>
      <c r="R25" s="37" t="n">
        <v>334068492.1831</v>
      </c>
      <c r="S25" s="37" t="n">
        <v>999867240.6567</v>
      </c>
      <c r="T25" s="38">
        <f>IF(OR(R25="",R24=""),"",R25-R24)</f>
        <v/>
      </c>
      <c r="U25" s="38">
        <f>IF(OR(S25="",S24=""),"",S25-S24)</f>
        <v/>
      </c>
      <c r="V25" s="38">
        <f>IF(OR(U25="",P25=""),"",U25+P25)</f>
        <v/>
      </c>
      <c r="W25" s="38">
        <f>IF(OR(T25="",O25="",P25=""),"",T25-O25+P25)</f>
        <v/>
      </c>
    </row>
    <row r="26">
      <c r="A26" s="30" t="n">
        <v>45680</v>
      </c>
      <c r="B26" s="36" t="n">
        <v>11321580803.33587</v>
      </c>
      <c r="C26" s="36" t="n"/>
      <c r="D26" s="36" t="n">
        <v>0</v>
      </c>
      <c r="E26" s="36" t="n"/>
      <c r="F26" s="36" t="n">
        <v>0</v>
      </c>
      <c r="G26" s="36" t="n">
        <v>0</v>
      </c>
      <c r="H26" s="36" t="n">
        <v>37014</v>
      </c>
      <c r="I26" s="36" t="n">
        <v>38159</v>
      </c>
      <c r="J26" s="36" t="n"/>
      <c r="K26" s="36" t="n"/>
      <c r="L26" s="37" t="n"/>
      <c r="M26" s="36" t="n"/>
      <c r="N26" s="37" t="n">
        <v>13384449.16</v>
      </c>
      <c r="O26" s="37" t="n">
        <v>26581.533</v>
      </c>
      <c r="P26" s="37" t="n">
        <v>923.5959</v>
      </c>
      <c r="Q26" s="36" t="n">
        <v>22448.92</v>
      </c>
      <c r="R26" s="37" t="n">
        <v>334079811.6369</v>
      </c>
      <c r="S26" s="37" t="n">
        <v>999866317.0608</v>
      </c>
      <c r="T26" s="38">
        <f>IF(OR(R26="",R25=""),"",R26-R25)</f>
        <v/>
      </c>
      <c r="U26" s="38">
        <f>IF(OR(S26="",S25=""),"",S26-S25)</f>
        <v/>
      </c>
      <c r="V26" s="38">
        <f>IF(OR(U26="",P26=""),"",U26+P26)</f>
        <v/>
      </c>
      <c r="W26" s="38">
        <f>IF(OR(T26="",O26="",P26=""),"",T26-O26+P26)</f>
        <v/>
      </c>
    </row>
    <row r="27">
      <c r="A27" s="30" t="n">
        <v>45681</v>
      </c>
      <c r="B27" s="36" t="n">
        <v>5784731819.255758</v>
      </c>
      <c r="C27" s="36" t="n"/>
      <c r="D27" s="36" t="n">
        <v>0</v>
      </c>
      <c r="E27" s="36" t="n"/>
      <c r="F27" s="36" t="n">
        <v>0</v>
      </c>
      <c r="G27" s="36" t="n">
        <v>0</v>
      </c>
      <c r="H27" s="36" t="n">
        <v>23279</v>
      </c>
      <c r="I27" s="36" t="n">
        <v>23999</v>
      </c>
      <c r="J27" s="36" t="n"/>
      <c r="K27" s="36" t="n"/>
      <c r="L27" s="37" t="n"/>
      <c r="M27" s="36" t="n"/>
      <c r="N27" s="37" t="n">
        <v>13500446.23</v>
      </c>
      <c r="O27" s="37" t="n">
        <v>26552.4017</v>
      </c>
      <c r="P27" s="37" t="n">
        <v>1425.0715</v>
      </c>
      <c r="Q27" s="36" t="n">
        <v>31310.24</v>
      </c>
      <c r="R27" s="37" t="n">
        <v>334090585.9983</v>
      </c>
      <c r="S27" s="37" t="n">
        <v>999864891.9893</v>
      </c>
      <c r="T27" s="38">
        <f>IF(OR(R27="",R26=""),"",R27-R26)</f>
        <v/>
      </c>
      <c r="U27" s="38">
        <f>IF(OR(S27="",S26=""),"",S27-S26)</f>
        <v/>
      </c>
      <c r="V27" s="38">
        <f>IF(OR(U27="",P27=""),"",U27+P27)</f>
        <v/>
      </c>
      <c r="W27" s="38">
        <f>IF(OR(T27="",O27="",P27=""),"",T27-O27+P27)</f>
        <v/>
      </c>
    </row>
    <row r="28">
      <c r="A28" s="30" t="n">
        <v>45682</v>
      </c>
      <c r="B28" s="36" t="n">
        <v>3516728432.28455</v>
      </c>
      <c r="C28" s="36" t="n"/>
      <c r="D28" s="36" t="n">
        <v>0</v>
      </c>
      <c r="E28" s="36" t="n"/>
      <c r="F28" s="36" t="n">
        <v>0</v>
      </c>
      <c r="G28" s="36" t="n">
        <v>0</v>
      </c>
      <c r="H28" s="36" t="n">
        <v>13888</v>
      </c>
      <c r="I28" s="36" t="n">
        <v>14317</v>
      </c>
      <c r="J28" s="36" t="n"/>
      <c r="K28" s="36" t="n"/>
      <c r="L28" s="37" t="n"/>
      <c r="M28" s="36" t="n"/>
      <c r="N28" s="37" t="n">
        <v>13559680.66</v>
      </c>
      <c r="O28" s="37" t="n">
        <v>26530.8113</v>
      </c>
      <c r="P28" s="37" t="n">
        <v>909.6107</v>
      </c>
      <c r="Q28" s="36" t="n">
        <v>20977.9</v>
      </c>
      <c r="R28" s="37" t="n">
        <v>334101839.5566</v>
      </c>
      <c r="S28" s="37" t="n">
        <v>999863982.3786</v>
      </c>
      <c r="T28" s="38">
        <f>IF(OR(R28="",R27=""),"",R28-R27)</f>
        <v/>
      </c>
      <c r="U28" s="38">
        <f>IF(OR(S28="",S27=""),"",S28-S27)</f>
        <v/>
      </c>
      <c r="V28" s="38">
        <f>IF(OR(U28="",P28=""),"",U28+P28)</f>
        <v/>
      </c>
      <c r="W28" s="38">
        <f>IF(OR(T28="",O28="",P28=""),"",T28-O28+P28)</f>
        <v/>
      </c>
    </row>
    <row r="29">
      <c r="A29" s="30" t="n">
        <v>45683</v>
      </c>
      <c r="B29" s="36" t="n">
        <v>3597386932.857095</v>
      </c>
      <c r="C29" s="36" t="n"/>
      <c r="D29" s="36" t="n">
        <v>0</v>
      </c>
      <c r="E29" s="36" t="n"/>
      <c r="F29" s="36" t="n">
        <v>0</v>
      </c>
      <c r="G29" s="36" t="n">
        <v>0</v>
      </c>
      <c r="H29" s="36" t="n">
        <v>16359</v>
      </c>
      <c r="I29" s="36" t="n">
        <v>16865</v>
      </c>
      <c r="J29" s="36" t="n"/>
      <c r="K29" s="36" t="n"/>
      <c r="L29" s="37" t="n"/>
      <c r="M29" s="36" t="n"/>
      <c r="N29" s="37" t="n">
        <v>13589447.97</v>
      </c>
      <c r="O29" s="37" t="n">
        <v>26541.0291</v>
      </c>
      <c r="P29" s="37" t="n">
        <v>462.2589</v>
      </c>
      <c r="Q29" s="36" t="n">
        <v>10701.06</v>
      </c>
      <c r="R29" s="37" t="n">
        <v>334113562.864</v>
      </c>
      <c r="S29" s="37" t="n">
        <v>999863520.1197</v>
      </c>
      <c r="T29" s="38">
        <f>IF(OR(R29="",R28=""),"",R29-R28)</f>
        <v/>
      </c>
      <c r="U29" s="38">
        <f>IF(OR(S29="",S28=""),"",S29-S28)</f>
        <v/>
      </c>
      <c r="V29" s="38">
        <f>IF(OR(U29="",P29=""),"",U29+P29)</f>
        <v/>
      </c>
      <c r="W29" s="38">
        <f>IF(OR(T29="",O29="",P29=""),"",T29-O29+P29)</f>
        <v/>
      </c>
    </row>
    <row r="30">
      <c r="A30" s="30" t="n">
        <v>45684</v>
      </c>
      <c r="B30" s="36" t="n">
        <v>10972896197.405</v>
      </c>
      <c r="C30" s="36" t="n"/>
      <c r="D30" s="36" t="n">
        <v>0</v>
      </c>
      <c r="E30" s="36" t="n"/>
      <c r="F30" s="36" t="n">
        <v>0</v>
      </c>
      <c r="G30" s="36" t="n">
        <v>0</v>
      </c>
      <c r="H30" s="36" t="n">
        <v>36446</v>
      </c>
      <c r="I30" s="36" t="n">
        <v>37573</v>
      </c>
      <c r="J30" s="36" t="n"/>
      <c r="K30" s="36" t="n"/>
      <c r="L30" s="37" t="n"/>
      <c r="M30" s="36" t="n"/>
      <c r="N30" s="37" t="n">
        <v>13665773.68</v>
      </c>
      <c r="O30" s="37" t="n">
        <v>26557.3341</v>
      </c>
      <c r="P30" s="37" t="n">
        <v>515.1838</v>
      </c>
      <c r="Q30" s="36" t="n">
        <v>11375.52</v>
      </c>
      <c r="R30" s="37" t="n">
        <v>334125248.6349</v>
      </c>
      <c r="S30" s="37" t="n">
        <v>999863004.9359</v>
      </c>
      <c r="T30" s="38">
        <f>IF(OR(R30="",R29=""),"",R30-R29)</f>
        <v/>
      </c>
      <c r="U30" s="38">
        <f>IF(OR(S30="",S29=""),"",S30-S29)</f>
        <v/>
      </c>
      <c r="V30" s="38">
        <f>IF(OR(U30="",P30=""),"",U30+P30)</f>
        <v/>
      </c>
      <c r="W30" s="38">
        <f>IF(OR(T30="",O30="",P30=""),"",T30-O30+P30)</f>
        <v/>
      </c>
    </row>
    <row r="31">
      <c r="A31" s="30" t="n">
        <v>45685</v>
      </c>
      <c r="B31" s="36" t="n">
        <v>6689142362.727283</v>
      </c>
      <c r="C31" s="36" t="n"/>
      <c r="D31" s="36" t="n">
        <v>0</v>
      </c>
      <c r="E31" s="36" t="n"/>
      <c r="F31" s="36" t="n">
        <v>0</v>
      </c>
      <c r="G31" s="36" t="n">
        <v>0</v>
      </c>
      <c r="H31" s="36" t="n">
        <v>25976</v>
      </c>
      <c r="I31" s="36" t="n">
        <v>26779</v>
      </c>
      <c r="J31" s="36" t="n"/>
      <c r="K31" s="36" t="n"/>
      <c r="L31" s="37" t="n"/>
      <c r="M31" s="36" t="n"/>
      <c r="N31" s="37" t="n">
        <v>13764321.73</v>
      </c>
      <c r="O31" s="37" t="n">
        <v>26537.8436</v>
      </c>
      <c r="P31" s="37" t="n">
        <v>1494.8576</v>
      </c>
      <c r="Q31" s="36" t="n">
        <v>34955.75</v>
      </c>
      <c r="R31" s="37" t="n">
        <v>334135922.8301</v>
      </c>
      <c r="S31" s="37" t="n">
        <v>999861510.0783</v>
      </c>
      <c r="T31" s="38">
        <f>IF(OR(R31="",R30=""),"",R31-R30)</f>
        <v/>
      </c>
      <c r="U31" s="38">
        <f>IF(OR(S31="",S30=""),"",S31-S30)</f>
        <v/>
      </c>
      <c r="V31" s="38">
        <f>IF(OR(U31="",P31=""),"",U31+P31)</f>
        <v/>
      </c>
      <c r="W31" s="38">
        <f>IF(OR(T31="",O31="",P31=""),"",T31-O31+P31)</f>
        <v/>
      </c>
    </row>
    <row r="32">
      <c r="A32" s="30" t="n">
        <v>45686</v>
      </c>
      <c r="B32" s="36" t="n">
        <v>7487288904.763079</v>
      </c>
      <c r="C32" s="36" t="n"/>
      <c r="D32" s="36" t="n">
        <v>0</v>
      </c>
      <c r="E32" s="36" t="n"/>
      <c r="F32" s="36" t="n">
        <v>0</v>
      </c>
      <c r="G32" s="36" t="n">
        <v>0</v>
      </c>
      <c r="H32" s="36" t="n">
        <v>19416</v>
      </c>
      <c r="I32" s="36" t="n">
        <v>20016</v>
      </c>
      <c r="J32" s="36" t="n"/>
      <c r="K32" s="36" t="n"/>
      <c r="L32" s="37" t="n"/>
      <c r="M32" s="36" t="n"/>
      <c r="N32" s="37" t="n">
        <v>13830230.61</v>
      </c>
      <c r="O32" s="37" t="n">
        <v>26534.2908</v>
      </c>
      <c r="P32" s="37" t="n">
        <v>925.2888</v>
      </c>
      <c r="Q32" s="36" t="n">
        <v>20618.21</v>
      </c>
      <c r="R32" s="37" t="n">
        <v>334147161.1381</v>
      </c>
      <c r="S32" s="37" t="n">
        <v>999860584.7895</v>
      </c>
      <c r="T32" s="38">
        <f>IF(OR(R32="",R31=""),"",R32-R31)</f>
        <v/>
      </c>
      <c r="U32" s="38">
        <f>IF(OR(S32="",S31=""),"",S32-S31)</f>
        <v/>
      </c>
      <c r="V32" s="38">
        <f>IF(OR(U32="",P32=""),"",U32+P32)</f>
        <v/>
      </c>
      <c r="W32" s="38">
        <f>IF(OR(T32="",O32="",P32=""),"",T32-O32+P32)</f>
        <v/>
      </c>
    </row>
    <row r="33">
      <c r="A33" s="30" t="n">
        <v>45687</v>
      </c>
      <c r="B33" s="36" t="n">
        <v>5319626690.767007</v>
      </c>
      <c r="C33" s="36" t="n"/>
      <c r="D33" s="36" t="n">
        <v>0</v>
      </c>
      <c r="E33" s="36" t="n"/>
      <c r="F33" s="36" t="n">
        <v>0</v>
      </c>
      <c r="G33" s="36" t="n">
        <v>0</v>
      </c>
      <c r="H33" s="36" t="n">
        <v>37353</v>
      </c>
      <c r="I33" s="36" t="n">
        <v>38508</v>
      </c>
      <c r="J33" s="36" t="n"/>
      <c r="K33" s="36" t="n"/>
      <c r="L33" s="37" t="n"/>
      <c r="M33" s="36" t="n"/>
      <c r="N33" s="37" t="n">
        <v>13916940.96</v>
      </c>
      <c r="O33" s="37" t="n">
        <v>26544.8787</v>
      </c>
      <c r="P33" s="37" t="n">
        <v>730.3546</v>
      </c>
      <c r="Q33" s="36" t="n">
        <v>17343.73</v>
      </c>
      <c r="R33" s="37" t="n">
        <v>334158614.3197</v>
      </c>
      <c r="S33" s="37" t="n">
        <v>999859854.4349</v>
      </c>
      <c r="T33" s="38">
        <f>IF(OR(R33="",R32=""),"",R33-R32)</f>
        <v/>
      </c>
      <c r="U33" s="38">
        <f>IF(OR(S33="",S32=""),"",S33-S32)</f>
        <v/>
      </c>
      <c r="V33" s="38">
        <f>IF(OR(U33="",P33=""),"",U33+P33)</f>
        <v/>
      </c>
      <c r="W33" s="38">
        <f>IF(OR(T33="",O33="",P33=""),"",T33-O33+P33)</f>
        <v/>
      </c>
    </row>
    <row r="34">
      <c r="A34" s="30" t="n">
        <v>45688</v>
      </c>
      <c r="B34" s="36" t="n">
        <v>7089116487.05554</v>
      </c>
      <c r="C34" s="36" t="n"/>
      <c r="D34" s="36" t="n">
        <v>0</v>
      </c>
      <c r="E34" s="36" t="n"/>
      <c r="F34" s="36" t="n">
        <v>0</v>
      </c>
      <c r="G34" s="36" t="n">
        <v>0</v>
      </c>
      <c r="H34" s="36" t="n">
        <v>29855</v>
      </c>
      <c r="I34" s="36" t="n">
        <v>30778</v>
      </c>
      <c r="J34" s="36" t="n"/>
      <c r="K34" s="36" t="n"/>
      <c r="L34" s="37" t="n"/>
      <c r="M34" s="36" t="n"/>
      <c r="N34" s="37" t="n">
        <v>13956054.86</v>
      </c>
      <c r="O34" s="37" t="n">
        <v>32252.7151</v>
      </c>
      <c r="P34" s="37" t="n">
        <v>1669.5925</v>
      </c>
      <c r="Q34" s="36" t="n">
        <v>43731.64</v>
      </c>
      <c r="R34" s="37" t="n">
        <v>334174829.2585</v>
      </c>
      <c r="S34" s="37" t="n">
        <v>999858184.8425</v>
      </c>
      <c r="T34" s="38">
        <f>IF(OR(R34="",R33=""),"",R34-R33)</f>
        <v/>
      </c>
      <c r="U34" s="38">
        <f>IF(OR(S34="",S33=""),"",S34-S33)</f>
        <v/>
      </c>
      <c r="V34" s="38">
        <f>IF(OR(U34="",P34=""),"",U34+P34)</f>
        <v/>
      </c>
      <c r="W34" s="38">
        <f>IF(OR(T34="",O34="",P34=""),"",T34-O34+P34)</f>
        <v/>
      </c>
    </row>
    <row r="35">
      <c r="A35" s="30" t="n">
        <v>45689</v>
      </c>
      <c r="B35" s="36" t="n">
        <v>5335486362.652503</v>
      </c>
      <c r="C35" s="36" t="n"/>
      <c r="D35" s="36" t="n">
        <v>0</v>
      </c>
      <c r="E35" s="36" t="n"/>
      <c r="F35" s="36" t="n">
        <v>0</v>
      </c>
      <c r="G35" s="36" t="n">
        <v>0</v>
      </c>
      <c r="H35" s="36" t="n">
        <v>39209</v>
      </c>
      <c r="I35" s="36" t="n">
        <v>40422</v>
      </c>
      <c r="J35" s="36" t="n"/>
      <c r="K35" s="36" t="n"/>
      <c r="L35" s="37" t="n"/>
      <c r="M35" s="36" t="n"/>
      <c r="N35" s="37" t="n">
        <v>14024319.17</v>
      </c>
      <c r="O35" s="37" t="n">
        <v>20850.6254</v>
      </c>
      <c r="P35" s="37" t="n">
        <v>797.4358</v>
      </c>
      <c r="Q35" s="36" t="n">
        <v>21470.16</v>
      </c>
      <c r="R35" s="37" t="n">
        <v>334180512.9838</v>
      </c>
      <c r="S35" s="37" t="n">
        <v>999857387.4067</v>
      </c>
      <c r="T35" s="38">
        <f>IF(OR(R35="",R34=""),"",R35-R34)</f>
        <v/>
      </c>
      <c r="U35" s="38">
        <f>IF(OR(S35="",S34=""),"",S35-S34)</f>
        <v/>
      </c>
      <c r="V35" s="38">
        <f>IF(OR(U35="",P35=""),"",U35+P35)</f>
        <v/>
      </c>
      <c r="W35" s="38">
        <f>IF(OR(T35="",O35="",P35=""),"",T35-O35+P35)</f>
        <v/>
      </c>
    </row>
    <row r="36">
      <c r="A36" s="30" t="n">
        <v>45690</v>
      </c>
      <c r="B36" s="36" t="n">
        <v>9044821753.934437</v>
      </c>
      <c r="C36" s="36" t="n"/>
      <c r="D36" s="36" t="n">
        <v>0</v>
      </c>
      <c r="E36" s="36" t="n"/>
      <c r="F36" s="36" t="n">
        <v>0</v>
      </c>
      <c r="G36" s="36" t="n">
        <v>0</v>
      </c>
      <c r="H36" s="36" t="n">
        <v>43161</v>
      </c>
      <c r="I36" s="36" t="n">
        <v>44496</v>
      </c>
      <c r="J36" s="36" t="n"/>
      <c r="K36" s="36" t="n"/>
      <c r="L36" s="37" t="n"/>
      <c r="M36" s="36" t="n"/>
      <c r="N36" s="37" t="n">
        <v>14089847.72</v>
      </c>
      <c r="O36" s="37" t="n">
        <v>26556.9092</v>
      </c>
      <c r="P36" s="37" t="n">
        <v>1144.1562</v>
      </c>
      <c r="Q36" s="36" t="n">
        <v>26510.1</v>
      </c>
      <c r="R36" s="37" t="n">
        <v>334191563.8655</v>
      </c>
      <c r="S36" s="37" t="n">
        <v>999856243.2505</v>
      </c>
      <c r="T36" s="38">
        <f>IF(OR(R36="",R35=""),"",R36-R35)</f>
        <v/>
      </c>
      <c r="U36" s="38">
        <f>IF(OR(S36="",S35=""),"",S36-S35)</f>
        <v/>
      </c>
      <c r="V36" s="38">
        <f>IF(OR(U36="",P36=""),"",U36+P36)</f>
        <v/>
      </c>
      <c r="W36" s="38">
        <f>IF(OR(T36="",O36="",P36=""),"",T36-O36+P36)</f>
        <v/>
      </c>
    </row>
    <row r="37">
      <c r="A37" s="30" t="n">
        <v>45691</v>
      </c>
      <c r="B37" s="36" t="n">
        <v>18072547242.34139</v>
      </c>
      <c r="C37" s="36" t="n"/>
      <c r="D37" s="36" t="n">
        <v>0</v>
      </c>
      <c r="E37" s="36" t="n"/>
      <c r="F37" s="36" t="n">
        <v>0</v>
      </c>
      <c r="G37" s="36" t="n">
        <v>0</v>
      </c>
      <c r="H37" s="36" t="n">
        <v>61575</v>
      </c>
      <c r="I37" s="36" t="n">
        <v>63480</v>
      </c>
      <c r="J37" s="36" t="n"/>
      <c r="K37" s="36" t="n"/>
      <c r="L37" s="37" t="n"/>
      <c r="M37" s="36" t="n"/>
      <c r="N37" s="37" t="n">
        <v>14260320.18</v>
      </c>
      <c r="O37" s="37" t="n">
        <v>26546.4187</v>
      </c>
      <c r="P37" s="37" t="n">
        <v>1529.404</v>
      </c>
      <c r="Q37" s="36" t="n">
        <v>34131.71</v>
      </c>
      <c r="R37" s="37" t="n">
        <v>334202208.674</v>
      </c>
      <c r="S37" s="37" t="n">
        <v>999854713.8465</v>
      </c>
      <c r="T37" s="38">
        <f>IF(OR(R37="",R36=""),"",R37-R36)</f>
        <v/>
      </c>
      <c r="U37" s="38">
        <f>IF(OR(S37="",S36=""),"",S37-S36)</f>
        <v/>
      </c>
      <c r="V37" s="38">
        <f>IF(OR(U37="",P37=""),"",U37+P37)</f>
        <v/>
      </c>
      <c r="W37" s="38">
        <f>IF(OR(T37="",O37="",P37=""),"",T37-O37+P37)</f>
        <v/>
      </c>
    </row>
    <row r="38">
      <c r="A38" s="30" t="n">
        <v>45692</v>
      </c>
      <c r="B38" s="36" t="n">
        <v>10231406265.73442</v>
      </c>
      <c r="C38" s="36" t="n"/>
      <c r="D38" s="36" t="n">
        <v>0</v>
      </c>
      <c r="E38" s="36" t="n"/>
      <c r="F38" s="36" t="n">
        <v>0</v>
      </c>
      <c r="G38" s="36" t="n">
        <v>0</v>
      </c>
      <c r="H38" s="36" t="n">
        <v>36483</v>
      </c>
      <c r="I38" s="36" t="n">
        <v>37612</v>
      </c>
      <c r="J38" s="36" t="n"/>
      <c r="K38" s="36" t="n"/>
      <c r="L38" s="37" t="n"/>
      <c r="M38" s="36" t="n"/>
      <c r="N38" s="37" t="n">
        <v>14367346.74</v>
      </c>
      <c r="O38" s="37" t="n">
        <v>26535.1684</v>
      </c>
      <c r="P38" s="37" t="n">
        <v>2737.9562</v>
      </c>
      <c r="Q38" s="36" t="n">
        <v>68977.33</v>
      </c>
      <c r="R38" s="37" t="n">
        <v>334211625.1348</v>
      </c>
      <c r="S38" s="37" t="n">
        <v>999851975.8903</v>
      </c>
      <c r="T38" s="38">
        <f>IF(OR(R38="",R37=""),"",R38-R37)</f>
        <v/>
      </c>
      <c r="U38" s="38">
        <f>IF(OR(S38="",S37=""),"",S38-S37)</f>
        <v/>
      </c>
      <c r="V38" s="38">
        <f>IF(OR(U38="",P38=""),"",U38+P38)</f>
        <v/>
      </c>
      <c r="W38" s="38">
        <f>IF(OR(T38="",O38="",P38=""),"",T38-O38+P38)</f>
        <v/>
      </c>
    </row>
    <row r="39">
      <c r="A39" s="30" t="n">
        <v>45693</v>
      </c>
      <c r="B39" s="36" t="n">
        <v>5694608355.764648</v>
      </c>
      <c r="C39" s="36" t="n"/>
      <c r="D39" s="36" t="n">
        <v>0</v>
      </c>
      <c r="E39" s="36" t="n"/>
      <c r="F39" s="36" t="n">
        <v>0</v>
      </c>
      <c r="G39" s="36" t="n">
        <v>0</v>
      </c>
      <c r="H39" s="36" t="n">
        <v>27369</v>
      </c>
      <c r="I39" s="36" t="n">
        <v>28216</v>
      </c>
      <c r="J39" s="36" t="n"/>
      <c r="K39" s="36" t="n"/>
      <c r="L39" s="37" t="n"/>
      <c r="M39" s="36" t="n"/>
      <c r="N39" s="37" t="n">
        <v>14446984.89</v>
      </c>
      <c r="O39" s="37" t="n">
        <v>26543.4731</v>
      </c>
      <c r="P39" s="37" t="n">
        <v>1264.3163</v>
      </c>
      <c r="Q39" s="36" t="n">
        <v>31780.49</v>
      </c>
      <c r="R39" s="37" t="n">
        <v>334222533.537</v>
      </c>
      <c r="S39" s="37" t="n">
        <v>999850711.5739</v>
      </c>
      <c r="T39" s="38">
        <f>IF(OR(R39="",R38=""),"",R39-R38)</f>
        <v/>
      </c>
      <c r="U39" s="38">
        <f>IF(OR(S39="",S38=""),"",S39-S38)</f>
        <v/>
      </c>
      <c r="V39" s="38">
        <f>IF(OR(U39="",P39=""),"",U39+P39)</f>
        <v/>
      </c>
      <c r="W39" s="38">
        <f>IF(OR(T39="",O39="",P39=""),"",T39-O39+P39)</f>
        <v/>
      </c>
    </row>
    <row r="40">
      <c r="A40" s="30" t="n">
        <v>45694</v>
      </c>
      <c r="B40" s="36" t="n">
        <v>5904659695.476216</v>
      </c>
      <c r="C40" s="36" t="n"/>
      <c r="D40" s="36" t="n">
        <v>0</v>
      </c>
      <c r="E40" s="36" t="n"/>
      <c r="F40" s="36" t="n">
        <v>0</v>
      </c>
      <c r="G40" s="36" t="n">
        <v>0</v>
      </c>
      <c r="H40" s="36" t="n">
        <v>23855</v>
      </c>
      <c r="I40" s="36" t="n">
        <v>24592</v>
      </c>
      <c r="J40" s="36" t="n"/>
      <c r="K40" s="36" t="n"/>
      <c r="L40" s="37" t="n"/>
      <c r="M40" s="36" t="n"/>
      <c r="N40" s="37" t="n">
        <v>14496740.88</v>
      </c>
      <c r="O40" s="37" t="n">
        <v>26548.785</v>
      </c>
      <c r="P40" s="37" t="n">
        <v>989.8233</v>
      </c>
      <c r="Q40" s="36" t="n">
        <v>24497.14</v>
      </c>
      <c r="R40" s="37" t="n">
        <v>334233723.3514</v>
      </c>
      <c r="S40" s="37" t="n">
        <v>999849721.7506</v>
      </c>
      <c r="T40" s="38">
        <f>IF(OR(R40="",R39=""),"",R40-R39)</f>
        <v/>
      </c>
      <c r="U40" s="38">
        <f>IF(OR(S40="",S39=""),"",S40-S39)</f>
        <v/>
      </c>
      <c r="V40" s="38">
        <f>IF(OR(U40="",P40=""),"",U40+P40)</f>
        <v/>
      </c>
      <c r="W40" s="38">
        <f>IF(OR(T40="",O40="",P40=""),"",T40-O40+P40)</f>
        <v/>
      </c>
    </row>
    <row r="41">
      <c r="A41" s="30" t="n">
        <v>45695</v>
      </c>
      <c r="B41" s="36" t="n">
        <v>6189394336.936541</v>
      </c>
      <c r="C41" s="36" t="n"/>
      <c r="D41" s="36" t="n">
        <v>0</v>
      </c>
      <c r="E41" s="36" t="n"/>
      <c r="F41" s="36" t="n">
        <v>0</v>
      </c>
      <c r="G41" s="36" t="n">
        <v>0</v>
      </c>
      <c r="H41" s="36" t="n">
        <v>25562</v>
      </c>
      <c r="I41" s="36" t="n">
        <v>26352</v>
      </c>
      <c r="J41" s="36" t="n"/>
      <c r="K41" s="36" t="n"/>
      <c r="L41" s="37" t="n"/>
      <c r="M41" s="36" t="n"/>
      <c r="N41" s="37" t="n">
        <v>14557024.39</v>
      </c>
      <c r="O41" s="37" t="n">
        <v>26612.2715</v>
      </c>
      <c r="P41" s="37" t="n">
        <v>827.2076</v>
      </c>
      <c r="Q41" s="36" t="n">
        <v>19712.36</v>
      </c>
      <c r="R41" s="37" t="n">
        <v>334245181.6428</v>
      </c>
      <c r="S41" s="37" t="n">
        <v>999848894.5431</v>
      </c>
      <c r="T41" s="38">
        <f>IF(OR(R41="",R40=""),"",R41-R40)</f>
        <v/>
      </c>
      <c r="U41" s="38">
        <f>IF(OR(S41="",S40=""),"",S41-S40)</f>
        <v/>
      </c>
      <c r="V41" s="38">
        <f>IF(OR(U41="",P41=""),"",U41+P41)</f>
        <v/>
      </c>
      <c r="W41" s="38">
        <f>IF(OR(T41="",O41="",P41=""),"",T41-O41+P41)</f>
        <v/>
      </c>
    </row>
    <row r="42">
      <c r="A42" s="30" t="n">
        <v>45696</v>
      </c>
      <c r="B42" s="36" t="n">
        <v>3006719558.718504</v>
      </c>
      <c r="C42" s="36" t="n"/>
      <c r="D42" s="36" t="n">
        <v>0</v>
      </c>
      <c r="E42" s="36" t="n"/>
      <c r="F42" s="36" t="n">
        <v>0</v>
      </c>
      <c r="G42" s="36" t="n">
        <v>0</v>
      </c>
      <c r="H42" s="36" t="n">
        <v>11702</v>
      </c>
      <c r="I42" s="36" t="n">
        <v>12064</v>
      </c>
      <c r="J42" s="36" t="n"/>
      <c r="K42" s="36" t="n"/>
      <c r="L42" s="37" t="n"/>
      <c r="M42" s="36" t="n"/>
      <c r="N42" s="37" t="n">
        <v>14613413.38</v>
      </c>
      <c r="O42" s="37" t="n">
        <v>26577.9217</v>
      </c>
      <c r="P42" s="37" t="n">
        <v>996.1893</v>
      </c>
      <c r="Q42" s="36" t="n">
        <v>22746.49</v>
      </c>
      <c r="R42" s="37" t="n">
        <v>334256412.8419</v>
      </c>
      <c r="S42" s="37" t="n">
        <v>999847898.3538001</v>
      </c>
      <c r="T42" s="38">
        <f>IF(OR(R42="",R41=""),"",R42-R41)</f>
        <v/>
      </c>
      <c r="U42" s="38">
        <f>IF(OR(S42="",S41=""),"",S42-S41)</f>
        <v/>
      </c>
      <c r="V42" s="38">
        <f>IF(OR(U42="",P42=""),"",U42+P42)</f>
        <v/>
      </c>
      <c r="W42" s="38">
        <f>IF(OR(T42="",O42="",P42=""),"",T42-O42+P42)</f>
        <v/>
      </c>
    </row>
    <row r="43">
      <c r="A43" s="30" t="n">
        <v>45697</v>
      </c>
      <c r="B43" s="36" t="n">
        <v>3754601891.222579</v>
      </c>
      <c r="C43" s="36" t="n"/>
      <c r="D43" s="36" t="n">
        <v>0</v>
      </c>
      <c r="E43" s="36" t="n"/>
      <c r="F43" s="36" t="n">
        <v>0</v>
      </c>
      <c r="G43" s="36" t="n">
        <v>0</v>
      </c>
      <c r="H43" s="36" t="n">
        <v>10362</v>
      </c>
      <c r="I43" s="36" t="n">
        <v>10683</v>
      </c>
      <c r="J43" s="36" t="n"/>
      <c r="K43" s="36" t="n"/>
      <c r="L43" s="37" t="n"/>
      <c r="M43" s="36" t="n"/>
      <c r="N43" s="37" t="n">
        <v>14643949.31</v>
      </c>
      <c r="O43" s="37" t="n">
        <v>26528.1534</v>
      </c>
      <c r="P43" s="37" t="n">
        <v>470.7789</v>
      </c>
      <c r="Q43" s="36" t="n">
        <v>11017.17</v>
      </c>
      <c r="R43" s="37" t="n">
        <v>334268066.8406</v>
      </c>
      <c r="S43" s="37" t="n">
        <v>999847427.5749</v>
      </c>
      <c r="T43" s="38">
        <f>IF(OR(R43="",R42=""),"",R43-R42)</f>
        <v/>
      </c>
      <c r="U43" s="38">
        <f>IF(OR(S43="",S42=""),"",S43-S42)</f>
        <v/>
      </c>
      <c r="V43" s="38">
        <f>IF(OR(U43="",P43=""),"",U43+P43)</f>
        <v/>
      </c>
      <c r="W43" s="38">
        <f>IF(OR(T43="",O43="",P43=""),"",T43-O43+P43)</f>
        <v/>
      </c>
    </row>
    <row r="44">
      <c r="A44" s="30" t="n">
        <v>45698</v>
      </c>
      <c r="B44" s="36" t="n">
        <v>5178632081.239137</v>
      </c>
      <c r="C44" s="36" t="n"/>
      <c r="D44" s="36" t="n">
        <v>0</v>
      </c>
      <c r="E44" s="36" t="n"/>
      <c r="F44" s="36" t="n">
        <v>0</v>
      </c>
      <c r="G44" s="36" t="n">
        <v>0</v>
      </c>
      <c r="H44" s="36" t="n">
        <v>11639</v>
      </c>
      <c r="I44" s="36" t="n">
        <v>11999</v>
      </c>
      <c r="J44" s="36" t="n"/>
      <c r="K44" s="36" t="n"/>
      <c r="L44" s="37" t="n"/>
      <c r="M44" s="36" t="n"/>
      <c r="N44" s="37" t="n">
        <v>14699099.34</v>
      </c>
      <c r="O44" s="37" t="n">
        <v>26525.1988</v>
      </c>
      <c r="P44" s="37" t="n">
        <v>358.1593</v>
      </c>
      <c r="Q44" s="36" t="n">
        <v>8228.709999999999</v>
      </c>
      <c r="R44" s="37" t="n">
        <v>334279852.0979</v>
      </c>
      <c r="S44" s="37" t="n">
        <v>999847069.4155999</v>
      </c>
      <c r="T44" s="38">
        <f>IF(OR(R44="",R43=""),"",R44-R43)</f>
        <v/>
      </c>
      <c r="U44" s="38">
        <f>IF(OR(S44="",S43=""),"",S44-S43)</f>
        <v/>
      </c>
      <c r="V44" s="38">
        <f>IF(OR(U44="",P44=""),"",U44+P44)</f>
        <v/>
      </c>
      <c r="W44" s="38">
        <f>IF(OR(T44="",O44="",P44=""),"",T44-O44+P44)</f>
        <v/>
      </c>
    </row>
    <row r="45">
      <c r="A45" s="30" t="n">
        <v>45699</v>
      </c>
      <c r="B45" s="36" t="n">
        <v>6593863802.849255</v>
      </c>
      <c r="C45" s="36" t="n"/>
      <c r="D45" s="36" t="n">
        <v>0</v>
      </c>
      <c r="E45" s="36" t="n"/>
      <c r="F45" s="36" t="n">
        <v>0</v>
      </c>
      <c r="G45" s="36" t="n">
        <v>0</v>
      </c>
      <c r="H45" s="36" t="n">
        <v>15186</v>
      </c>
      <c r="I45" s="36" t="n">
        <v>15656</v>
      </c>
      <c r="J45" s="36" t="n"/>
      <c r="K45" s="36" t="n"/>
      <c r="L45" s="37" t="n"/>
      <c r="M45" s="36" t="n"/>
      <c r="N45" s="37" t="n">
        <v>14742921.64</v>
      </c>
      <c r="O45" s="37" t="n">
        <v>26523.3197</v>
      </c>
      <c r="P45" s="37" t="n">
        <v>521.8924</v>
      </c>
      <c r="Q45" s="36" t="n">
        <v>12171.31</v>
      </c>
      <c r="R45" s="37" t="n">
        <v>334291467.2831</v>
      </c>
      <c r="S45" s="37" t="n">
        <v>999846547.5232</v>
      </c>
      <c r="T45" s="38">
        <f>IF(OR(R45="",R44=""),"",R45-R44)</f>
        <v/>
      </c>
      <c r="U45" s="38">
        <f>IF(OR(S45="",S44=""),"",S45-S44)</f>
        <v/>
      </c>
      <c r="V45" s="38">
        <f>IF(OR(U45="",P45=""),"",U45+P45)</f>
        <v/>
      </c>
      <c r="W45" s="38">
        <f>IF(OR(T45="",O45="",P45=""),"",T45-O45+P45)</f>
        <v/>
      </c>
    </row>
    <row r="46">
      <c r="A46" s="30" t="n">
        <v>45700</v>
      </c>
      <c r="B46" s="36" t="n">
        <v>7575580365.846412</v>
      </c>
      <c r="C46" s="36" t="n"/>
      <c r="D46" s="36" t="n">
        <v>0</v>
      </c>
      <c r="E46" s="36" t="n"/>
      <c r="F46" s="36" t="n">
        <v>0</v>
      </c>
      <c r="G46" s="36" t="n">
        <v>0</v>
      </c>
      <c r="H46" s="36" t="n">
        <v>17662</v>
      </c>
      <c r="I46" s="36" t="n">
        <v>18209</v>
      </c>
      <c r="J46" s="36" t="n"/>
      <c r="K46" s="36" t="n"/>
      <c r="L46" s="37" t="n"/>
      <c r="M46" s="36" t="n"/>
      <c r="N46" s="37" t="n">
        <v>14806911.55</v>
      </c>
      <c r="O46" s="37" t="n">
        <v>26541.3395</v>
      </c>
      <c r="P46" s="37" t="n">
        <v>579.0042</v>
      </c>
      <c r="Q46" s="36" t="n">
        <v>13600.81</v>
      </c>
      <c r="R46" s="37" t="n">
        <v>334303057.2851</v>
      </c>
      <c r="S46" s="37" t="n">
        <v>999845968.5190001</v>
      </c>
      <c r="T46" s="38">
        <f>IF(OR(R46="",R45=""),"",R46-R45)</f>
        <v/>
      </c>
      <c r="U46" s="38">
        <f>IF(OR(S46="",S45=""),"",S46-S45)</f>
        <v/>
      </c>
      <c r="V46" s="38">
        <f>IF(OR(U46="",P46=""),"",U46+P46)</f>
        <v/>
      </c>
      <c r="W46" s="38">
        <f>IF(OR(T46="",O46="",P46=""),"",T46-O46+P46)</f>
        <v/>
      </c>
    </row>
    <row r="47">
      <c r="A47" s="30" t="n">
        <v>45701</v>
      </c>
      <c r="B47" s="36" t="n">
        <v>5121162003.887239</v>
      </c>
      <c r="C47" s="36" t="n"/>
      <c r="D47" s="36" t="n">
        <v>0</v>
      </c>
      <c r="E47" s="36" t="n"/>
      <c r="F47" s="36" t="n">
        <v>0</v>
      </c>
      <c r="G47" s="36" t="n">
        <v>0</v>
      </c>
      <c r="H47" s="36" t="n">
        <v>18028</v>
      </c>
      <c r="I47" s="36" t="n">
        <v>18585</v>
      </c>
      <c r="J47" s="36" t="n"/>
      <c r="K47" s="36" t="n"/>
      <c r="L47" s="37" t="n"/>
      <c r="M47" s="36" t="n"/>
      <c r="N47" s="37" t="n">
        <v>14867924.2</v>
      </c>
      <c r="O47" s="37" t="n">
        <v>26562.25</v>
      </c>
      <c r="P47" s="37" t="n">
        <v>792.7335</v>
      </c>
      <c r="Q47" s="36" t="n">
        <v>20485.42</v>
      </c>
      <c r="R47" s="37" t="n">
        <v>334314464.3835</v>
      </c>
      <c r="S47" s="37" t="n">
        <v>999845175.7854</v>
      </c>
      <c r="T47" s="38">
        <f>IF(OR(R47="",R46=""),"",R47-R46)</f>
        <v/>
      </c>
      <c r="U47" s="38">
        <f>IF(OR(S47="",S46=""),"",S47-S46)</f>
        <v/>
      </c>
      <c r="V47" s="38">
        <f>IF(OR(U47="",P47=""),"",U47+P47)</f>
        <v/>
      </c>
      <c r="W47" s="38">
        <f>IF(OR(T47="",O47="",P47=""),"",T47-O47+P47)</f>
        <v/>
      </c>
    </row>
    <row r="48">
      <c r="A48" s="30" t="n">
        <v>45702</v>
      </c>
      <c r="B48" s="36" t="n">
        <v>5071294403.58139</v>
      </c>
      <c r="C48" s="36" t="n"/>
      <c r="D48" s="36" t="n">
        <v>0</v>
      </c>
      <c r="E48" s="36" t="n"/>
      <c r="F48" s="36" t="n">
        <v>0</v>
      </c>
      <c r="G48" s="36" t="n">
        <v>0</v>
      </c>
      <c r="H48" s="36" t="n">
        <v>24980</v>
      </c>
      <c r="I48" s="36" t="n">
        <v>25753</v>
      </c>
      <c r="J48" s="36" t="n"/>
      <c r="K48" s="36" t="n"/>
      <c r="L48" s="37" t="n"/>
      <c r="M48" s="36" t="n"/>
      <c r="N48" s="37" t="n">
        <v>14914740.91</v>
      </c>
      <c r="O48" s="37" t="n">
        <v>26581.3289</v>
      </c>
      <c r="P48" s="37" t="n">
        <v>591.6068</v>
      </c>
      <c r="Q48" s="36" t="n">
        <v>15535.89</v>
      </c>
      <c r="R48" s="37" t="n">
        <v>334326100.2138</v>
      </c>
      <c r="S48" s="37" t="n">
        <v>999844584.1786</v>
      </c>
      <c r="T48" s="38">
        <f>IF(OR(R48="",R47=""),"",R48-R47)</f>
        <v/>
      </c>
      <c r="U48" s="38">
        <f>IF(OR(S48="",S47=""),"",S48-S47)</f>
        <v/>
      </c>
      <c r="V48" s="38">
        <f>IF(OR(U48="",P48=""),"",U48+P48)</f>
        <v/>
      </c>
      <c r="W48" s="38">
        <f>IF(OR(T48="",O48="",P48=""),"",T48-O48+P48)</f>
        <v/>
      </c>
    </row>
    <row r="49">
      <c r="A49" s="30" t="n">
        <v>45703</v>
      </c>
      <c r="B49" s="36" t="n">
        <v>2569566270.959479</v>
      </c>
      <c r="C49" s="36" t="n"/>
      <c r="D49" s="36" t="n">
        <v>0</v>
      </c>
      <c r="E49" s="36" t="n"/>
      <c r="F49" s="36" t="n">
        <v>0</v>
      </c>
      <c r="G49" s="36" t="n">
        <v>0</v>
      </c>
      <c r="H49" s="36" t="n">
        <v>17093</v>
      </c>
      <c r="I49" s="36" t="n">
        <v>17622</v>
      </c>
      <c r="J49" s="36" t="n"/>
      <c r="K49" s="36" t="n"/>
      <c r="L49" s="37" t="n"/>
      <c r="M49" s="36" t="n"/>
      <c r="N49" s="37" t="n">
        <v>14965063.05</v>
      </c>
      <c r="O49" s="37" t="n">
        <v>26587.2677</v>
      </c>
      <c r="P49" s="37" t="n">
        <v>978.1297</v>
      </c>
      <c r="Q49" s="36" t="n">
        <v>25624.55</v>
      </c>
      <c r="R49" s="37" t="n">
        <v>334337350.1624</v>
      </c>
      <c r="S49" s="37" t="n">
        <v>999843606.0489</v>
      </c>
      <c r="T49" s="38">
        <f>IF(OR(R49="",R48=""),"",R49-R48)</f>
        <v/>
      </c>
      <c r="U49" s="38">
        <f>IF(OR(S49="",S48=""),"",S49-S48)</f>
        <v/>
      </c>
      <c r="V49" s="38">
        <f>IF(OR(U49="",P49=""),"",U49+P49)</f>
        <v/>
      </c>
      <c r="W49" s="38">
        <f>IF(OR(T49="",O49="",P49=""),"",T49-O49+P49)</f>
        <v/>
      </c>
    </row>
    <row r="50">
      <c r="A50" s="30" t="n">
        <v>45704</v>
      </c>
      <c r="B50" s="36" t="n">
        <v>2576463334.918157</v>
      </c>
      <c r="C50" s="36" t="n"/>
      <c r="D50" s="36" t="n">
        <v>0</v>
      </c>
      <c r="E50" s="36" t="n"/>
      <c r="F50" s="36" t="n">
        <v>0</v>
      </c>
      <c r="G50" s="36" t="n">
        <v>0</v>
      </c>
      <c r="H50" s="36" t="n">
        <v>8590</v>
      </c>
      <c r="I50" s="36" t="n">
        <v>8856</v>
      </c>
      <c r="J50" s="36" t="n"/>
      <c r="K50" s="36" t="n"/>
      <c r="L50" s="37" t="n"/>
      <c r="M50" s="36" t="n"/>
      <c r="N50" s="37" t="n">
        <v>14987424.4</v>
      </c>
      <c r="O50" s="37" t="n">
        <v>26607.0205</v>
      </c>
      <c r="P50" s="37" t="n">
        <v>420.737</v>
      </c>
      <c r="Q50" s="36" t="n">
        <v>10821.36</v>
      </c>
      <c r="R50" s="37" t="n">
        <v>334349192.5507</v>
      </c>
      <c r="S50" s="37" t="n">
        <v>999843185.3119</v>
      </c>
      <c r="T50" s="38">
        <f>IF(OR(R50="",R49=""),"",R50-R49)</f>
        <v/>
      </c>
      <c r="U50" s="38">
        <f>IF(OR(S50="",S49=""),"",S50-S49)</f>
        <v/>
      </c>
      <c r="V50" s="38">
        <f>IF(OR(U50="",P50=""),"",U50+P50)</f>
        <v/>
      </c>
      <c r="W50" s="38">
        <f>IF(OR(T50="",O50="",P50=""),"",T50-O50+P50)</f>
        <v/>
      </c>
    </row>
    <row r="51">
      <c r="A51" s="30" t="n">
        <v>45705</v>
      </c>
      <c r="B51" s="36" t="n">
        <v>5049366130.654168</v>
      </c>
      <c r="C51" s="36" t="n"/>
      <c r="D51" s="36" t="n">
        <v>0</v>
      </c>
      <c r="E51" s="36" t="n"/>
      <c r="F51" s="36" t="n">
        <v>0</v>
      </c>
      <c r="G51" s="36" t="n">
        <v>0</v>
      </c>
      <c r="H51" s="36" t="n">
        <v>18385</v>
      </c>
      <c r="I51" s="36" t="n">
        <v>18954</v>
      </c>
      <c r="J51" s="36" t="n"/>
      <c r="K51" s="36" t="n"/>
      <c r="L51" s="37" t="n"/>
      <c r="M51" s="36" t="n"/>
      <c r="N51" s="37" t="n">
        <v>15018354.8</v>
      </c>
      <c r="O51" s="37" t="n">
        <v>26613.6988</v>
      </c>
      <c r="P51" s="37" t="n">
        <v>311.4459</v>
      </c>
      <c r="Q51" s="36" t="n">
        <v>8347.370000000001</v>
      </c>
      <c r="R51" s="37" t="n">
        <v>334361152.2871</v>
      </c>
      <c r="S51" s="37" t="n">
        <v>999842873.8661</v>
      </c>
      <c r="T51" s="38">
        <f>IF(OR(R51="",R50=""),"",R51-R50)</f>
        <v/>
      </c>
      <c r="U51" s="38">
        <f>IF(OR(S51="",S50=""),"",S51-S50)</f>
        <v/>
      </c>
      <c r="V51" s="38">
        <f>IF(OR(U51="",P51=""),"",U51+P51)</f>
        <v/>
      </c>
      <c r="W51" s="38">
        <f>IF(OR(T51="",O51="",P51=""),"",T51-O51+P51)</f>
        <v/>
      </c>
    </row>
    <row r="52">
      <c r="A52" s="30" t="n">
        <v>45706</v>
      </c>
      <c r="B52" s="36" t="n">
        <v>6787245917.892003</v>
      </c>
      <c r="C52" s="36" t="n"/>
      <c r="D52" s="36" t="n">
        <v>0</v>
      </c>
      <c r="E52" s="36" t="n"/>
      <c r="F52" s="36" t="n">
        <v>0</v>
      </c>
      <c r="G52" s="36" t="n">
        <v>0</v>
      </c>
      <c r="H52" s="36" t="n">
        <v>54131</v>
      </c>
      <c r="I52" s="36" t="n">
        <v>55805</v>
      </c>
      <c r="J52" s="36" t="n"/>
      <c r="K52" s="36" t="n"/>
      <c r="L52" s="37" t="n"/>
      <c r="M52" s="36" t="n"/>
      <c r="N52" s="37" t="n">
        <v>15074929.71</v>
      </c>
      <c r="O52" s="37" t="n">
        <v>26591.793</v>
      </c>
      <c r="P52" s="37" t="n">
        <v>491.1939</v>
      </c>
      <c r="Q52" s="36" t="n">
        <v>12464.04</v>
      </c>
      <c r="R52" s="37" t="n">
        <v>334372907.5048</v>
      </c>
      <c r="S52" s="37" t="n">
        <v>999842382.6722</v>
      </c>
      <c r="T52" s="38">
        <f>IF(OR(R52="",R51=""),"",R52-R51)</f>
        <v/>
      </c>
      <c r="U52" s="38">
        <f>IF(OR(S52="",S51=""),"",S52-S51)</f>
        <v/>
      </c>
      <c r="V52" s="38">
        <f>IF(OR(U52="",P52=""),"",U52+P52)</f>
        <v/>
      </c>
      <c r="W52" s="38">
        <f>IF(OR(T52="",O52="",P52=""),"",T52-O52+P52)</f>
        <v/>
      </c>
    </row>
    <row r="53">
      <c r="A53" s="30" t="n">
        <v>45707</v>
      </c>
      <c r="B53" s="36" t="n">
        <v>3901859790.855969</v>
      </c>
      <c r="C53" s="36" t="n"/>
      <c r="D53" s="36" t="n">
        <v>0</v>
      </c>
      <c r="E53" s="36" t="n"/>
      <c r="F53" s="36" t="n">
        <v>0</v>
      </c>
      <c r="G53" s="36" t="n">
        <v>0</v>
      </c>
      <c r="H53" s="36" t="n">
        <v>21395</v>
      </c>
      <c r="I53" s="36" t="n">
        <v>22056</v>
      </c>
      <c r="J53" s="36" t="n"/>
      <c r="K53" s="36" t="n"/>
      <c r="L53" s="37" t="n"/>
      <c r="M53" s="36" t="n"/>
      <c r="N53" s="37" t="n">
        <v>15130595.42</v>
      </c>
      <c r="O53" s="37" t="n">
        <v>26568.7312</v>
      </c>
      <c r="P53" s="37" t="n">
        <v>1766.3576</v>
      </c>
      <c r="Q53" s="36" t="n">
        <v>42530.36</v>
      </c>
      <c r="R53" s="37" t="n">
        <v>334397709.8784</v>
      </c>
      <c r="S53" s="37" t="n">
        <v>999840616.3146</v>
      </c>
      <c r="T53" s="38">
        <f>IF(OR(R53="",R52=""),"",R53-R52)</f>
        <v/>
      </c>
      <c r="U53" s="38">
        <f>IF(OR(S53="",S52=""),"",S53-S52)</f>
        <v/>
      </c>
      <c r="V53" s="38">
        <f>IF(OR(U53="",P53=""),"",U53+P53)</f>
        <v/>
      </c>
      <c r="W53" s="38">
        <f>IF(OR(T53="",O53="",P53=""),"",T53-O53+P53)</f>
        <v/>
      </c>
    </row>
    <row r="54">
      <c r="A54" s="30" t="n">
        <v>45708</v>
      </c>
      <c r="B54" s="36" t="n">
        <v>5037378690.966618</v>
      </c>
      <c r="C54" s="36" t="n"/>
      <c r="D54" s="36" t="n">
        <v>0</v>
      </c>
      <c r="E54" s="36" t="n"/>
      <c r="F54" s="36" t="n">
        <v>0</v>
      </c>
      <c r="G54" s="36" t="n">
        <v>0</v>
      </c>
      <c r="H54" s="36" t="n">
        <v>19510</v>
      </c>
      <c r="I54" s="36" t="n">
        <v>20113</v>
      </c>
      <c r="J54" s="36" t="n"/>
      <c r="K54" s="36" t="n"/>
      <c r="L54" s="37" t="n"/>
      <c r="M54" s="36" t="n"/>
      <c r="N54" s="37" t="n">
        <v>15173205.49</v>
      </c>
      <c r="O54" s="37" t="n">
        <v>26580.8603</v>
      </c>
      <c r="P54" s="37" t="n">
        <v>672.5468</v>
      </c>
      <c r="Q54" s="36" t="n">
        <v>16181.48</v>
      </c>
      <c r="R54" s="37" t="n">
        <v>334394887.336</v>
      </c>
      <c r="S54" s="37" t="n">
        <v>999839943.7678</v>
      </c>
      <c r="T54" s="38">
        <f>IF(OR(R54="",R53=""),"",R54-R53)</f>
        <v/>
      </c>
      <c r="U54" s="38">
        <f>IF(OR(S54="",S53=""),"",S54-S53)</f>
        <v/>
      </c>
      <c r="V54" s="38">
        <f>IF(OR(U54="",P54=""),"",U54+P54)</f>
        <v/>
      </c>
      <c r="W54" s="38">
        <f>IF(OR(T54="",O54="",P54=""),"",T54-O54+P54)</f>
        <v/>
      </c>
    </row>
    <row r="55">
      <c r="A55" s="30" t="n">
        <v>45709</v>
      </c>
      <c r="B55" s="36" t="n">
        <v>10385529202.05231</v>
      </c>
      <c r="C55" s="36" t="n"/>
      <c r="D55" s="36" t="n">
        <v>0</v>
      </c>
      <c r="E55" s="36" t="n"/>
      <c r="F55" s="36" t="n">
        <v>0</v>
      </c>
      <c r="G55" s="36" t="n">
        <v>0</v>
      </c>
      <c r="H55" s="36" t="n">
        <v>27000</v>
      </c>
      <c r="I55" s="36" t="n">
        <v>27835</v>
      </c>
      <c r="J55" s="36" t="n"/>
      <c r="K55" s="36" t="n"/>
      <c r="L55" s="37" t="n"/>
      <c r="M55" s="36" t="n"/>
      <c r="N55" s="37" t="n">
        <v>15227192.51</v>
      </c>
      <c r="O55" s="37" t="n">
        <v>26551.3041</v>
      </c>
      <c r="P55" s="37" t="n">
        <v>563.1262</v>
      </c>
      <c r="Q55" s="36" t="n">
        <v>13765.9</v>
      </c>
      <c r="R55" s="37" t="n">
        <v>334406498.0186</v>
      </c>
      <c r="S55" s="37" t="n">
        <v>999839380.6415</v>
      </c>
      <c r="T55" s="38">
        <f>IF(OR(R55="",R54=""),"",R55-R54)</f>
        <v/>
      </c>
      <c r="U55" s="38">
        <f>IF(OR(S55="",S54=""),"",S55-S54)</f>
        <v/>
      </c>
      <c r="V55" s="38">
        <f>IF(OR(U55="",P55=""),"",U55+P55)</f>
        <v/>
      </c>
      <c r="W55" s="38">
        <f>IF(OR(T55="",O55="",P55=""),"",T55-O55+P55)</f>
        <v/>
      </c>
    </row>
    <row r="56">
      <c r="A56" s="30" t="n">
        <v>45710</v>
      </c>
      <c r="B56" s="36" t="n">
        <v>3022212830.22437</v>
      </c>
      <c r="C56" s="36" t="n"/>
      <c r="D56" s="36" t="n">
        <v>0</v>
      </c>
      <c r="E56" s="36" t="n"/>
      <c r="F56" s="36" t="n">
        <v>0</v>
      </c>
      <c r="G56" s="36" t="n">
        <v>0</v>
      </c>
      <c r="H56" s="36" t="n">
        <v>12051</v>
      </c>
      <c r="I56" s="36" t="n">
        <v>12423</v>
      </c>
      <c r="J56" s="36" t="n"/>
      <c r="K56" s="36" t="n"/>
      <c r="L56" s="37" t="n"/>
      <c r="M56" s="36" t="n"/>
      <c r="N56" s="37" t="n">
        <v>15315067.23</v>
      </c>
      <c r="O56" s="37" t="n">
        <v>26531.5366</v>
      </c>
      <c r="P56" s="37" t="n">
        <v>957.8834000000001</v>
      </c>
      <c r="Q56" s="36" t="n">
        <v>23940.86</v>
      </c>
      <c r="R56" s="37" t="n">
        <v>334417678.0333</v>
      </c>
      <c r="S56" s="37" t="n">
        <v>999838422.7581</v>
      </c>
      <c r="T56" s="38">
        <f>IF(OR(R56="",R55=""),"",R56-R55)</f>
        <v/>
      </c>
      <c r="U56" s="38">
        <f>IF(OR(S56="",S55=""),"",S56-S55)</f>
        <v/>
      </c>
      <c r="V56" s="38">
        <f>IF(OR(U56="",P56=""),"",U56+P56)</f>
        <v/>
      </c>
      <c r="W56" s="38">
        <f>IF(OR(T56="",O56="",P56=""),"",T56-O56+P56)</f>
        <v/>
      </c>
    </row>
    <row r="57">
      <c r="A57" s="30" t="n">
        <v>45711</v>
      </c>
      <c r="B57" s="36" t="n">
        <v>3357930484.68021</v>
      </c>
      <c r="C57" s="36" t="n"/>
      <c r="D57" s="36" t="n">
        <v>0</v>
      </c>
      <c r="E57" s="36" t="n"/>
      <c r="F57" s="36" t="n">
        <v>0</v>
      </c>
      <c r="G57" s="36" t="n">
        <v>0</v>
      </c>
      <c r="H57" s="36" t="n">
        <v>13468</v>
      </c>
      <c r="I57" s="36" t="n">
        <v>13884</v>
      </c>
      <c r="J57" s="36" t="n"/>
      <c r="K57" s="36" t="n"/>
      <c r="L57" s="37" t="n"/>
      <c r="M57" s="36" t="n"/>
      <c r="N57" s="37" t="n">
        <v>15345748.45</v>
      </c>
      <c r="O57" s="37" t="n">
        <v>26510.0073</v>
      </c>
      <c r="P57" s="37" t="n">
        <v>272.4934</v>
      </c>
      <c r="Q57" s="36" t="n">
        <v>6754.57</v>
      </c>
      <c r="R57" s="37" t="n">
        <v>334429505.371</v>
      </c>
      <c r="S57" s="37" t="n">
        <v>999838150.2647001</v>
      </c>
      <c r="T57" s="38">
        <f>IF(OR(R57="",R56=""),"",R57-R56)</f>
        <v/>
      </c>
      <c r="U57" s="38">
        <f>IF(OR(S57="",S56=""),"",S57-S56)</f>
        <v/>
      </c>
      <c r="V57" s="38">
        <f>IF(OR(U57="",P57=""),"",U57+P57)</f>
        <v/>
      </c>
      <c r="W57" s="38">
        <f>IF(OR(T57="",O57="",P57=""),"",T57-O57+P57)</f>
        <v/>
      </c>
    </row>
    <row r="58">
      <c r="A58" s="30" t="n">
        <v>45712</v>
      </c>
      <c r="B58" s="36" t="n">
        <v>9442757917.150431</v>
      </c>
      <c r="C58" s="36" t="n"/>
      <c r="D58" s="36" t="n">
        <v>0</v>
      </c>
      <c r="E58" s="36" t="n"/>
      <c r="F58" s="36" t="n">
        <v>0</v>
      </c>
      <c r="G58" s="36" t="n">
        <v>0</v>
      </c>
      <c r="H58" s="36" t="n">
        <v>35404</v>
      </c>
      <c r="I58" s="36" t="n">
        <v>36499</v>
      </c>
      <c r="J58" s="36" t="n"/>
      <c r="K58" s="36" t="n"/>
      <c r="L58" s="37" t="n"/>
      <c r="M58" s="36" t="n"/>
      <c r="N58" s="37" t="n">
        <v>15395296.91</v>
      </c>
      <c r="O58" s="37" t="n">
        <v>26495.5925</v>
      </c>
      <c r="P58" s="37" t="n">
        <v>359.0801</v>
      </c>
      <c r="Q58" s="36" t="n">
        <v>8311.27</v>
      </c>
      <c r="R58" s="37" t="n">
        <v>334441229.483</v>
      </c>
      <c r="S58" s="37" t="n">
        <v>999837791.1845</v>
      </c>
      <c r="T58" s="38">
        <f>IF(OR(R58="",R57=""),"",R58-R57)</f>
        <v/>
      </c>
      <c r="U58" s="38">
        <f>IF(OR(S58="",S57=""),"",S58-S57)</f>
        <v/>
      </c>
      <c r="V58" s="38">
        <f>IF(OR(U58="",P58=""),"",U58+P58)</f>
        <v/>
      </c>
      <c r="W58" s="38">
        <f>IF(OR(T58="",O58="",P58=""),"",T58-O58+P58)</f>
        <v/>
      </c>
    </row>
    <row r="59">
      <c r="A59" s="30" t="n">
        <v>45713</v>
      </c>
      <c r="B59" s="36" t="n">
        <v>13212926718.15891</v>
      </c>
      <c r="C59" s="36" t="n"/>
      <c r="D59" s="36" t="n">
        <v>0</v>
      </c>
      <c r="E59" s="36" t="n"/>
      <c r="F59" s="36" t="n">
        <v>0</v>
      </c>
      <c r="G59" s="36" t="n">
        <v>0</v>
      </c>
      <c r="H59" s="36" t="n">
        <v>74128</v>
      </c>
      <c r="I59" s="36" t="n">
        <v>76421</v>
      </c>
      <c r="J59" s="36" t="n"/>
      <c r="K59" s="36" t="n"/>
      <c r="L59" s="37" t="n"/>
      <c r="M59" s="36" t="n"/>
      <c r="N59" s="37" t="n">
        <v>15434587.43</v>
      </c>
      <c r="O59" s="37" t="n">
        <v>26462.3619</v>
      </c>
      <c r="P59" s="37" t="n">
        <v>1448.4853</v>
      </c>
      <c r="Q59" s="36" t="n">
        <v>28795.89</v>
      </c>
      <c r="R59" s="37" t="n">
        <v>334451802.9027</v>
      </c>
      <c r="S59" s="37" t="n">
        <v>999836342.6993001</v>
      </c>
      <c r="T59" s="38">
        <f>IF(OR(R59="",R58=""),"",R59-R58)</f>
        <v/>
      </c>
      <c r="U59" s="38">
        <f>IF(OR(S59="",S58=""),"",S59-S58)</f>
        <v/>
      </c>
      <c r="V59" s="38">
        <f>IF(OR(U59="",P59=""),"",U59+P59)</f>
        <v/>
      </c>
      <c r="W59" s="38">
        <f>IF(OR(T59="",O59="",P59=""),"",T59-O59+P59)</f>
        <v/>
      </c>
    </row>
    <row r="60">
      <c r="A60" s="30" t="n">
        <v>45714</v>
      </c>
      <c r="B60" s="36" t="n">
        <v>9361694443.808464</v>
      </c>
      <c r="C60" s="36" t="n"/>
      <c r="D60" s="36" t="n">
        <v>0</v>
      </c>
      <c r="E60" s="36" t="n"/>
      <c r="F60" s="36" t="n">
        <v>0</v>
      </c>
      <c r="G60" s="36" t="n">
        <v>0</v>
      </c>
      <c r="H60" s="36" t="n">
        <v>35817</v>
      </c>
      <c r="I60" s="36" t="n">
        <v>36925</v>
      </c>
      <c r="J60" s="36" t="n"/>
      <c r="K60" s="36" t="n"/>
      <c r="L60" s="37" t="n"/>
      <c r="M60" s="36" t="n"/>
      <c r="N60" s="37" t="n">
        <v>15640861.3</v>
      </c>
      <c r="O60" s="37" t="n">
        <v>26402.5399</v>
      </c>
      <c r="P60" s="37" t="n">
        <v>2533.9117</v>
      </c>
      <c r="Q60" s="36" t="n">
        <v>51168.55</v>
      </c>
      <c r="R60" s="37" t="n">
        <v>334461210.2152</v>
      </c>
      <c r="S60" s="37" t="n">
        <v>999833808.7876</v>
      </c>
      <c r="T60" s="38">
        <f>IF(OR(R60="",R59=""),"",R60-R59)</f>
        <v/>
      </c>
      <c r="U60" s="38">
        <f>IF(OR(S60="",S59=""),"",S60-S59)</f>
        <v/>
      </c>
      <c r="V60" s="38">
        <f>IF(OR(U60="",P60=""),"",U60+P60)</f>
        <v/>
      </c>
      <c r="W60" s="38">
        <f>IF(OR(T60="",O60="",P60=""),"",T60-O60+P60)</f>
        <v/>
      </c>
    </row>
    <row r="61">
      <c r="A61" s="30" t="n">
        <v>45715</v>
      </c>
      <c r="B61" s="36" t="n">
        <v>6796939578.979759</v>
      </c>
      <c r="C61" s="36" t="n"/>
      <c r="D61" s="36" t="n">
        <v>0</v>
      </c>
      <c r="E61" s="36" t="n"/>
      <c r="F61" s="36" t="n">
        <v>0</v>
      </c>
      <c r="G61" s="36" t="n">
        <v>0</v>
      </c>
      <c r="H61" s="36" t="n">
        <v>20848</v>
      </c>
      <c r="I61" s="36" t="n">
        <v>21492</v>
      </c>
      <c r="J61" s="36" t="n"/>
      <c r="K61" s="36" t="n"/>
      <c r="L61" s="37" t="n"/>
      <c r="M61" s="36" t="n"/>
      <c r="N61" s="37" t="n">
        <v>15754076.09</v>
      </c>
      <c r="O61" s="37" t="n">
        <v>26370.7823</v>
      </c>
      <c r="P61" s="37" t="n">
        <v>1291.9301</v>
      </c>
      <c r="Q61" s="36" t="n">
        <v>25272.74</v>
      </c>
      <c r="R61" s="37" t="n">
        <v>334486289.0649</v>
      </c>
      <c r="S61" s="37" t="n">
        <v>999832516.8573999</v>
      </c>
      <c r="T61" s="38">
        <f>IF(OR(R61="",R60=""),"",R61-R60)</f>
        <v/>
      </c>
      <c r="U61" s="38">
        <f>IF(OR(S61="",S60=""),"",S61-S60)</f>
        <v/>
      </c>
      <c r="V61" s="38">
        <f>IF(OR(U61="",P61=""),"",U61+P61)</f>
        <v/>
      </c>
      <c r="W61" s="38">
        <f>IF(OR(T61="",O61="",P61=""),"",T61-O61+P61)</f>
        <v/>
      </c>
    </row>
    <row r="62">
      <c r="A62" s="30" t="n">
        <v>45716</v>
      </c>
      <c r="B62" s="36" t="n">
        <v>11157922813.2335</v>
      </c>
      <c r="C62" s="36" t="n"/>
      <c r="D62" s="36" t="n">
        <v>0</v>
      </c>
      <c r="E62" s="36" t="n"/>
      <c r="F62" s="36" t="n">
        <v>0</v>
      </c>
      <c r="G62" s="36" t="n">
        <v>0</v>
      </c>
      <c r="H62" s="36" t="n">
        <v>32056</v>
      </c>
      <c r="I62" s="36" t="n">
        <v>33048</v>
      </c>
      <c r="J62" s="36" t="n"/>
      <c r="K62" s="36" t="n"/>
      <c r="L62" s="37" t="n"/>
      <c r="M62" s="36" t="n"/>
      <c r="N62" s="37" t="n">
        <v>15863736.06</v>
      </c>
      <c r="O62" s="37" t="n">
        <v>26389.8779</v>
      </c>
      <c r="P62" s="37" t="n">
        <v>800.0368999999999</v>
      </c>
      <c r="Q62" s="36" t="n">
        <v>16693.57</v>
      </c>
      <c r="R62" s="37" t="n">
        <v>334482921.3819</v>
      </c>
      <c r="S62" s="37" t="n">
        <v>999831716.8206</v>
      </c>
      <c r="T62" s="38">
        <f>IF(OR(R62="",R61=""),"",R62-R61)</f>
        <v/>
      </c>
      <c r="U62" s="38">
        <f>IF(OR(S62="",S61=""),"",S62-S61)</f>
        <v/>
      </c>
      <c r="V62" s="38">
        <f>IF(OR(U62="",P62=""),"",U62+P62)</f>
        <v/>
      </c>
      <c r="W62" s="38">
        <f>IF(OR(T62="",O62="",P62=""),"",T62-O62+P62)</f>
        <v/>
      </c>
    </row>
    <row r="63">
      <c r="A63" s="30" t="n">
        <v>45717</v>
      </c>
      <c r="B63" s="36" t="n">
        <v>4300489522.68242</v>
      </c>
      <c r="C63" s="36" t="n"/>
      <c r="D63" s="36" t="n">
        <v>0</v>
      </c>
      <c r="E63" s="36" t="n"/>
      <c r="F63" s="36" t="n">
        <v>0</v>
      </c>
      <c r="G63" s="36" t="n">
        <v>0</v>
      </c>
      <c r="H63" s="36" t="n">
        <v>11966</v>
      </c>
      <c r="I63" s="36" t="n">
        <v>12337</v>
      </c>
      <c r="J63" s="36" t="n"/>
      <c r="K63" s="36" t="n"/>
      <c r="L63" s="37" t="n"/>
      <c r="M63" s="36" t="n"/>
      <c r="N63" s="37" t="n">
        <v>15955800.76</v>
      </c>
      <c r="O63" s="37" t="n">
        <v>26354.4325</v>
      </c>
      <c r="P63" s="37" t="n">
        <v>1113.9076</v>
      </c>
      <c r="Q63" s="36" t="n">
        <v>22219.11</v>
      </c>
      <c r="R63" s="37" t="n">
        <v>334493670.0368</v>
      </c>
      <c r="S63" s="37" t="n">
        <v>999830602.913</v>
      </c>
      <c r="T63" s="38">
        <f>IF(OR(R63="",R62=""),"",R63-R62)</f>
        <v/>
      </c>
      <c r="U63" s="38">
        <f>IF(OR(S63="",S62=""),"",S63-S62)</f>
        <v/>
      </c>
      <c r="V63" s="38">
        <f>IF(OR(U63="",P63=""),"",U63+P63)</f>
        <v/>
      </c>
      <c r="W63" s="38">
        <f>IF(OR(T63="",O63="",P63=""),"",T63-O63+P63)</f>
        <v/>
      </c>
    </row>
    <row r="64">
      <c r="A64" s="30" t="n">
        <v>45718</v>
      </c>
      <c r="B64" s="36" t="n">
        <v>11125716133.36184</v>
      </c>
      <c r="C64" s="36" t="n"/>
      <c r="D64" s="36" t="n">
        <v>0</v>
      </c>
      <c r="E64" s="36" t="n"/>
      <c r="F64" s="36" t="n">
        <v>0</v>
      </c>
      <c r="G64" s="36" t="n">
        <v>0</v>
      </c>
      <c r="H64" s="36" t="n">
        <v>30292</v>
      </c>
      <c r="I64" s="36" t="n">
        <v>31229</v>
      </c>
      <c r="J64" s="36" t="n"/>
      <c r="K64" s="36" t="n"/>
      <c r="L64" s="37" t="n"/>
      <c r="M64" s="36" t="n"/>
      <c r="N64" s="37" t="n">
        <v>15998308.46</v>
      </c>
      <c r="O64" s="37" t="n">
        <v>26347.5556</v>
      </c>
      <c r="P64" s="37" t="n">
        <v>456.8228</v>
      </c>
      <c r="Q64" s="36" t="n">
        <v>8954.18</v>
      </c>
      <c r="R64" s="37" t="n">
        <v>334505067.5641</v>
      </c>
      <c r="S64" s="37" t="n">
        <v>999830146.0901999</v>
      </c>
      <c r="T64" s="38">
        <f>IF(OR(R64="",R63=""),"",R64-R63)</f>
        <v/>
      </c>
      <c r="U64" s="38">
        <f>IF(OR(S64="",S63=""),"",S64-S63)</f>
        <v/>
      </c>
      <c r="V64" s="38">
        <f>IF(OR(U64="",P64=""),"",U64+P64)</f>
        <v/>
      </c>
      <c r="W64" s="38">
        <f>IF(OR(T64="",O64="",P64=""),"",T64-O64+P64)</f>
        <v/>
      </c>
    </row>
    <row r="65">
      <c r="A65" s="30" t="n">
        <v>45719</v>
      </c>
      <c r="B65" s="36" t="n">
        <v>11687296548.93717</v>
      </c>
      <c r="C65" s="36" t="n"/>
      <c r="D65" s="36" t="n">
        <v>0</v>
      </c>
      <c r="E65" s="36" t="n"/>
      <c r="F65" s="36" t="n">
        <v>0</v>
      </c>
      <c r="G65" s="36" t="n">
        <v>0</v>
      </c>
      <c r="H65" s="36" t="n">
        <v>31039</v>
      </c>
      <c r="I65" s="36" t="n">
        <v>31999</v>
      </c>
      <c r="J65" s="36" t="n"/>
      <c r="K65" s="36" t="n"/>
      <c r="L65" s="37" t="n"/>
      <c r="M65" s="36" t="n"/>
      <c r="N65" s="37" t="n">
        <v>16155014.79</v>
      </c>
      <c r="O65" s="37" t="n">
        <v>26343.6937</v>
      </c>
      <c r="P65" s="37" t="n">
        <v>1076.7938</v>
      </c>
      <c r="Q65" s="36" t="n">
        <v>22101.73</v>
      </c>
      <c r="R65" s="37" t="n">
        <v>334515833.0789</v>
      </c>
      <c r="S65" s="37" t="n">
        <v>999829069.2964</v>
      </c>
      <c r="T65" s="38">
        <f>IF(OR(R65="",R64=""),"",R65-R64)</f>
        <v/>
      </c>
      <c r="U65" s="38">
        <f>IF(OR(S65="",S64=""),"",S65-S64)</f>
        <v/>
      </c>
      <c r="V65" s="38">
        <f>IF(OR(U65="",P65=""),"",U65+P65)</f>
        <v/>
      </c>
      <c r="W65" s="38">
        <f>IF(OR(T65="",O65="",P65=""),"",T65-O65+P65)</f>
        <v/>
      </c>
    </row>
    <row r="66">
      <c r="A66" s="30" t="n">
        <v>45720</v>
      </c>
      <c r="B66" s="36" t="n">
        <v>10923024321.65941</v>
      </c>
      <c r="C66" s="36" t="n"/>
      <c r="D66" s="36" t="n">
        <v>0</v>
      </c>
      <c r="E66" s="36" t="n"/>
      <c r="F66" s="36" t="n">
        <v>0</v>
      </c>
      <c r="G66" s="36" t="n">
        <v>0</v>
      </c>
      <c r="H66" s="36" t="n">
        <v>46479</v>
      </c>
      <c r="I66" s="36" t="n">
        <v>47916</v>
      </c>
      <c r="J66" s="36" t="n"/>
      <c r="K66" s="36" t="n"/>
      <c r="L66" s="37" t="n"/>
      <c r="M66" s="36" t="n"/>
      <c r="N66" s="37" t="n">
        <v>16312096.56</v>
      </c>
      <c r="O66" s="37" t="n">
        <v>26300.1912</v>
      </c>
      <c r="P66" s="37" t="n">
        <v>1191.9757</v>
      </c>
      <c r="Q66" s="36" t="n">
        <v>21315.51</v>
      </c>
      <c r="R66" s="37" t="n">
        <v>334540941.2944</v>
      </c>
      <c r="S66" s="37" t="n">
        <v>999827877.3207</v>
      </c>
      <c r="T66" s="38">
        <f>IF(OR(R66="",R65=""),"",R66-R65)</f>
        <v/>
      </c>
      <c r="U66" s="38">
        <f>IF(OR(S66="",S65=""),"",S66-S65)</f>
        <v/>
      </c>
      <c r="V66" s="38">
        <f>IF(OR(U66="",P66=""),"",U66+P66)</f>
        <v/>
      </c>
      <c r="W66" s="38">
        <f>IF(OR(T66="",O66="",P66=""),"",T66-O66+P66)</f>
        <v/>
      </c>
    </row>
    <row r="67">
      <c r="A67" s="30" t="n">
        <v>45721</v>
      </c>
      <c r="B67" s="36" t="n">
        <v>6393102152.209929</v>
      </c>
      <c r="C67" s="36" t="n"/>
      <c r="D67" s="36" t="n">
        <v>0</v>
      </c>
      <c r="E67" s="36" t="n"/>
      <c r="F67" s="36" t="n">
        <v>0</v>
      </c>
      <c r="G67" s="36" t="n">
        <v>0</v>
      </c>
      <c r="H67" s="36" t="n">
        <v>19446</v>
      </c>
      <c r="I67" s="36" t="n">
        <v>20047</v>
      </c>
      <c r="J67" s="36" t="n"/>
      <c r="K67" s="36" t="n"/>
      <c r="L67" s="37" t="n"/>
      <c r="M67" s="36" t="n"/>
      <c r="N67" s="37" t="n">
        <v>16429514.85</v>
      </c>
      <c r="O67" s="37" t="n">
        <v>26023.1564</v>
      </c>
      <c r="P67" s="37" t="n">
        <v>2036.1675</v>
      </c>
      <c r="Q67" s="36" t="n">
        <v>34803.19</v>
      </c>
      <c r="R67" s="37" t="n">
        <v>334550415.2618</v>
      </c>
      <c r="S67" s="37" t="n">
        <v>999825841.1532</v>
      </c>
      <c r="T67" s="38">
        <f>IF(OR(R67="",R66=""),"",R67-R66)</f>
        <v/>
      </c>
      <c r="U67" s="38">
        <f>IF(OR(S67="",S66=""),"",S67-S66)</f>
        <v/>
      </c>
      <c r="V67" s="38">
        <f>IF(OR(U67="",P67=""),"",U67+P67)</f>
        <v/>
      </c>
      <c r="W67" s="38">
        <f>IF(OR(T67="",O67="",P67=""),"",T67-O67+P67)</f>
        <v/>
      </c>
    </row>
    <row r="68">
      <c r="A68" s="30" t="n">
        <v>45722</v>
      </c>
      <c r="B68" s="36" t="n">
        <v>6898925843.815734</v>
      </c>
      <c r="C68" s="36" t="n"/>
      <c r="D68" s="36" t="n">
        <v>0</v>
      </c>
      <c r="E68" s="36" t="n"/>
      <c r="F68" s="36" t="n">
        <v>0</v>
      </c>
      <c r="G68" s="36" t="n">
        <v>0</v>
      </c>
      <c r="H68" s="36" t="n">
        <v>23432</v>
      </c>
      <c r="I68" s="36" t="n">
        <v>24157</v>
      </c>
      <c r="J68" s="36" t="n"/>
      <c r="K68" s="36" t="n"/>
      <c r="L68" s="37" t="n"/>
      <c r="M68" s="36" t="n"/>
      <c r="N68" s="37" t="n">
        <v>16512215.26</v>
      </c>
      <c r="O68" s="37" t="n">
        <v>26246.193</v>
      </c>
      <c r="P68" s="37" t="n">
        <v>835.7671</v>
      </c>
      <c r="Q68" s="36" t="n">
        <v>14362.66</v>
      </c>
      <c r="R68" s="37" t="n">
        <v>334561284.9252</v>
      </c>
      <c r="S68" s="37" t="n">
        <v>999825005.3861001</v>
      </c>
      <c r="T68" s="38">
        <f>IF(OR(R68="",R67=""),"",R68-R67)</f>
        <v/>
      </c>
      <c r="U68" s="38">
        <f>IF(OR(S68="",S67=""),"",S68-S67)</f>
        <v/>
      </c>
      <c r="V68" s="38">
        <f>IF(OR(U68="",P68=""),"",U68+P68)</f>
        <v/>
      </c>
      <c r="W68" s="38">
        <f>IF(OR(T68="",O68="",P68=""),"",T68-O68+P68)</f>
        <v/>
      </c>
    </row>
    <row r="69">
      <c r="A69" s="30" t="n">
        <v>45723</v>
      </c>
      <c r="B69" s="36" t="n">
        <v>10328312158.94852</v>
      </c>
      <c r="C69" s="36" t="n"/>
      <c r="D69" s="36" t="n">
        <v>0</v>
      </c>
      <c r="E69" s="36" t="n"/>
      <c r="F69" s="36" t="n">
        <v>0</v>
      </c>
      <c r="G69" s="36" t="n">
        <v>0</v>
      </c>
      <c r="H69" s="36" t="n">
        <v>22966</v>
      </c>
      <c r="I69" s="36" t="n">
        <v>23676</v>
      </c>
      <c r="J69" s="36" t="n"/>
      <c r="K69" s="36" t="n"/>
      <c r="L69" s="37" t="n"/>
      <c r="M69" s="36" t="n"/>
      <c r="N69" s="37" t="n">
        <v>16639426.98</v>
      </c>
      <c r="O69" s="37" t="n">
        <v>26269.2514</v>
      </c>
      <c r="P69" s="37" t="n">
        <v>957.7524</v>
      </c>
      <c r="Q69" s="36" t="n">
        <v>14736.46</v>
      </c>
      <c r="R69" s="37" t="n">
        <v>334572050.6974</v>
      </c>
      <c r="S69" s="37" t="n">
        <v>999824047.6337</v>
      </c>
      <c r="T69" s="38">
        <f>IF(OR(R69="",R68=""),"",R69-R68)</f>
        <v/>
      </c>
      <c r="U69" s="38">
        <f>IF(OR(S69="",S68=""),"",S69-S68)</f>
        <v/>
      </c>
      <c r="V69" s="38">
        <f>IF(OR(U69="",P69=""),"",U69+P69)</f>
        <v/>
      </c>
      <c r="W69" s="38">
        <f>IF(OR(T69="",O69="",P69=""),"",T69-O69+P69)</f>
        <v/>
      </c>
    </row>
    <row r="70">
      <c r="A70" s="30" t="n">
        <v>45724</v>
      </c>
      <c r="B70" s="36" t="n">
        <v>2704382867.574585</v>
      </c>
      <c r="C70" s="36" t="n"/>
      <c r="D70" s="36" t="n">
        <v>0</v>
      </c>
      <c r="E70" s="36" t="n"/>
      <c r="F70" s="36" t="n">
        <v>0</v>
      </c>
      <c r="G70" s="36" t="n">
        <v>0</v>
      </c>
      <c r="H70" s="36" t="n">
        <v>10565</v>
      </c>
      <c r="I70" s="36" t="n">
        <v>10892</v>
      </c>
      <c r="J70" s="36" t="n"/>
      <c r="K70" s="36" t="n"/>
      <c r="L70" s="37" t="n"/>
      <c r="M70" s="36" t="n"/>
      <c r="N70" s="37" t="n">
        <v>16741647.32</v>
      </c>
      <c r="O70" s="37" t="n">
        <v>26284.4279</v>
      </c>
      <c r="P70" s="37" t="n">
        <v>935.3216</v>
      </c>
      <c r="Q70" s="36" t="n">
        <v>14159.37</v>
      </c>
      <c r="R70" s="37" t="n">
        <v>334582862.4387</v>
      </c>
      <c r="S70" s="37" t="n">
        <v>999823112.312</v>
      </c>
      <c r="T70" s="38">
        <f>IF(OR(R70="",R69=""),"",R70-R69)</f>
        <v/>
      </c>
      <c r="U70" s="38">
        <f>IF(OR(S70="",S69=""),"",S70-S69)</f>
        <v/>
      </c>
      <c r="V70" s="38">
        <f>IF(OR(U70="",P70=""),"",U70+P70)</f>
        <v/>
      </c>
      <c r="W70" s="38">
        <f>IF(OR(T70="",O70="",P70=""),"",T70-O70+P70)</f>
        <v/>
      </c>
    </row>
    <row r="71">
      <c r="A71" s="30" t="n">
        <v>45725</v>
      </c>
      <c r="B71" s="36" t="n">
        <v>5412422029.100883</v>
      </c>
      <c r="C71" s="36" t="n"/>
      <c r="D71" s="36" t="n">
        <v>0</v>
      </c>
      <c r="E71" s="36" t="n"/>
      <c r="F71" s="36" t="n">
        <v>0</v>
      </c>
      <c r="G71" s="36" t="n">
        <v>0</v>
      </c>
      <c r="H71" s="36" t="n">
        <v>17452</v>
      </c>
      <c r="I71" s="36" t="n">
        <v>17991</v>
      </c>
      <c r="J71" s="36" t="n"/>
      <c r="K71" s="36" t="n"/>
      <c r="L71" s="37" t="n"/>
      <c r="M71" s="36" t="n"/>
      <c r="N71" s="37" t="n">
        <v>16773653.19</v>
      </c>
      <c r="O71" s="37" t="n">
        <v>26298.1187</v>
      </c>
      <c r="P71" s="37" t="n">
        <v>452.9895</v>
      </c>
      <c r="Q71" s="36" t="n">
        <v>6845.8</v>
      </c>
      <c r="R71" s="37" t="n">
        <v>334594176.2109</v>
      </c>
      <c r="S71" s="37" t="n">
        <v>999822659.3226</v>
      </c>
      <c r="T71" s="38">
        <f>IF(OR(R71="",R70=""),"",R71-R70)</f>
        <v/>
      </c>
      <c r="U71" s="38">
        <f>IF(OR(S71="",S70=""),"",S71-S70)</f>
        <v/>
      </c>
      <c r="V71" s="38">
        <f>IF(OR(U71="",P71=""),"",U71+P71)</f>
        <v/>
      </c>
      <c r="W71" s="38">
        <f>IF(OR(T71="",O71="",P71=""),"",T71-O71+P71)</f>
        <v/>
      </c>
    </row>
    <row r="72">
      <c r="A72" s="30" t="n">
        <v>45726</v>
      </c>
      <c r="B72" s="36" t="n">
        <v>9662861733.834814</v>
      </c>
      <c r="C72" s="36" t="n"/>
      <c r="D72" s="36" t="n">
        <v>0</v>
      </c>
      <c r="E72" s="36" t="n"/>
      <c r="F72" s="36" t="n">
        <v>0</v>
      </c>
      <c r="G72" s="36" t="n">
        <v>0</v>
      </c>
      <c r="H72" s="36" t="n">
        <v>24189</v>
      </c>
      <c r="I72" s="36" t="n">
        <v>24937</v>
      </c>
      <c r="J72" s="36" t="n"/>
      <c r="K72" s="36" t="n"/>
      <c r="L72" s="37" t="n"/>
      <c r="M72" s="36" t="n"/>
      <c r="N72" s="37" t="n">
        <v>16870455.19</v>
      </c>
      <c r="O72" s="37" t="n">
        <v>26363.6194</v>
      </c>
      <c r="P72" s="37" t="n">
        <v>623.5696</v>
      </c>
      <c r="Q72" s="36" t="n">
        <v>8992.809999999999</v>
      </c>
      <c r="R72" s="37" t="n">
        <v>334590951.7148</v>
      </c>
      <c r="S72" s="37" t="n">
        <v>999822035.753</v>
      </c>
      <c r="T72" s="38">
        <f>IF(OR(R72="",R71=""),"",R72-R71)</f>
        <v/>
      </c>
      <c r="U72" s="38">
        <f>IF(OR(S72="",S71=""),"",S72-S71)</f>
        <v/>
      </c>
      <c r="V72" s="38">
        <f>IF(OR(U72="",P72=""),"",U72+P72)</f>
        <v/>
      </c>
      <c r="W72" s="38">
        <f>IF(OR(T72="",O72="",P72=""),"",T72-O72+P72)</f>
        <v/>
      </c>
    </row>
    <row r="73">
      <c r="A73" s="30" t="n">
        <v>45727</v>
      </c>
      <c r="B73" s="36" t="n">
        <v>8230997836.537791</v>
      </c>
      <c r="C73" s="36" t="n"/>
      <c r="D73" s="36" t="n">
        <v>0</v>
      </c>
      <c r="E73" s="36" t="n"/>
      <c r="F73" s="36" t="n">
        <v>0</v>
      </c>
      <c r="G73" s="36" t="n">
        <v>0</v>
      </c>
      <c r="H73" s="36" t="n">
        <v>23851</v>
      </c>
      <c r="I73" s="36" t="n">
        <v>24588</v>
      </c>
      <c r="J73" s="36" t="n"/>
      <c r="K73" s="36" t="n"/>
      <c r="L73" s="37" t="n"/>
      <c r="M73" s="36" t="n"/>
      <c r="N73" s="37" t="n">
        <v>17041443.72</v>
      </c>
      <c r="O73" s="37" t="n">
        <v>26334.2317</v>
      </c>
      <c r="P73" s="37" t="n">
        <v>1085.8531</v>
      </c>
      <c r="Q73" s="36" t="n">
        <v>14612.87</v>
      </c>
      <c r="R73" s="37" t="n">
        <v>334616200.0934</v>
      </c>
      <c r="S73" s="37" t="n">
        <v>999820949.8999</v>
      </c>
      <c r="T73" s="38">
        <f>IF(OR(R73="",R72=""),"",R73-R72)</f>
        <v/>
      </c>
      <c r="U73" s="38">
        <f>IF(OR(S73="",S72=""),"",S73-S72)</f>
        <v/>
      </c>
      <c r="V73" s="38">
        <f>IF(OR(U73="",P73=""),"",U73+P73)</f>
        <v/>
      </c>
      <c r="W73" s="38">
        <f>IF(OR(T73="",O73="",P73=""),"",T73-O73+P73)</f>
        <v/>
      </c>
    </row>
    <row r="74">
      <c r="A74" s="30" t="n">
        <v>45728</v>
      </c>
      <c r="B74" s="36" t="n">
        <v>7385946216.235805</v>
      </c>
      <c r="C74" s="36" t="n"/>
      <c r="D74" s="36" t="n">
        <v>0</v>
      </c>
      <c r="E74" s="36" t="n"/>
      <c r="F74" s="36" t="n">
        <v>0</v>
      </c>
      <c r="G74" s="36" t="n">
        <v>0</v>
      </c>
      <c r="H74" s="36" t="n">
        <v>25720</v>
      </c>
      <c r="I74" s="36" t="n">
        <v>26516</v>
      </c>
      <c r="J74" s="36" t="n"/>
      <c r="K74" s="36" t="n"/>
      <c r="L74" s="37" t="n"/>
      <c r="M74" s="36" t="n"/>
      <c r="N74" s="37" t="n">
        <v>17144489.76</v>
      </c>
      <c r="O74" s="37" t="n">
        <v>26325.6793</v>
      </c>
      <c r="P74" s="37" t="n">
        <v>1086.3826</v>
      </c>
      <c r="Q74" s="36" t="n">
        <v>14969.27</v>
      </c>
      <c r="R74" s="37" t="n">
        <v>334626934.8432</v>
      </c>
      <c r="S74" s="37" t="n">
        <v>999819863.5174</v>
      </c>
      <c r="T74" s="38">
        <f>IF(OR(R74="",R73=""),"",R74-R73)</f>
        <v/>
      </c>
      <c r="U74" s="38">
        <f>IF(OR(S74="",S73=""),"",S74-S73)</f>
        <v/>
      </c>
      <c r="V74" s="38">
        <f>IF(OR(U74="",P74=""),"",U74+P74)</f>
        <v/>
      </c>
      <c r="W74" s="38">
        <f>IF(OR(T74="",O74="",P74=""),"",T74-O74+P74)</f>
        <v/>
      </c>
    </row>
    <row r="75">
      <c r="A75" s="30" t="n">
        <v>45729</v>
      </c>
      <c r="B75" s="36" t="n">
        <v>4794383453.130346</v>
      </c>
      <c r="C75" s="36" t="n"/>
      <c r="D75" s="36" t="n">
        <v>0</v>
      </c>
      <c r="E75" s="36" t="n"/>
      <c r="F75" s="36" t="n">
        <v>0</v>
      </c>
      <c r="G75" s="36" t="n">
        <v>0</v>
      </c>
      <c r="H75" s="36" t="n">
        <v>21030</v>
      </c>
      <c r="I75" s="36" t="n">
        <v>21681</v>
      </c>
      <c r="J75" s="36" t="n"/>
      <c r="K75" s="36" t="n"/>
      <c r="L75" s="37" t="n"/>
      <c r="M75" s="36" t="n"/>
      <c r="N75" s="37" t="n">
        <v>17255896.02</v>
      </c>
      <c r="O75" s="37" t="n">
        <v>26389.0402</v>
      </c>
      <c r="P75" s="37" t="n">
        <v>1361.7718</v>
      </c>
      <c r="Q75" s="36" t="n">
        <v>17921.6</v>
      </c>
      <c r="R75" s="37" t="n">
        <v>334637493.127</v>
      </c>
      <c r="S75" s="37" t="n">
        <v>999818501.7456</v>
      </c>
      <c r="T75" s="38">
        <f>IF(OR(R75="",R74=""),"",R75-R74)</f>
        <v/>
      </c>
      <c r="U75" s="38">
        <f>IF(OR(S75="",S74=""),"",S75-S74)</f>
        <v/>
      </c>
      <c r="V75" s="38">
        <f>IF(OR(U75="",P75=""),"",U75+P75)</f>
        <v/>
      </c>
      <c r="W75" s="38">
        <f>IF(OR(T75="",O75="",P75=""),"",T75-O75+P75)</f>
        <v/>
      </c>
    </row>
    <row r="76">
      <c r="A76" s="30" t="n">
        <v>45730</v>
      </c>
      <c r="B76" s="36" t="n">
        <v>4206697098.393208</v>
      </c>
      <c r="C76" s="36" t="n"/>
      <c r="D76" s="36" t="n">
        <v>0</v>
      </c>
      <c r="E76" s="36" t="n"/>
      <c r="F76" s="36" t="n">
        <v>0</v>
      </c>
      <c r="G76" s="36" t="n">
        <v>0</v>
      </c>
      <c r="H76" s="36" t="n">
        <v>16226</v>
      </c>
      <c r="I76" s="36" t="n">
        <v>16728</v>
      </c>
      <c r="J76" s="36" t="n"/>
      <c r="K76" s="36" t="n"/>
      <c r="L76" s="37" t="n"/>
      <c r="M76" s="36" t="n"/>
      <c r="N76" s="37" t="n">
        <v>17348727.29</v>
      </c>
      <c r="O76" s="37" t="n">
        <v>26348.158</v>
      </c>
      <c r="P76" s="37" t="n">
        <v>1180.449</v>
      </c>
      <c r="Q76" s="36" t="n">
        <v>14543.72</v>
      </c>
      <c r="R76" s="37" t="n">
        <v>334648174.3865</v>
      </c>
      <c r="S76" s="37" t="n">
        <v>999817321.2966</v>
      </c>
      <c r="T76" s="38">
        <f>IF(OR(R76="",R75=""),"",R76-R75)</f>
        <v/>
      </c>
      <c r="U76" s="38">
        <f>IF(OR(S76="",S75=""),"",S76-S75)</f>
        <v/>
      </c>
      <c r="V76" s="38">
        <f>IF(OR(U76="",P76=""),"",U76+P76)</f>
        <v/>
      </c>
      <c r="W76" s="38">
        <f>IF(OR(T76="",O76="",P76=""),"",T76-O76+P76)</f>
        <v/>
      </c>
    </row>
    <row r="77">
      <c r="A77" s="30" t="n">
        <v>45731</v>
      </c>
      <c r="B77" s="36" t="n">
        <v>2136911541.357526</v>
      </c>
      <c r="C77" s="36" t="n"/>
      <c r="D77" s="36" t="n">
        <v>0</v>
      </c>
      <c r="E77" s="36" t="n"/>
      <c r="F77" s="36" t="n">
        <v>0</v>
      </c>
      <c r="G77" s="36" t="n">
        <v>0</v>
      </c>
      <c r="H77" s="36" t="n">
        <v>7658</v>
      </c>
      <c r="I77" s="36" t="n">
        <v>7895</v>
      </c>
      <c r="J77" s="36" t="n"/>
      <c r="K77" s="36" t="n"/>
      <c r="L77" s="37" t="n"/>
      <c r="M77" s="36" t="n"/>
      <c r="N77" s="37" t="n">
        <v>17415406.91</v>
      </c>
      <c r="O77" s="37" t="n">
        <v>26350.721</v>
      </c>
      <c r="P77" s="37" t="n">
        <v>1123.12</v>
      </c>
      <c r="Q77" s="36" t="n">
        <v>15495.69</v>
      </c>
      <c r="R77" s="37" t="n">
        <v>334658891.7754</v>
      </c>
      <c r="S77" s="37" t="n">
        <v>999816198.1766</v>
      </c>
      <c r="T77" s="38">
        <f>IF(OR(R77="",R76=""),"",R77-R76)</f>
        <v/>
      </c>
      <c r="U77" s="38">
        <f>IF(OR(S77="",S76=""),"",S77-S76)</f>
        <v/>
      </c>
      <c r="V77" s="38">
        <f>IF(OR(U77="",P77=""),"",U77+P77)</f>
        <v/>
      </c>
      <c r="W77" s="38">
        <f>IF(OR(T77="",O77="",P77=""),"",T77-O77+P77)</f>
        <v/>
      </c>
    </row>
    <row r="78">
      <c r="A78" s="30" t="n">
        <v>45732</v>
      </c>
      <c r="B78" s="36" t="n">
        <v>3662298195.66477</v>
      </c>
      <c r="C78" s="36" t="n"/>
      <c r="D78" s="36" t="n">
        <v>0</v>
      </c>
      <c r="E78" s="36" t="n"/>
      <c r="F78" s="36" t="n">
        <v>0</v>
      </c>
      <c r="G78" s="36" t="n">
        <v>0</v>
      </c>
      <c r="H78" s="36" t="n">
        <v>10339</v>
      </c>
      <c r="I78" s="36" t="n">
        <v>10659</v>
      </c>
      <c r="J78" s="36" t="n"/>
      <c r="K78" s="36" t="n"/>
      <c r="L78" s="37" t="n"/>
      <c r="M78" s="36" t="n"/>
      <c r="N78" s="37" t="n">
        <v>17448594.25</v>
      </c>
      <c r="O78" s="37" t="n">
        <v>26366.3447</v>
      </c>
      <c r="P78" s="37" t="n">
        <v>394.0556</v>
      </c>
      <c r="Q78" s="36" t="n">
        <v>5666.52</v>
      </c>
      <c r="R78" s="37" t="n">
        <v>334670362.1829</v>
      </c>
      <c r="S78" s="37" t="n">
        <v>999815804.1210001</v>
      </c>
      <c r="T78" s="38">
        <f>IF(OR(R78="",R77=""),"",R78-R77)</f>
        <v/>
      </c>
      <c r="U78" s="38">
        <f>IF(OR(S78="",S77=""),"",S78-S77)</f>
        <v/>
      </c>
      <c r="V78" s="38">
        <f>IF(OR(U78="",P78=""),"",U78+P78)</f>
        <v/>
      </c>
      <c r="W78" s="38">
        <f>IF(OR(T78="",O78="",P78=""),"",T78-O78+P78)</f>
        <v/>
      </c>
    </row>
    <row r="79">
      <c r="A79" s="30" t="n">
        <v>45733</v>
      </c>
      <c r="B79" s="36" t="n">
        <v>3724551748.312353</v>
      </c>
      <c r="C79" s="36" t="n"/>
      <c r="D79" s="36" t="n">
        <v>0</v>
      </c>
      <c r="E79" s="36" t="n"/>
      <c r="F79" s="36" t="n">
        <v>0</v>
      </c>
      <c r="G79" s="36" t="n">
        <v>0</v>
      </c>
      <c r="H79" s="36" t="n">
        <v>7961</v>
      </c>
      <c r="I79" s="36" t="n">
        <v>8208</v>
      </c>
      <c r="J79" s="36" t="n"/>
      <c r="K79" s="36" t="n"/>
      <c r="L79" s="37" t="n"/>
      <c r="M79" s="36" t="n"/>
      <c r="N79" s="37" t="n">
        <v>17515019.42</v>
      </c>
      <c r="O79" s="37" t="n">
        <v>26359.8114</v>
      </c>
      <c r="P79" s="37" t="n">
        <v>337.0554</v>
      </c>
      <c r="Q79" s="36" t="n">
        <v>4370.93</v>
      </c>
      <c r="R79" s="37" t="n">
        <v>334681886.4107</v>
      </c>
      <c r="S79" s="37" t="n">
        <v>999815467.0656</v>
      </c>
      <c r="T79" s="38">
        <f>IF(OR(R79="",R78=""),"",R79-R78)</f>
        <v/>
      </c>
      <c r="U79" s="38">
        <f>IF(OR(S79="",S78=""),"",S79-S78)</f>
        <v/>
      </c>
      <c r="V79" s="38">
        <f>IF(OR(U79="",P79=""),"",U79+P79)</f>
        <v/>
      </c>
      <c r="W79" s="38">
        <f>IF(OR(T79="",O79="",P79=""),"",T79-O79+P79)</f>
        <v/>
      </c>
    </row>
    <row r="80">
      <c r="A80" s="30" t="n">
        <v>45734</v>
      </c>
      <c r="B80" s="36" t="n">
        <v>4923537604.501444</v>
      </c>
      <c r="C80" s="36" t="n"/>
      <c r="D80" s="36" t="n">
        <v>0</v>
      </c>
      <c r="E80" s="36" t="n"/>
      <c r="F80" s="36" t="n">
        <v>0</v>
      </c>
      <c r="G80" s="36" t="n">
        <v>0</v>
      </c>
      <c r="H80" s="36" t="n">
        <v>7924</v>
      </c>
      <c r="I80" s="36" t="n">
        <v>8169</v>
      </c>
      <c r="J80" s="36" t="n"/>
      <c r="K80" s="36" t="n"/>
      <c r="L80" s="37" t="n"/>
      <c r="M80" s="36" t="n"/>
      <c r="N80" s="37" t="n">
        <v>17593696.73</v>
      </c>
      <c r="O80" s="37" t="n">
        <v>26362.7924</v>
      </c>
      <c r="P80" s="37" t="n">
        <v>471.6324</v>
      </c>
      <c r="Q80" s="36" t="n">
        <v>6249.6</v>
      </c>
      <c r="R80" s="37" t="n">
        <v>334693275.7844</v>
      </c>
      <c r="S80" s="37" t="n">
        <v>999814995.4333</v>
      </c>
      <c r="T80" s="38">
        <f>IF(OR(R80="",R79=""),"",R80-R79)</f>
        <v/>
      </c>
      <c r="U80" s="38">
        <f>IF(OR(S80="",S79=""),"",S80-S79)</f>
        <v/>
      </c>
      <c r="V80" s="38">
        <f>IF(OR(U80="",P80=""),"",U80+P80)</f>
        <v/>
      </c>
      <c r="W80" s="38">
        <f>IF(OR(T80="",O80="",P80=""),"",T80-O80+P80)</f>
        <v/>
      </c>
    </row>
    <row r="81">
      <c r="A81" s="30" t="n">
        <v>45735</v>
      </c>
      <c r="B81" s="36" t="n">
        <v>5936470683.989239</v>
      </c>
      <c r="C81" s="36" t="n"/>
      <c r="D81" s="36" t="n">
        <v>0</v>
      </c>
      <c r="E81" s="36" t="n"/>
      <c r="F81" s="36" t="n">
        <v>0</v>
      </c>
      <c r="G81" s="36" t="n">
        <v>0</v>
      </c>
      <c r="H81" s="36" t="n">
        <v>17924</v>
      </c>
      <c r="I81" s="36" t="n">
        <v>18478</v>
      </c>
      <c r="J81" s="36" t="n"/>
      <c r="K81" s="36" t="n"/>
      <c r="L81" s="37" t="n"/>
      <c r="M81" s="36" t="n"/>
      <c r="N81" s="37" t="n">
        <v>17658355.82</v>
      </c>
      <c r="O81" s="37" t="n">
        <v>26377.2891</v>
      </c>
      <c r="P81" s="37" t="n">
        <v>408.8611</v>
      </c>
      <c r="Q81" s="36" t="n">
        <v>5793.56</v>
      </c>
      <c r="R81" s="37" t="n">
        <v>334704745.5059</v>
      </c>
      <c r="S81" s="37" t="n">
        <v>999814586.5721999</v>
      </c>
      <c r="T81" s="38">
        <f>IF(OR(R81="",R80=""),"",R81-R80)</f>
        <v/>
      </c>
      <c r="U81" s="38">
        <f>IF(OR(S81="",S80=""),"",S81-S80)</f>
        <v/>
      </c>
      <c r="V81" s="38">
        <f>IF(OR(U81="",P81=""),"",U81+P81)</f>
        <v/>
      </c>
      <c r="W81" s="38">
        <f>IF(OR(T81="",O81="",P81=""),"",T81-O81+P81)</f>
        <v/>
      </c>
    </row>
    <row r="82">
      <c r="A82" s="30" t="n">
        <v>45736</v>
      </c>
      <c r="B82" s="36" t="n">
        <v>4798349094.547944</v>
      </c>
      <c r="C82" s="36" t="n"/>
      <c r="D82" s="36" t="n">
        <v>0</v>
      </c>
      <c r="E82" s="36" t="n">
        <v>1360250.11</v>
      </c>
      <c r="F82" s="36" t="n">
        <v>0</v>
      </c>
      <c r="G82" s="36" t="n">
        <v>0</v>
      </c>
      <c r="H82" s="36" t="n">
        <v>13612</v>
      </c>
      <c r="I82" s="36" t="n">
        <v>14033</v>
      </c>
      <c r="J82" s="36" t="n">
        <v>222.6507295013012</v>
      </c>
      <c r="K82" s="36" t="n">
        <v>35438.86</v>
      </c>
      <c r="L82" s="37" t="n">
        <v>93242.48</v>
      </c>
      <c r="M82" s="36" t="n">
        <v>1360250.11</v>
      </c>
      <c r="N82" s="37" t="n">
        <v>17751598.3</v>
      </c>
      <c r="O82" s="37" t="n">
        <v>26389.3845</v>
      </c>
      <c r="P82" s="37" t="n">
        <v>1047.6243</v>
      </c>
      <c r="Q82" s="36" t="n">
        <v>16362.32</v>
      </c>
      <c r="R82" s="37" t="n">
        <v>334715599.3143</v>
      </c>
      <c r="S82" s="37" t="n">
        <v>999813538.9479001</v>
      </c>
      <c r="T82" s="38">
        <f>IF(OR(R82="",R81=""),"",R82-R81)</f>
        <v/>
      </c>
      <c r="U82" s="38">
        <f>IF(OR(S82="",S81=""),"",S82-S81)</f>
        <v/>
      </c>
      <c r="V82" s="38">
        <f>IF(OR(U82="",P82=""),"",U82+P82)</f>
        <v/>
      </c>
      <c r="W82" s="38">
        <f>IF(OR(T82="",O82="",P82=""),"",T82-O82+P82)</f>
        <v/>
      </c>
    </row>
    <row r="83">
      <c r="A83" s="30" t="n">
        <v>45737</v>
      </c>
      <c r="B83" s="36" t="n">
        <v>3535282613.280395</v>
      </c>
      <c r="C83" s="36" t="n"/>
      <c r="D83" s="36" t="n">
        <v>0</v>
      </c>
      <c r="E83" s="36" t="n">
        <v>1031164.897</v>
      </c>
      <c r="F83" s="36" t="n">
        <v>0</v>
      </c>
      <c r="G83" s="36" t="n">
        <v>0</v>
      </c>
      <c r="H83" s="36" t="n">
        <v>11995</v>
      </c>
      <c r="I83" s="36" t="n">
        <v>12366</v>
      </c>
      <c r="J83" s="36" t="n">
        <v>2823.908911723948</v>
      </c>
      <c r="K83" s="36" t="n">
        <v>45038.24</v>
      </c>
      <c r="L83" s="37" t="n">
        <v>70431.98</v>
      </c>
      <c r="M83" s="36" t="n">
        <v>1031164.897</v>
      </c>
      <c r="N83" s="37" t="n">
        <v>17822030.28</v>
      </c>
      <c r="O83" s="37" t="n">
        <v>26422.8998</v>
      </c>
      <c r="P83" s="37" t="n">
        <v>592.8651</v>
      </c>
      <c r="Q83" s="36" t="n">
        <v>8389.629999999999</v>
      </c>
      <c r="R83" s="37" t="n">
        <v>334726951.3235</v>
      </c>
      <c r="S83" s="37" t="n">
        <v>999812946.0828</v>
      </c>
      <c r="T83" s="38">
        <f>IF(OR(R83="",R82=""),"",R83-R82)</f>
        <v/>
      </c>
      <c r="U83" s="38">
        <f>IF(OR(S83="",S82=""),"",S83-S82)</f>
        <v/>
      </c>
      <c r="V83" s="38">
        <f>IF(OR(U83="",P83=""),"",U83+P83)</f>
        <v/>
      </c>
      <c r="W83" s="38">
        <f>IF(OR(T83="",O83="",P83=""),"",T83-O83+P83)</f>
        <v/>
      </c>
    </row>
    <row r="84">
      <c r="A84" s="30" t="n">
        <v>45738</v>
      </c>
      <c r="B84" s="36" t="n">
        <v>2045427812.0682</v>
      </c>
      <c r="C84" s="36" t="n"/>
      <c r="D84" s="36" t="n">
        <v>0</v>
      </c>
      <c r="E84" s="36" t="n">
        <v>847303.1758</v>
      </c>
      <c r="F84" s="36" t="n">
        <v>0</v>
      </c>
      <c r="G84" s="36" t="n">
        <v>0</v>
      </c>
      <c r="H84" s="36" t="n">
        <v>8184</v>
      </c>
      <c r="I84" s="36" t="n">
        <v>8437</v>
      </c>
      <c r="J84" s="36" t="n">
        <v>212.6556887149742</v>
      </c>
      <c r="K84" s="36" t="n">
        <v>57676.12</v>
      </c>
      <c r="L84" s="37" t="n">
        <v>53131.87</v>
      </c>
      <c r="M84" s="36" t="n">
        <v>847303.1758</v>
      </c>
      <c r="N84" s="37" t="n">
        <v>17875162.15</v>
      </c>
      <c r="O84" s="37" t="n">
        <v>26439.0599</v>
      </c>
      <c r="P84" s="37" t="n">
        <v>633.9893</v>
      </c>
      <c r="Q84" s="36" t="n">
        <v>10097.86</v>
      </c>
      <c r="R84" s="37" t="n">
        <v>334738288.4362</v>
      </c>
      <c r="S84" s="37" t="n">
        <v>999812312.0935</v>
      </c>
      <c r="T84" s="38">
        <f>IF(OR(R84="",R83=""),"",R84-R83)</f>
        <v/>
      </c>
      <c r="U84" s="38">
        <f>IF(OR(S84="",S83=""),"",S84-S83)</f>
        <v/>
      </c>
      <c r="V84" s="38">
        <f>IF(OR(U84="",P84=""),"",U84+P84)</f>
        <v/>
      </c>
      <c r="W84" s="38">
        <f>IF(OR(T84="",O84="",P84=""),"",T84-O84+P84)</f>
        <v/>
      </c>
    </row>
    <row r="85">
      <c r="A85" s="30" t="n">
        <v>45739</v>
      </c>
      <c r="B85" s="36" t="n">
        <v>2462791312.632705</v>
      </c>
      <c r="C85" s="36" t="n"/>
      <c r="D85" s="36" t="n">
        <v>0</v>
      </c>
      <c r="E85" s="36" t="n">
        <v>450708.7431</v>
      </c>
      <c r="F85" s="36" t="n">
        <v>0</v>
      </c>
      <c r="G85" s="36" t="n">
        <v>0</v>
      </c>
      <c r="H85" s="36" t="n">
        <v>6361</v>
      </c>
      <c r="I85" s="36" t="n">
        <v>6558</v>
      </c>
      <c r="J85" s="36" t="n">
        <v>313.5206917487216</v>
      </c>
      <c r="K85" s="36" t="n">
        <v>0</v>
      </c>
      <c r="L85" s="37" t="n">
        <v>28455.13</v>
      </c>
      <c r="M85" s="36" t="n">
        <v>450708.7431</v>
      </c>
      <c r="N85" s="37" t="n">
        <v>17903617.28</v>
      </c>
      <c r="O85" s="37" t="n">
        <v>26250.6168</v>
      </c>
      <c r="P85" s="37" t="n">
        <v>393.117</v>
      </c>
      <c r="Q85" s="36" t="n">
        <v>6122.6</v>
      </c>
      <c r="R85" s="37" t="n">
        <v>334749684.0839</v>
      </c>
      <c r="S85" s="37" t="n">
        <v>999811918.9765</v>
      </c>
      <c r="T85" s="38">
        <f>IF(OR(R85="",R84=""),"",R85-R84)</f>
        <v/>
      </c>
      <c r="U85" s="38">
        <f>IF(OR(S85="",S84=""),"",S85-S84)</f>
        <v/>
      </c>
      <c r="V85" s="38">
        <f>IF(OR(U85="",P85=""),"",U85+P85)</f>
        <v/>
      </c>
      <c r="W85" s="38">
        <f>IF(OR(T85="",O85="",P85=""),"",T85-O85+P85)</f>
        <v/>
      </c>
    </row>
    <row r="86">
      <c r="A86" s="30" t="n">
        <v>45740</v>
      </c>
      <c r="B86" s="36" t="n">
        <v>5105825634.546457</v>
      </c>
      <c r="C86" s="36" t="n"/>
      <c r="D86" s="36" t="n">
        <v>0</v>
      </c>
      <c r="E86" s="36" t="n">
        <v>829053.8093</v>
      </c>
      <c r="F86" s="36" t="n">
        <v>0</v>
      </c>
      <c r="G86" s="36" t="n">
        <v>0</v>
      </c>
      <c r="H86" s="36" t="n">
        <v>18609</v>
      </c>
      <c r="I86" s="36" t="n">
        <v>19185</v>
      </c>
      <c r="J86" s="36" t="n">
        <v>377.7330302472752</v>
      </c>
      <c r="K86" s="36" t="n">
        <v>49980</v>
      </c>
      <c r="L86" s="37" t="n">
        <v>49430.03</v>
      </c>
      <c r="M86" s="36" t="n">
        <v>829053.8093</v>
      </c>
      <c r="N86" s="37" t="n">
        <v>17953047.31</v>
      </c>
      <c r="O86" s="37" t="n">
        <v>26407.9725</v>
      </c>
      <c r="P86" s="37" t="n">
        <v>282.117</v>
      </c>
      <c r="Q86" s="36" t="n">
        <v>4596.11</v>
      </c>
      <c r="R86" s="37" t="n">
        <v>334761309.1772</v>
      </c>
      <c r="S86" s="37" t="n">
        <v>999811636.8595001</v>
      </c>
      <c r="T86" s="38">
        <f>IF(OR(R86="",R85=""),"",R86-R85)</f>
        <v/>
      </c>
      <c r="U86" s="38">
        <f>IF(OR(S86="",S85=""),"",S86-S85)</f>
        <v/>
      </c>
      <c r="V86" s="38">
        <f>IF(OR(U86="",P86=""),"",U86+P86)</f>
        <v/>
      </c>
      <c r="W86" s="38">
        <f>IF(OR(T86="",O86="",P86=""),"",T86-O86+P86)</f>
        <v/>
      </c>
    </row>
    <row r="87">
      <c r="A87" s="30" t="n">
        <v>45741</v>
      </c>
      <c r="B87" s="36" t="n">
        <v>3932030198.711734</v>
      </c>
      <c r="C87" s="36" t="n"/>
      <c r="D87" s="36" t="n">
        <v>0</v>
      </c>
      <c r="E87" s="36" t="n">
        <v>1041581.334</v>
      </c>
      <c r="F87" s="36" t="n">
        <v>0</v>
      </c>
      <c r="G87" s="36" t="n">
        <v>0</v>
      </c>
      <c r="H87" s="36" t="n">
        <v>11179</v>
      </c>
      <c r="I87" s="36" t="n">
        <v>11525</v>
      </c>
      <c r="J87" s="36" t="n">
        <v>325.8671064719514</v>
      </c>
      <c r="K87" s="36" t="n">
        <v>63542.04</v>
      </c>
      <c r="L87" s="37" t="n">
        <v>63584.4</v>
      </c>
      <c r="M87" s="36" t="n">
        <v>1041581.334</v>
      </c>
      <c r="N87" s="37" t="n">
        <v>18016631.71</v>
      </c>
      <c r="O87" s="37" t="n">
        <v>26408.1199</v>
      </c>
      <c r="P87" s="37" t="n">
        <v>874.4752</v>
      </c>
      <c r="Q87" s="36" t="n">
        <v>14662.32</v>
      </c>
      <c r="R87" s="37" t="n">
        <v>334772362.5115</v>
      </c>
      <c r="S87" s="37" t="n">
        <v>999810762.3843</v>
      </c>
      <c r="T87" s="38">
        <f>IF(OR(R87="",R86=""),"",R87-R86)</f>
        <v/>
      </c>
      <c r="U87" s="38">
        <f>IF(OR(S87="",S86=""),"",S87-S86)</f>
        <v/>
      </c>
      <c r="V87" s="38">
        <f>IF(OR(U87="",P87=""),"",U87+P87)</f>
        <v/>
      </c>
      <c r="W87" s="38">
        <f>IF(OR(T87="",O87="",P87=""),"",T87-O87+P87)</f>
        <v/>
      </c>
    </row>
    <row r="88">
      <c r="A88" s="30" t="n">
        <v>45742</v>
      </c>
      <c r="B88" s="36" t="n">
        <v>4546459279.561303</v>
      </c>
      <c r="C88" s="36" t="n"/>
      <c r="D88" s="36" t="n">
        <v>0</v>
      </c>
      <c r="E88" s="36" t="n">
        <v>829339.3903</v>
      </c>
      <c r="F88" s="36" t="n">
        <v>0</v>
      </c>
      <c r="G88" s="36" t="n">
        <v>0</v>
      </c>
      <c r="H88" s="36" t="n">
        <v>60200</v>
      </c>
      <c r="I88" s="36" t="n">
        <v>62061</v>
      </c>
      <c r="J88" s="36" t="n">
        <v>520.8885075694191</v>
      </c>
      <c r="K88" s="36" t="n">
        <v>0</v>
      </c>
      <c r="L88" s="37" t="n">
        <v>57631.29</v>
      </c>
      <c r="M88" s="36" t="n">
        <v>829339.3903</v>
      </c>
      <c r="N88" s="37" t="n">
        <v>18074263</v>
      </c>
      <c r="O88" s="37" t="n">
        <v>26422.3743</v>
      </c>
      <c r="P88" s="37" t="n">
        <v>418.2386</v>
      </c>
      <c r="Q88" s="36" t="n">
        <v>6705.62</v>
      </c>
      <c r="R88" s="37" t="n">
        <v>334783883.8816</v>
      </c>
      <c r="S88" s="37" t="n">
        <v>999810344.1457</v>
      </c>
      <c r="T88" s="38">
        <f>IF(OR(R88="",R87=""),"",R88-R87)</f>
        <v/>
      </c>
      <c r="U88" s="38">
        <f>IF(OR(S88="",S87=""),"",S88-S87)</f>
        <v/>
      </c>
      <c r="V88" s="38">
        <f>IF(OR(U88="",P88=""),"",U88+P88)</f>
        <v/>
      </c>
      <c r="W88" s="38">
        <f>IF(OR(T88="",O88="",P88=""),"",T88-O88+P88)</f>
        <v/>
      </c>
    </row>
    <row r="89">
      <c r="A89" s="30" t="n">
        <v>45743</v>
      </c>
      <c r="B89" s="36" t="n">
        <v>2968017787.671563</v>
      </c>
      <c r="C89" s="36" t="n"/>
      <c r="D89" s="36" t="n">
        <v>0</v>
      </c>
      <c r="E89" s="36" t="n">
        <v>1118366.468</v>
      </c>
      <c r="F89" s="36" t="n">
        <v>0</v>
      </c>
      <c r="G89" s="36" t="n">
        <v>0</v>
      </c>
      <c r="H89" s="36" t="n">
        <v>11862</v>
      </c>
      <c r="I89" s="36" t="n">
        <v>12229</v>
      </c>
      <c r="J89" s="36" t="n">
        <v>170.7250606801719</v>
      </c>
      <c r="K89" s="36" t="n">
        <v>145034.84</v>
      </c>
      <c r="L89" s="37" t="n">
        <v>77117.5</v>
      </c>
      <c r="M89" s="36" t="n">
        <v>1118366.468</v>
      </c>
      <c r="N89" s="37" t="n">
        <v>18151380.5</v>
      </c>
      <c r="O89" s="37" t="n">
        <v>26404.3816</v>
      </c>
      <c r="P89" s="37" t="n">
        <v>3348.6945</v>
      </c>
      <c r="Q89" s="36" t="n">
        <v>47070.92</v>
      </c>
      <c r="R89" s="37" t="n">
        <v>334792463.6356</v>
      </c>
      <c r="S89" s="37" t="n">
        <v>999806995.4512</v>
      </c>
      <c r="T89" s="38">
        <f>IF(OR(R89="",R88=""),"",R89-R88)</f>
        <v/>
      </c>
      <c r="U89" s="38">
        <f>IF(OR(S89="",S88=""),"",S89-S88)</f>
        <v/>
      </c>
      <c r="V89" s="38">
        <f>IF(OR(U89="",P89=""),"",U89+P89)</f>
        <v/>
      </c>
      <c r="W89" s="38">
        <f>IF(OR(T89="",O89="",P89=""),"",T89-O89+P89)</f>
        <v/>
      </c>
    </row>
    <row r="90">
      <c r="A90" s="30" t="n">
        <v>45744</v>
      </c>
      <c r="B90" s="36" t="n">
        <v>4696027441.767789</v>
      </c>
      <c r="C90" s="36" t="n"/>
      <c r="D90" s="36" t="n">
        <v>0</v>
      </c>
      <c r="E90" s="36" t="n">
        <v>828868.4987</v>
      </c>
      <c r="F90" s="36" t="n">
        <v>0</v>
      </c>
      <c r="G90" s="36" t="n">
        <v>0</v>
      </c>
      <c r="H90" s="36" t="n">
        <v>17635</v>
      </c>
      <c r="I90" s="36" t="n">
        <v>18181</v>
      </c>
      <c r="J90" s="36" t="n">
        <v>148.9020700611663</v>
      </c>
      <c r="K90" s="36" t="n">
        <v>0</v>
      </c>
      <c r="L90" s="37" t="n">
        <v>62740.01</v>
      </c>
      <c r="M90" s="36" t="n">
        <v>828868.4987</v>
      </c>
      <c r="N90" s="37" t="n">
        <v>18214120.51</v>
      </c>
      <c r="O90" s="37" t="n">
        <v>26355.4575</v>
      </c>
      <c r="P90" s="37" t="n">
        <v>572.3714</v>
      </c>
      <c r="Q90" s="36" t="n">
        <v>8353.190000000001</v>
      </c>
      <c r="R90" s="37" t="n">
        <v>334803747.7969</v>
      </c>
      <c r="S90" s="37" t="n">
        <v>999806423.0798</v>
      </c>
      <c r="T90" s="38">
        <f>IF(OR(R90="",R89=""),"",R90-R89)</f>
        <v/>
      </c>
      <c r="U90" s="38">
        <f>IF(OR(S90="",S89=""),"",S90-S89)</f>
        <v/>
      </c>
      <c r="V90" s="38">
        <f>IF(OR(U90="",P90=""),"",U90+P90)</f>
        <v/>
      </c>
      <c r="W90" s="38">
        <f>IF(OR(T90="",O90="",P90=""),"",T90-O90+P90)</f>
        <v/>
      </c>
    </row>
    <row r="91">
      <c r="A91" s="30" t="n">
        <v>45745</v>
      </c>
      <c r="B91" s="36" t="n">
        <v>3300437272.578557</v>
      </c>
      <c r="C91" s="36" t="n"/>
      <c r="D91" s="36" t="n">
        <v>0</v>
      </c>
      <c r="E91" s="36" t="n">
        <v>901117.2336</v>
      </c>
      <c r="F91" s="36" t="n">
        <v>0</v>
      </c>
      <c r="G91" s="36" t="n">
        <v>0</v>
      </c>
      <c r="H91" s="36" t="n">
        <v>12226</v>
      </c>
      <c r="I91" s="36" t="n">
        <v>12604</v>
      </c>
      <c r="J91" s="36" t="n">
        <v>123.1480614605451</v>
      </c>
      <c r="K91" s="36" t="n">
        <v>53370.55</v>
      </c>
      <c r="L91" s="37" t="n">
        <v>70357.02</v>
      </c>
      <c r="M91" s="36" t="n">
        <v>901117.2336</v>
      </c>
      <c r="N91" s="37" t="n">
        <v>18284477.53</v>
      </c>
      <c r="O91" s="37" t="n">
        <v>26368.156</v>
      </c>
      <c r="P91" s="37" t="n">
        <v>574.8896</v>
      </c>
      <c r="Q91" s="36" t="n">
        <v>7698.63</v>
      </c>
      <c r="R91" s="37" t="n">
        <v>334815048.8904</v>
      </c>
      <c r="S91" s="37" t="n">
        <v>999805848.1902</v>
      </c>
      <c r="T91" s="38">
        <f>IF(OR(R91="",R90=""),"",R91-R90)</f>
        <v/>
      </c>
      <c r="U91" s="38">
        <f>IF(OR(S91="",S90=""),"",S91-S90)</f>
        <v/>
      </c>
      <c r="V91" s="38">
        <f>IF(OR(U91="",P91=""),"",U91+P91)</f>
        <v/>
      </c>
      <c r="W91" s="38">
        <f>IF(OR(T91="",O91="",P91=""),"",T91-O91+P91)</f>
        <v/>
      </c>
    </row>
    <row r="92">
      <c r="A92" s="30" t="n">
        <v>45746</v>
      </c>
      <c r="B92" s="36" t="n">
        <v>2774062341.433435</v>
      </c>
      <c r="C92" s="36" t="n"/>
      <c r="D92" s="36" t="n">
        <v>0</v>
      </c>
      <c r="E92" s="36" t="n">
        <v>696924.2389999999</v>
      </c>
      <c r="F92" s="36" t="n">
        <v>0</v>
      </c>
      <c r="G92" s="36" t="n">
        <v>0</v>
      </c>
      <c r="H92" s="36" t="n">
        <v>7203</v>
      </c>
      <c r="I92" s="36" t="n">
        <v>7425</v>
      </c>
      <c r="J92" s="36" t="n">
        <v>101.8783737082079</v>
      </c>
      <c r="K92" s="36" t="n">
        <v>45820.11</v>
      </c>
      <c r="L92" s="37" t="n">
        <v>55468.07</v>
      </c>
      <c r="M92" s="36" t="n">
        <v>696924.2389999999</v>
      </c>
      <c r="N92" s="37" t="n">
        <v>18339945.6</v>
      </c>
      <c r="O92" s="37" t="n">
        <v>26361.1944</v>
      </c>
      <c r="P92" s="37" t="n">
        <v>564.418</v>
      </c>
      <c r="Q92" s="36" t="n">
        <v>7222.57</v>
      </c>
      <c r="R92" s="37" t="n">
        <v>334826339.7432</v>
      </c>
      <c r="S92" s="37" t="n">
        <v>999805283.7722</v>
      </c>
      <c r="T92" s="38">
        <f>IF(OR(R92="",R91=""),"",R92-R91)</f>
        <v/>
      </c>
      <c r="U92" s="38">
        <f>IF(OR(S92="",S91=""),"",S92-S91)</f>
        <v/>
      </c>
      <c r="V92" s="38">
        <f>IF(OR(U92="",P92=""),"",U92+P92)</f>
        <v/>
      </c>
      <c r="W92" s="38">
        <f>IF(OR(T92="",O92="",P92=""),"",T92-O92+P92)</f>
        <v/>
      </c>
    </row>
    <row r="93">
      <c r="A93" s="30" t="n">
        <v>45747</v>
      </c>
      <c r="B93" s="36" t="n">
        <v>5786815779.419011</v>
      </c>
      <c r="C93" s="36" t="n"/>
      <c r="D93" s="36" t="n">
        <v>0</v>
      </c>
      <c r="E93" s="36" t="n">
        <v>895707.816</v>
      </c>
      <c r="F93" s="36" t="n">
        <v>0</v>
      </c>
      <c r="G93" s="36" t="n">
        <v>0</v>
      </c>
      <c r="H93" s="36" t="n">
        <v>12269</v>
      </c>
      <c r="I93" s="36" t="n">
        <v>12648</v>
      </c>
      <c r="J93" s="36" t="n">
        <v>396.5736642050702</v>
      </c>
      <c r="K93" s="36" t="n">
        <v>0</v>
      </c>
      <c r="L93" s="37" t="n">
        <v>68018.00999999999</v>
      </c>
      <c r="M93" s="36" t="n">
        <v>895707.816</v>
      </c>
      <c r="N93" s="37" t="n">
        <v>18407963.61</v>
      </c>
      <c r="O93" s="37" t="n">
        <v>26329.3381</v>
      </c>
      <c r="P93" s="37" t="n">
        <v>300.1917</v>
      </c>
      <c r="Q93" s="36" t="n">
        <v>3746.69</v>
      </c>
      <c r="R93" s="37" t="n">
        <v>334837845.1698</v>
      </c>
      <c r="S93" s="37" t="n">
        <v>999804983.5805</v>
      </c>
      <c r="T93" s="38">
        <f>IF(OR(R93="",R92=""),"",R93-R92)</f>
        <v/>
      </c>
      <c r="U93" s="38">
        <f>IF(OR(S93="",S92=""),"",S93-S92)</f>
        <v/>
      </c>
      <c r="V93" s="38">
        <f>IF(OR(U93="",P93=""),"",U93+P93)</f>
        <v/>
      </c>
      <c r="W93" s="38">
        <f>IF(OR(T93="",O93="",P93=""),"",T93-O93+P93)</f>
        <v/>
      </c>
    </row>
    <row r="94">
      <c r="A94" s="30" t="n">
        <v>45748</v>
      </c>
      <c r="B94" s="36" t="n">
        <v>5024540120.028457</v>
      </c>
      <c r="C94" s="36" t="n"/>
      <c r="D94" s="36" t="n">
        <v>0</v>
      </c>
      <c r="E94" s="36" t="n">
        <v>1148306.088</v>
      </c>
      <c r="F94" s="36" t="n">
        <v>0</v>
      </c>
      <c r="G94" s="36" t="n">
        <v>0</v>
      </c>
      <c r="H94" s="36" t="n">
        <v>8930</v>
      </c>
      <c r="I94" s="36" t="n">
        <v>9206</v>
      </c>
      <c r="J94" s="36" t="n">
        <v>239.9249564471868</v>
      </c>
      <c r="K94" s="36" t="n">
        <v>49127.38</v>
      </c>
      <c r="L94" s="37" t="n">
        <v>85214.7</v>
      </c>
      <c r="M94" s="36" t="n">
        <v>1148306.088</v>
      </c>
      <c r="N94" s="37" t="n">
        <v>18493178.31</v>
      </c>
      <c r="O94" s="37" t="n">
        <v>26348.1635</v>
      </c>
      <c r="P94" s="37" t="n">
        <v>564.9225</v>
      </c>
      <c r="Q94" s="36" t="n">
        <v>7337.5</v>
      </c>
      <c r="R94" s="37" t="n">
        <v>334849120.4282</v>
      </c>
      <c r="S94" s="37" t="n">
        <v>999804418.658</v>
      </c>
      <c r="T94" s="38">
        <f>IF(OR(R94="",R93=""),"",R94-R93)</f>
        <v/>
      </c>
      <c r="U94" s="38">
        <f>IF(OR(S94="",S93=""),"",S94-S93)</f>
        <v/>
      </c>
      <c r="V94" s="38">
        <f>IF(OR(U94="",P94=""),"",U94+P94)</f>
        <v/>
      </c>
      <c r="W94" s="38">
        <f>IF(OR(T94="",O94="",P94=""),"",T94-O94+P94)</f>
        <v/>
      </c>
    </row>
    <row r="95">
      <c r="A95" s="30" t="n">
        <v>45749</v>
      </c>
      <c r="B95" s="36" t="n">
        <v>8109376458.284445</v>
      </c>
      <c r="C95" s="36" t="n"/>
      <c r="D95" s="36" t="n">
        <v>0</v>
      </c>
      <c r="E95" s="36" t="n">
        <v>999399.2316000001</v>
      </c>
      <c r="F95" s="36" t="n">
        <v>0</v>
      </c>
      <c r="G95" s="36" t="n">
        <v>0</v>
      </c>
      <c r="H95" s="36" t="n">
        <v>21650</v>
      </c>
      <c r="I95" s="36" t="n">
        <v>22319</v>
      </c>
      <c r="J95" s="36" t="n">
        <v>190.268371598262</v>
      </c>
      <c r="K95" s="36" t="n">
        <v>40627.7</v>
      </c>
      <c r="L95" s="37" t="n">
        <v>83892.06</v>
      </c>
      <c r="M95" s="36" t="n">
        <v>999399.2316000001</v>
      </c>
      <c r="N95" s="37" t="n">
        <v>18577070.37</v>
      </c>
      <c r="O95" s="37" t="n">
        <v>6623.2099</v>
      </c>
      <c r="P95" s="37" t="n">
        <v>54.2361</v>
      </c>
      <c r="Q95" s="36" t="n">
        <v>706.9400000000001</v>
      </c>
      <c r="R95" s="37" t="n">
        <v>334852487.956</v>
      </c>
      <c r="S95" s="37" t="n">
        <v>999803866.1991</v>
      </c>
      <c r="T95" s="38">
        <f>IF(OR(R95="",R94=""),"",R95-R94)</f>
        <v/>
      </c>
      <c r="U95" s="38">
        <f>IF(OR(S95="",S94=""),"",S95-S94)</f>
        <v/>
      </c>
      <c r="V95" s="38">
        <f>IF(OR(U95="",P95=""),"",U95+P95)</f>
        <v/>
      </c>
      <c r="W95" s="38">
        <f>IF(OR(T95="",O95="",P95=""),"",T95-O95+P95)</f>
        <v/>
      </c>
    </row>
    <row r="96">
      <c r="A96" s="30" t="n">
        <v>45750</v>
      </c>
      <c r="B96" s="36" t="n">
        <v>5930229209.413551</v>
      </c>
      <c r="C96" s="36" t="n"/>
      <c r="D96" s="36" t="n">
        <v>0</v>
      </c>
      <c r="E96" s="36" t="n">
        <v>1706987.162</v>
      </c>
      <c r="F96" s="36" t="n">
        <v>0</v>
      </c>
      <c r="G96" s="36" t="n">
        <v>0</v>
      </c>
      <c r="H96" s="36" t="n">
        <v>17941</v>
      </c>
      <c r="I96" s="36" t="n">
        <v>18496</v>
      </c>
      <c r="J96" s="36" t="n">
        <v>137.8949377601271</v>
      </c>
      <c r="K96" s="36" t="n">
        <v>43356.89</v>
      </c>
      <c r="L96" s="37" t="n">
        <v>147349.1</v>
      </c>
      <c r="M96" s="36" t="n">
        <v>1706987.162</v>
      </c>
      <c r="N96" s="37" t="n">
        <v>18724419.47</v>
      </c>
      <c r="O96" s="37" t="n">
        <v>19999.2249</v>
      </c>
      <c r="P96" s="37" t="n">
        <v>883.6477</v>
      </c>
      <c r="Q96" s="36" t="n">
        <v>10654.14</v>
      </c>
      <c r="R96" s="37" t="n">
        <v>334857081.3299</v>
      </c>
      <c r="S96" s="37" t="n">
        <v>999802982.5513</v>
      </c>
      <c r="T96" s="38">
        <f>IF(OR(R96="",R95=""),"",R96-R95)</f>
        <v/>
      </c>
      <c r="U96" s="38">
        <f>IF(OR(S96="",S95=""),"",S96-S95)</f>
        <v/>
      </c>
      <c r="V96" s="38">
        <f>IF(OR(U96="",P96=""),"",U96+P96)</f>
        <v/>
      </c>
      <c r="W96" s="38">
        <f>IF(OR(T96="",O96="",P96=""),"",T96-O96+P96)</f>
        <v/>
      </c>
    </row>
    <row r="97">
      <c r="A97" s="30" t="n">
        <v>45751</v>
      </c>
      <c r="B97" s="36" t="n">
        <v>7751080977.472291</v>
      </c>
      <c r="C97" s="36" t="n"/>
      <c r="D97" s="36" t="n">
        <v>0</v>
      </c>
      <c r="E97" s="36" t="n">
        <v>1341664.156</v>
      </c>
      <c r="F97" s="36" t="n">
        <v>0</v>
      </c>
      <c r="G97" s="36" t="n">
        <v>0</v>
      </c>
      <c r="H97" s="36" t="n">
        <v>16969</v>
      </c>
      <c r="I97" s="36" t="n">
        <v>17493</v>
      </c>
      <c r="J97" s="36" t="n">
        <v>141.3380405329709</v>
      </c>
      <c r="K97" s="36" t="n">
        <v>47949.77</v>
      </c>
      <c r="L97" s="37" t="n">
        <v>110859.2</v>
      </c>
      <c r="M97" s="36" t="n">
        <v>1341664.156</v>
      </c>
      <c r="N97" s="37" t="n">
        <v>18835278.67</v>
      </c>
      <c r="O97" s="37" t="n">
        <v>26342.9936</v>
      </c>
      <c r="P97" s="37" t="n">
        <v>1167.9452</v>
      </c>
      <c r="Q97" s="36" t="n">
        <v>13761.9</v>
      </c>
      <c r="R97" s="37" t="n">
        <v>334867729.5761</v>
      </c>
      <c r="S97" s="37" t="n">
        <v>999801814.6061</v>
      </c>
      <c r="T97" s="38">
        <f>IF(OR(R97="",R96=""),"",R97-R96)</f>
        <v/>
      </c>
      <c r="U97" s="38">
        <f>IF(OR(S97="",S96=""),"",S97-S96)</f>
        <v/>
      </c>
      <c r="V97" s="38">
        <f>IF(OR(U97="",P97=""),"",U97+P97)</f>
        <v/>
      </c>
      <c r="W97" s="38">
        <f>IF(OR(T97="",O97="",P97=""),"",T97-O97+P97)</f>
        <v/>
      </c>
    </row>
    <row r="98">
      <c r="A98" s="30" t="n">
        <v>45752</v>
      </c>
      <c r="B98" s="36" t="n">
        <v>2430774311.148821</v>
      </c>
      <c r="C98" s="36" t="n"/>
      <c r="D98" s="36" t="n">
        <v>0</v>
      </c>
      <c r="E98" s="36" t="n">
        <v>1806393.176</v>
      </c>
      <c r="F98" s="36" t="n">
        <v>0</v>
      </c>
      <c r="G98" s="36" t="n">
        <v>0</v>
      </c>
      <c r="H98" s="36" t="n">
        <v>5986</v>
      </c>
      <c r="I98" s="36" t="n">
        <v>6171</v>
      </c>
      <c r="J98" s="36" t="n">
        <v>70.23900232124376</v>
      </c>
      <c r="K98" s="36" t="n">
        <v>0</v>
      </c>
      <c r="L98" s="37" t="n">
        <v>153210.93</v>
      </c>
      <c r="M98" s="36" t="n">
        <v>1806393.176</v>
      </c>
      <c r="N98" s="37" t="n">
        <v>18988489.6</v>
      </c>
      <c r="O98" s="37" t="n">
        <v>26344.3158</v>
      </c>
      <c r="P98" s="37" t="n">
        <v>1096.1885</v>
      </c>
      <c r="Q98" s="36" t="n">
        <v>13080.82</v>
      </c>
      <c r="R98" s="37" t="n">
        <v>334878442.0279</v>
      </c>
      <c r="S98" s="37" t="n">
        <v>999800718.4176</v>
      </c>
      <c r="T98" s="38">
        <f>IF(OR(R98="",R97=""),"",R98-R97)</f>
        <v/>
      </c>
      <c r="U98" s="38">
        <f>IF(OR(S98="",S97=""),"",S98-S97)</f>
        <v/>
      </c>
      <c r="V98" s="38">
        <f>IF(OR(U98="",P98=""),"",U98+P98)</f>
        <v/>
      </c>
      <c r="W98" s="38">
        <f>IF(OR(T98="",O98="",P98=""),"",T98-O98+P98)</f>
        <v/>
      </c>
    </row>
    <row r="99">
      <c r="A99" s="30" t="n">
        <v>45753</v>
      </c>
      <c r="B99" s="36" t="n">
        <v>7538397804.353545</v>
      </c>
      <c r="C99" s="36" t="n"/>
      <c r="D99" s="36" t="n">
        <v>0</v>
      </c>
      <c r="E99" s="36" t="n">
        <v>456748.8161</v>
      </c>
      <c r="F99" s="36" t="n">
        <v>0</v>
      </c>
      <c r="G99" s="36" t="n">
        <v>0</v>
      </c>
      <c r="H99" s="36" t="n">
        <v>17780</v>
      </c>
      <c r="I99" s="36" t="n">
        <v>18329</v>
      </c>
      <c r="J99" s="36" t="n">
        <v>86.21783880466637</v>
      </c>
      <c r="K99" s="36" t="n">
        <v>31043.55</v>
      </c>
      <c r="L99" s="37" t="n">
        <v>42454.63</v>
      </c>
      <c r="M99" s="36" t="n">
        <v>456748.8161</v>
      </c>
      <c r="N99" s="37" t="n">
        <v>19030944.23</v>
      </c>
      <c r="O99" s="37" t="n">
        <v>26306.8726</v>
      </c>
      <c r="P99" s="37" t="n">
        <v>316.5482</v>
      </c>
      <c r="Q99" s="36" t="n">
        <v>3773.73</v>
      </c>
      <c r="R99" s="37" t="n">
        <v>334889895.6273</v>
      </c>
      <c r="S99" s="37" t="n">
        <v>999800401.8694</v>
      </c>
      <c r="T99" s="38">
        <f>IF(OR(R99="",R98=""),"",R99-R98)</f>
        <v/>
      </c>
      <c r="U99" s="38">
        <f>IF(OR(S99="",S98=""),"",S99-S98)</f>
        <v/>
      </c>
      <c r="V99" s="38">
        <f>IF(OR(U99="",P99=""),"",U99+P99)</f>
        <v/>
      </c>
      <c r="W99" s="38">
        <f>IF(OR(T99="",O99="",P99=""),"",T99-O99+P99)</f>
        <v/>
      </c>
    </row>
    <row r="100">
      <c r="A100" s="30" t="n">
        <v>45754</v>
      </c>
      <c r="B100" s="36" t="n">
        <v>13309974115.71172</v>
      </c>
      <c r="C100" s="36" t="n"/>
      <c r="D100" s="36" t="n">
        <v>0</v>
      </c>
      <c r="E100" s="36" t="n">
        <v>2696151.302</v>
      </c>
      <c r="F100" s="36" t="n">
        <v>0</v>
      </c>
      <c r="G100" s="36" t="n">
        <v>0</v>
      </c>
      <c r="H100" s="36" t="n">
        <v>34970</v>
      </c>
      <c r="I100" s="36" t="n">
        <v>36051</v>
      </c>
      <c r="J100" s="36" t="n">
        <v>159.4357757973535</v>
      </c>
      <c r="K100" s="36" t="n">
        <v>21948.67</v>
      </c>
      <c r="L100" s="37" t="n">
        <v>256254.02</v>
      </c>
      <c r="M100" s="36" t="n">
        <v>2696151.302</v>
      </c>
      <c r="N100" s="37" t="n">
        <v>19287198.25</v>
      </c>
      <c r="O100" s="37" t="n">
        <v>26316.4147</v>
      </c>
      <c r="P100" s="37" t="n">
        <v>939.6004</v>
      </c>
      <c r="Q100" s="36" t="n">
        <v>9419.02</v>
      </c>
      <c r="R100" s="37" t="n">
        <v>334900746.749</v>
      </c>
      <c r="S100" s="37" t="n">
        <v>999799462.2690001</v>
      </c>
      <c r="T100" s="38">
        <f>IF(OR(R100="",R99=""),"",R100-R99)</f>
        <v/>
      </c>
      <c r="U100" s="38">
        <f>IF(OR(S100="",S99=""),"",S100-S99)</f>
        <v/>
      </c>
      <c r="V100" s="38">
        <f>IF(OR(U100="",P100=""),"",U100+P100)</f>
        <v/>
      </c>
      <c r="W100" s="38">
        <f>IF(OR(T100="",O100="",P100=""),"",T100-O100+P100)</f>
        <v/>
      </c>
    </row>
    <row r="101">
      <c r="A101" s="30" t="n">
        <v>45755</v>
      </c>
      <c r="B101" s="36" t="n">
        <v>7663480477.189616</v>
      </c>
      <c r="C101" s="36" t="n"/>
      <c r="D101" s="36" t="n">
        <v>0</v>
      </c>
      <c r="E101" s="36" t="n">
        <v>2383035.646</v>
      </c>
      <c r="F101" s="36" t="n">
        <v>0</v>
      </c>
      <c r="G101" s="36" t="n">
        <v>0</v>
      </c>
      <c r="H101" s="36" t="n">
        <v>20270</v>
      </c>
      <c r="I101" s="36" t="n">
        <v>20897</v>
      </c>
      <c r="J101" s="36" t="n">
        <v>260.9064576519706</v>
      </c>
      <c r="K101" s="36" t="n">
        <v>27563.24</v>
      </c>
      <c r="L101" s="37" t="n">
        <v>209565.99</v>
      </c>
      <c r="M101" s="36" t="n">
        <v>2383035.646</v>
      </c>
      <c r="N101" s="37" t="n">
        <v>19496764.24</v>
      </c>
      <c r="O101" s="37" t="n">
        <v>26338.7732</v>
      </c>
      <c r="P101" s="37" t="n">
        <v>2135.0213</v>
      </c>
      <c r="Q101" s="36" t="n">
        <v>24777.99</v>
      </c>
      <c r="R101" s="37" t="n">
        <v>334910440.7622</v>
      </c>
      <c r="S101" s="37" t="n">
        <v>999797327.2477</v>
      </c>
      <c r="T101" s="38">
        <f>IF(OR(R101="",R100=""),"",R101-R100)</f>
        <v/>
      </c>
      <c r="U101" s="38">
        <f>IF(OR(S101="",S100=""),"",S101-S100)</f>
        <v/>
      </c>
      <c r="V101" s="38">
        <f>IF(OR(U101="",P101=""),"",U101+P101)</f>
        <v/>
      </c>
      <c r="W101" s="38">
        <f>IF(OR(T101="",O101="",P101=""),"",T101-O101+P101)</f>
        <v/>
      </c>
    </row>
    <row r="102">
      <c r="A102" s="30" t="n">
        <v>45756</v>
      </c>
      <c r="B102" s="36" t="n">
        <v>12444620477.97867</v>
      </c>
      <c r="C102" s="36" t="n"/>
      <c r="D102" s="36" t="n">
        <v>0</v>
      </c>
      <c r="E102" s="36" t="n">
        <v>2265416.302</v>
      </c>
      <c r="F102" s="36" t="n">
        <v>0</v>
      </c>
      <c r="G102" s="36" t="n">
        <v>0</v>
      </c>
      <c r="H102" s="36" t="n">
        <v>35768</v>
      </c>
      <c r="I102" s="36" t="n">
        <v>36874</v>
      </c>
      <c r="J102" s="36" t="n">
        <v>1499.456863071</v>
      </c>
      <c r="K102" s="36" t="n">
        <v>0</v>
      </c>
      <c r="L102" s="37" t="n">
        <v>177028.08</v>
      </c>
      <c r="M102" s="36" t="n">
        <v>2265416.302</v>
      </c>
      <c r="N102" s="37" t="n">
        <v>19673792.32</v>
      </c>
      <c r="O102" s="37" t="n">
        <v>26379.045</v>
      </c>
      <c r="P102" s="37" t="n">
        <v>1189.0274</v>
      </c>
      <c r="Q102" s="36" t="n">
        <v>13705.32</v>
      </c>
      <c r="R102" s="37" t="n">
        <v>334921113.5882</v>
      </c>
      <c r="S102" s="37" t="n">
        <v>999796138.2203</v>
      </c>
      <c r="T102" s="38">
        <f>IF(OR(R102="",R101=""),"",R102-R101)</f>
        <v/>
      </c>
      <c r="U102" s="38">
        <f>IF(OR(S102="",S101=""),"",S102-S101)</f>
        <v/>
      </c>
      <c r="V102" s="38">
        <f>IF(OR(U102="",P102=""),"",U102+P102)</f>
        <v/>
      </c>
      <c r="W102" s="38">
        <f>IF(OR(T102="",O102="",P102=""),"",T102-O102+P102)</f>
        <v/>
      </c>
    </row>
    <row r="103">
      <c r="A103" s="30" t="n">
        <v>45757</v>
      </c>
      <c r="B103" s="36" t="n">
        <v>7229336568.384927</v>
      </c>
      <c r="C103" s="36" t="n"/>
      <c r="D103" s="36" t="n">
        <v>0</v>
      </c>
      <c r="E103" s="36" t="n">
        <v>2469028.056</v>
      </c>
      <c r="F103" s="36" t="n">
        <v>0</v>
      </c>
      <c r="G103" s="36" t="n">
        <v>0</v>
      </c>
      <c r="H103" s="36" t="n">
        <v>22023</v>
      </c>
      <c r="I103" s="36" t="n">
        <v>22705</v>
      </c>
      <c r="J103" s="36" t="n">
        <v>1905.243982577854</v>
      </c>
      <c r="K103" s="36" t="n">
        <v>34630.96</v>
      </c>
      <c r="L103" s="37" t="n">
        <v>179849.25</v>
      </c>
      <c r="M103" s="36" t="n">
        <v>2469028.056</v>
      </c>
      <c r="N103" s="37" t="n">
        <v>19853641.57</v>
      </c>
      <c r="O103" s="37" t="n">
        <v>26339.0337</v>
      </c>
      <c r="P103" s="37" t="n">
        <v>2125.1637</v>
      </c>
      <c r="Q103" s="36" t="n">
        <v>28758.78</v>
      </c>
      <c r="R103" s="37" t="n">
        <v>334930806.6489</v>
      </c>
      <c r="S103" s="37" t="n">
        <v>999794013.0566</v>
      </c>
      <c r="T103" s="38">
        <f>IF(OR(R103="",R102=""),"",R103-R102)</f>
        <v/>
      </c>
      <c r="U103" s="38">
        <f>IF(OR(S103="",S102=""),"",S103-S102)</f>
        <v/>
      </c>
      <c r="V103" s="38">
        <f>IF(OR(U103="",P103=""),"",U103+P103)</f>
        <v/>
      </c>
      <c r="W103" s="38">
        <f>IF(OR(T103="",O103="",P103=""),"",T103-O103+P103)</f>
        <v/>
      </c>
    </row>
    <row r="104">
      <c r="A104" s="30" t="n">
        <v>45758</v>
      </c>
      <c r="B104" s="36" t="n">
        <v>5544362890.154925</v>
      </c>
      <c r="C104" s="36" t="n"/>
      <c r="D104" s="36" t="n">
        <v>0</v>
      </c>
      <c r="E104" s="36" t="n">
        <v>1682430.291</v>
      </c>
      <c r="F104" s="36" t="n">
        <v>0</v>
      </c>
      <c r="G104" s="36" t="n">
        <v>0</v>
      </c>
      <c r="H104" s="36" t="n">
        <v>23717</v>
      </c>
      <c r="I104" s="36" t="n">
        <v>24450</v>
      </c>
      <c r="J104" s="36" t="n">
        <v>2810.807794830194</v>
      </c>
      <c r="K104" s="36" t="n">
        <v>34139.03</v>
      </c>
      <c r="L104" s="37" t="n">
        <v>109034.1</v>
      </c>
      <c r="M104" s="36" t="n">
        <v>1682430.291</v>
      </c>
      <c r="N104" s="37" t="n">
        <v>19962675.67</v>
      </c>
      <c r="O104" s="37" t="n">
        <v>26358.6189</v>
      </c>
      <c r="P104" s="37" t="n">
        <v>1005.1581</v>
      </c>
      <c r="Q104" s="36" t="n">
        <v>14256.16</v>
      </c>
      <c r="R104" s="37" t="n">
        <v>334941636.0661</v>
      </c>
      <c r="S104" s="37" t="n">
        <v>999793007.8985</v>
      </c>
      <c r="T104" s="38">
        <f>IF(OR(R104="",R103=""),"",R104-R103)</f>
        <v/>
      </c>
      <c r="U104" s="38">
        <f>IF(OR(S104="",S103=""),"",S104-S103)</f>
        <v/>
      </c>
      <c r="V104" s="38">
        <f>IF(OR(U104="",P104=""),"",U104+P104)</f>
        <v/>
      </c>
      <c r="W104" s="38">
        <f>IF(OR(T104="",O104="",P104=""),"",T104-O104+P104)</f>
        <v/>
      </c>
    </row>
    <row r="105">
      <c r="A105" s="30" t="n">
        <v>45759</v>
      </c>
      <c r="B105" s="36" t="n">
        <v>4949382648.127316</v>
      </c>
      <c r="C105" s="36" t="n"/>
      <c r="D105" s="36" t="n">
        <v>0</v>
      </c>
      <c r="E105" s="36" t="n">
        <v>1296921.483</v>
      </c>
      <c r="F105" s="36" t="n">
        <v>0</v>
      </c>
      <c r="G105" s="36" t="n">
        <v>0</v>
      </c>
      <c r="H105" s="36" t="n">
        <v>15230</v>
      </c>
      <c r="I105" s="36" t="n">
        <v>15701</v>
      </c>
      <c r="J105" s="36" t="n">
        <v>2732.477308877567</v>
      </c>
      <c r="K105" s="36" t="n">
        <v>0</v>
      </c>
      <c r="L105" s="37" t="n">
        <v>81751.52</v>
      </c>
      <c r="M105" s="36" t="n">
        <v>1296921.483</v>
      </c>
      <c r="N105" s="37" t="n">
        <v>20044427.19</v>
      </c>
      <c r="O105" s="37" t="n">
        <v>26323.9627</v>
      </c>
      <c r="P105" s="37" t="n">
        <v>1029.4553</v>
      </c>
      <c r="Q105" s="36" t="n">
        <v>15987.44</v>
      </c>
      <c r="R105" s="37" t="n">
        <v>334952392.92</v>
      </c>
      <c r="S105" s="37" t="n">
        <v>999791978.4431</v>
      </c>
      <c r="T105" s="38">
        <f>IF(OR(R105="",R104=""),"",R105-R104)</f>
        <v/>
      </c>
      <c r="U105" s="38">
        <f>IF(OR(S105="",S104=""),"",S105-S104)</f>
        <v/>
      </c>
      <c r="V105" s="38">
        <f>IF(OR(U105="",P105=""),"",U105+P105)</f>
        <v/>
      </c>
      <c r="W105" s="38">
        <f>IF(OR(T105="",O105="",P105=""),"",T105-O105+P105)</f>
        <v/>
      </c>
    </row>
    <row r="106">
      <c r="A106" s="30" t="n">
        <v>45760</v>
      </c>
      <c r="B106" s="36" t="n">
        <v>6199138478.012774</v>
      </c>
      <c r="C106" s="36" t="n"/>
      <c r="D106" s="36" t="n">
        <v>0</v>
      </c>
      <c r="E106" s="36" t="n">
        <v>1071942.308</v>
      </c>
      <c r="F106" s="36" t="n">
        <v>0</v>
      </c>
      <c r="G106" s="36" t="n">
        <v>0</v>
      </c>
      <c r="H106" s="36" t="n">
        <v>18121</v>
      </c>
      <c r="I106" s="36" t="n">
        <v>18682</v>
      </c>
      <c r="J106" s="36" t="n">
        <v>3018.641321384335</v>
      </c>
      <c r="K106" s="36" t="n">
        <v>17255.98</v>
      </c>
      <c r="L106" s="37" t="n">
        <v>69492.77</v>
      </c>
      <c r="M106" s="36" t="n">
        <v>1071942.308</v>
      </c>
      <c r="N106" s="37" t="n">
        <v>20113919.96</v>
      </c>
      <c r="O106" s="37" t="n">
        <v>26301.9331</v>
      </c>
      <c r="P106" s="37" t="n">
        <v>774.0534</v>
      </c>
      <c r="Q106" s="36" t="n">
        <v>12751.37</v>
      </c>
      <c r="R106" s="37" t="n">
        <v>334963374.0575</v>
      </c>
      <c r="S106" s="37" t="n">
        <v>999791204.3897001</v>
      </c>
      <c r="T106" s="38">
        <f>IF(OR(R106="",R105=""),"",R106-R105)</f>
        <v/>
      </c>
      <c r="U106" s="38">
        <f>IF(OR(S106="",S105=""),"",S106-S105)</f>
        <v/>
      </c>
      <c r="V106" s="38">
        <f>IF(OR(U106="",P106=""),"",U106+P106)</f>
        <v/>
      </c>
      <c r="W106" s="38">
        <f>IF(OR(T106="",O106="",P106=""),"",T106-O106+P106)</f>
        <v/>
      </c>
    </row>
    <row r="107">
      <c r="A107" s="30" t="n">
        <v>45761</v>
      </c>
      <c r="B107" s="36" t="n">
        <v>6189611973.531875</v>
      </c>
      <c r="C107" s="36" t="n"/>
      <c r="D107" s="36" t="n">
        <v>0</v>
      </c>
      <c r="E107" s="36" t="n">
        <v>1453677.389</v>
      </c>
      <c r="F107" s="36" t="n">
        <v>0</v>
      </c>
      <c r="G107" s="36" t="n">
        <v>0</v>
      </c>
      <c r="H107" s="36" t="n">
        <v>16961</v>
      </c>
      <c r="I107" s="36" t="n">
        <v>17486</v>
      </c>
      <c r="J107" s="36" t="n">
        <v>5224.690037634058</v>
      </c>
      <c r="K107" s="36" t="n">
        <v>17255.11</v>
      </c>
      <c r="L107" s="37" t="n">
        <v>92420.11</v>
      </c>
      <c r="M107" s="36" t="n">
        <v>1453677.389</v>
      </c>
      <c r="N107" s="37" t="n">
        <v>20206340.07</v>
      </c>
      <c r="O107" s="37" t="n">
        <v>26276.6359</v>
      </c>
      <c r="P107" s="37" t="n">
        <v>666.1597</v>
      </c>
      <c r="Q107" s="36" t="n">
        <v>10417.41</v>
      </c>
      <c r="R107" s="37" t="n">
        <v>334974418.3382</v>
      </c>
      <c r="S107" s="37" t="n">
        <v>999790538.23</v>
      </c>
      <c r="T107" s="38">
        <f>IF(OR(R107="",R106=""),"",R107-R106)</f>
        <v/>
      </c>
      <c r="U107" s="38">
        <f>IF(OR(S107="",S106=""),"",S107-S106)</f>
        <v/>
      </c>
      <c r="V107" s="38">
        <f>IF(OR(U107="",P107=""),"",U107+P107)</f>
        <v/>
      </c>
      <c r="W107" s="38">
        <f>IF(OR(T107="",O107="",P107=""),"",T107-O107+P107)</f>
        <v/>
      </c>
    </row>
    <row r="108">
      <c r="A108" s="30" t="n">
        <v>45762</v>
      </c>
      <c r="B108" s="36" t="n">
        <v>5704397495.460091</v>
      </c>
      <c r="C108" s="36" t="n"/>
      <c r="D108" s="36" t="n">
        <v>0</v>
      </c>
      <c r="E108" s="36" t="n">
        <v>1263352.3</v>
      </c>
      <c r="F108" s="36" t="n">
        <v>0</v>
      </c>
      <c r="G108" s="36" t="n">
        <v>0</v>
      </c>
      <c r="H108" s="36" t="n">
        <v>15547</v>
      </c>
      <c r="I108" s="36" t="n">
        <v>16028</v>
      </c>
      <c r="J108" s="36" t="n">
        <v>2522.51747421389</v>
      </c>
      <c r="K108" s="36" t="n">
        <v>24391.53</v>
      </c>
      <c r="L108" s="37" t="n">
        <v>83639.50999999999</v>
      </c>
      <c r="M108" s="36" t="n">
        <v>1263352.3</v>
      </c>
      <c r="N108" s="37" t="n">
        <v>20289979.58</v>
      </c>
      <c r="O108" s="37" t="n">
        <v>26283.8481</v>
      </c>
      <c r="P108" s="37" t="n">
        <v>636.1099</v>
      </c>
      <c r="Q108" s="36" t="n">
        <v>9939.219999999999</v>
      </c>
      <c r="R108" s="37" t="n">
        <v>334985513.8393</v>
      </c>
      <c r="S108" s="37" t="n">
        <v>999789902.1201</v>
      </c>
      <c r="T108" s="38">
        <f>IF(OR(R108="",R107=""),"",R108-R107)</f>
        <v/>
      </c>
      <c r="U108" s="38">
        <f>IF(OR(S108="",S107=""),"",S108-S107)</f>
        <v/>
      </c>
      <c r="V108" s="38">
        <f>IF(OR(U108="",P108=""),"",U108+P108)</f>
        <v/>
      </c>
      <c r="W108" s="38">
        <f>IF(OR(T108="",O108="",P108=""),"",T108-O108+P108)</f>
        <v/>
      </c>
    </row>
    <row r="109">
      <c r="A109" s="30" t="n">
        <v>45763</v>
      </c>
      <c r="B109" s="36" t="n">
        <v>6826966423.241995</v>
      </c>
      <c r="C109" s="36" t="n"/>
      <c r="D109" s="36" t="n">
        <v>0</v>
      </c>
      <c r="E109" s="36" t="n">
        <v>1260681.212</v>
      </c>
      <c r="F109" s="36" t="n">
        <v>0</v>
      </c>
      <c r="G109" s="36" t="n">
        <v>0</v>
      </c>
      <c r="H109" s="36" t="n">
        <v>20456</v>
      </c>
      <c r="I109" s="36" t="n">
        <v>21088</v>
      </c>
      <c r="J109" s="36" t="n">
        <v>3345.623242206836</v>
      </c>
      <c r="K109" s="36" t="n">
        <v>20090.65</v>
      </c>
      <c r="L109" s="37" t="n">
        <v>81538.27</v>
      </c>
      <c r="M109" s="36" t="n">
        <v>1260681.212</v>
      </c>
      <c r="N109" s="37" t="n">
        <v>20371517.85</v>
      </c>
      <c r="O109" s="37" t="n">
        <v>26320.225</v>
      </c>
      <c r="P109" s="37" t="n">
        <v>567.9891</v>
      </c>
      <c r="Q109" s="36" t="n">
        <v>8524.1</v>
      </c>
      <c r="R109" s="37" t="n">
        <v>334996714.1001</v>
      </c>
      <c r="S109" s="37" t="n">
        <v>999789334.131</v>
      </c>
      <c r="T109" s="38">
        <f>IF(OR(R109="",R108=""),"",R109-R108)</f>
        <v/>
      </c>
      <c r="U109" s="38">
        <f>IF(OR(S109="",S108=""),"",S109-S108)</f>
        <v/>
      </c>
      <c r="V109" s="38">
        <f>IF(OR(U109="",P109=""),"",U109+P109)</f>
        <v/>
      </c>
      <c r="W109" s="38">
        <f>IF(OR(T109="",O109="",P109=""),"",T109-O109+P109)</f>
        <v/>
      </c>
    </row>
    <row r="110">
      <c r="A110" s="30" t="n">
        <v>45764</v>
      </c>
      <c r="B110" s="36" t="n">
        <v>4931816793.507854</v>
      </c>
      <c r="C110" s="36" t="n"/>
      <c r="D110" s="36" t="n">
        <v>0</v>
      </c>
      <c r="E110" s="36" t="n">
        <v>1446889.317</v>
      </c>
      <c r="F110" s="36" t="n">
        <v>0</v>
      </c>
      <c r="G110" s="36" t="n">
        <v>0</v>
      </c>
      <c r="H110" s="36" t="n">
        <v>19985</v>
      </c>
      <c r="I110" s="36" t="n">
        <v>20603</v>
      </c>
      <c r="J110" s="36" t="n">
        <v>2049.849132518398</v>
      </c>
      <c r="K110" s="36" t="n">
        <v>0</v>
      </c>
      <c r="L110" s="37" t="n">
        <v>88253.77</v>
      </c>
      <c r="M110" s="36" t="n">
        <v>1446889.317</v>
      </c>
      <c r="N110" s="37" t="n">
        <v>20459771.62</v>
      </c>
      <c r="O110" s="37" t="n">
        <v>26296.1442</v>
      </c>
      <c r="P110" s="37" t="n">
        <v>643.2034</v>
      </c>
      <c r="Q110" s="36" t="n">
        <v>10101.19</v>
      </c>
      <c r="R110" s="37" t="n">
        <v>335007816.3884</v>
      </c>
      <c r="S110" s="37" t="n">
        <v>999788690.9277</v>
      </c>
      <c r="T110" s="38">
        <f>IF(OR(R110="",R109=""),"",R110-R109)</f>
        <v/>
      </c>
      <c r="U110" s="38">
        <f>IF(OR(S110="",S109=""),"",S110-S109)</f>
        <v/>
      </c>
      <c r="V110" s="38">
        <f>IF(OR(U110="",P110=""),"",U110+P110)</f>
        <v/>
      </c>
      <c r="W110" s="38">
        <f>IF(OR(T110="",O110="",P110=""),"",T110-O110+P110)</f>
        <v/>
      </c>
    </row>
    <row r="111">
      <c r="A111" s="30" t="n">
        <v>45765</v>
      </c>
      <c r="B111" s="36" t="n">
        <v>2170024470.50174</v>
      </c>
      <c r="C111" s="36" t="n"/>
      <c r="D111" s="36" t="n">
        <v>0</v>
      </c>
      <c r="E111" s="36" t="n">
        <v>884257.6583</v>
      </c>
      <c r="F111" s="36" t="n">
        <v>0</v>
      </c>
      <c r="G111" s="36" t="n">
        <v>0</v>
      </c>
      <c r="H111" s="36" t="n">
        <v>12055</v>
      </c>
      <c r="I111" s="36" t="n">
        <v>12428</v>
      </c>
      <c r="J111" s="36" t="n">
        <v>3051.85154063489</v>
      </c>
      <c r="K111" s="36" t="n">
        <v>18209.58</v>
      </c>
      <c r="L111" s="37" t="n">
        <v>52023.07</v>
      </c>
      <c r="M111" s="36" t="n">
        <v>884257.6583</v>
      </c>
      <c r="N111" s="37" t="n">
        <v>20511794.69</v>
      </c>
      <c r="O111" s="37" t="n">
        <v>26303.0308</v>
      </c>
      <c r="P111" s="37" t="n">
        <v>940.704</v>
      </c>
      <c r="Q111" s="36" t="n">
        <v>16132.6</v>
      </c>
      <c r="R111" s="37" t="n">
        <v>335018611.7123</v>
      </c>
      <c r="S111" s="37" t="n">
        <v>999787750.2236</v>
      </c>
      <c r="T111" s="38">
        <f>IF(OR(R111="",R110=""),"",R111-R110)</f>
        <v/>
      </c>
      <c r="U111" s="38">
        <f>IF(OR(S111="",S110=""),"",S111-S110)</f>
        <v/>
      </c>
      <c r="V111" s="38">
        <f>IF(OR(U111="",P111=""),"",U111+P111)</f>
        <v/>
      </c>
      <c r="W111" s="38">
        <f>IF(OR(T111="",O111="",P111=""),"",T111-O111+P111)</f>
        <v/>
      </c>
    </row>
    <row r="112">
      <c r="A112" s="30" t="n">
        <v>45766</v>
      </c>
      <c r="B112" s="36" t="n">
        <v>2477853939.365164</v>
      </c>
      <c r="C112" s="36" t="n"/>
      <c r="D112" s="36" t="n">
        <v>0</v>
      </c>
      <c r="E112" s="36" t="n">
        <v>562035.0159</v>
      </c>
      <c r="F112" s="36" t="n">
        <v>0</v>
      </c>
      <c r="G112" s="36" t="n">
        <v>0</v>
      </c>
      <c r="H112" s="36" t="n">
        <v>12279</v>
      </c>
      <c r="I112" s="36" t="n">
        <v>12659</v>
      </c>
      <c r="J112" s="36" t="n">
        <v>1444.78104201302</v>
      </c>
      <c r="K112" s="36" t="n">
        <v>18219.28</v>
      </c>
      <c r="L112" s="37" t="n">
        <v>31600.29</v>
      </c>
      <c r="M112" s="36" t="n">
        <v>562035.0159</v>
      </c>
      <c r="N112" s="37" t="n">
        <v>20543394.98</v>
      </c>
      <c r="O112" s="37" t="n">
        <v>26285.6979</v>
      </c>
      <c r="P112" s="37" t="n">
        <v>520.8593</v>
      </c>
      <c r="Q112" s="36" t="n">
        <v>8810.6</v>
      </c>
      <c r="R112" s="37" t="n">
        <v>335029808.2024</v>
      </c>
      <c r="S112" s="37" t="n">
        <v>999787229.3643</v>
      </c>
      <c r="T112" s="38">
        <f>IF(OR(R112="",R111=""),"",R112-R111)</f>
        <v/>
      </c>
      <c r="U112" s="38">
        <f>IF(OR(S112="",S111=""),"",S112-S111)</f>
        <v/>
      </c>
      <c r="V112" s="38">
        <f>IF(OR(U112="",P112=""),"",U112+P112)</f>
        <v/>
      </c>
      <c r="W112" s="38">
        <f>IF(OR(T112="",O112="",P112=""),"",T112-O112+P112)</f>
        <v/>
      </c>
    </row>
    <row r="113">
      <c r="A113" s="30" t="n">
        <v>45767</v>
      </c>
      <c r="B113" s="36" t="n">
        <v>2831191375.860566</v>
      </c>
      <c r="C113" s="36" t="n"/>
      <c r="D113" s="36" t="n">
        <v>0</v>
      </c>
      <c r="E113" s="36" t="n">
        <v>503819.1862</v>
      </c>
      <c r="F113" s="36" t="n">
        <v>0</v>
      </c>
      <c r="G113" s="36" t="n">
        <v>0</v>
      </c>
      <c r="H113" s="36" t="n">
        <v>10592</v>
      </c>
      <c r="I113" s="36" t="n">
        <v>10920</v>
      </c>
      <c r="J113" s="36" t="n">
        <v>1231.31182639604</v>
      </c>
      <c r="K113" s="36" t="n">
        <v>18279.54</v>
      </c>
      <c r="L113" s="37" t="n">
        <v>28426.6</v>
      </c>
      <c r="M113" s="36" t="n">
        <v>503819.1862</v>
      </c>
      <c r="N113" s="37" t="n">
        <v>20571821.58</v>
      </c>
      <c r="O113" s="37" t="n">
        <v>26264.1199</v>
      </c>
      <c r="P113" s="37" t="n">
        <v>529.2375</v>
      </c>
      <c r="Q113" s="36" t="n">
        <v>9566.76</v>
      </c>
      <c r="R113" s="37" t="n">
        <v>335040958.0021</v>
      </c>
      <c r="S113" s="37" t="n">
        <v>999786700.1267999</v>
      </c>
      <c r="T113" s="38">
        <f>IF(OR(R113="",R112=""),"",R113-R112)</f>
        <v/>
      </c>
      <c r="U113" s="38">
        <f>IF(OR(S113="",S112=""),"",S113-S112)</f>
        <v/>
      </c>
      <c r="V113" s="38">
        <f>IF(OR(U113="",P113=""),"",U113+P113)</f>
        <v/>
      </c>
      <c r="W113" s="38">
        <f>IF(OR(T113="",O113="",P113=""),"",T113-O113+P113)</f>
        <v/>
      </c>
    </row>
    <row r="114">
      <c r="A114" s="30" t="n">
        <v>45768</v>
      </c>
      <c r="B114" s="36" t="n">
        <v>6514487934.799059</v>
      </c>
      <c r="C114" s="36" t="n"/>
      <c r="D114" s="36" t="n">
        <v>0</v>
      </c>
      <c r="E114" s="36" t="n">
        <v>938622.6024</v>
      </c>
      <c r="F114" s="36" t="n">
        <v>0</v>
      </c>
      <c r="G114" s="36" t="n">
        <v>0</v>
      </c>
      <c r="H114" s="36" t="n">
        <v>20191</v>
      </c>
      <c r="I114" s="36" t="n">
        <v>20816</v>
      </c>
      <c r="J114" s="36" t="n">
        <v>4424.654530647215</v>
      </c>
      <c r="K114" s="36" t="n">
        <v>19083.9</v>
      </c>
      <c r="L114" s="37" t="n">
        <v>52255.23</v>
      </c>
      <c r="M114" s="36" t="n">
        <v>938622.6024</v>
      </c>
      <c r="N114" s="37" t="n">
        <v>20624076.81</v>
      </c>
      <c r="O114" s="37" t="n">
        <v>26218.992</v>
      </c>
      <c r="P114" s="37" t="n">
        <v>410.4167</v>
      </c>
      <c r="Q114" s="36" t="n">
        <v>7249.4</v>
      </c>
      <c r="R114" s="37" t="n">
        <v>335052190.5135</v>
      </c>
      <c r="S114" s="37" t="n">
        <v>999786289.7101001</v>
      </c>
      <c r="T114" s="38">
        <f>IF(OR(R114="",R113=""),"",R114-R113)</f>
        <v/>
      </c>
      <c r="U114" s="38">
        <f>IF(OR(S114="",S113=""),"",S114-S113)</f>
        <v/>
      </c>
      <c r="V114" s="38">
        <f>IF(OR(U114="",P114=""),"",U114+P114)</f>
        <v/>
      </c>
      <c r="W114" s="38">
        <f>IF(OR(T114="",O114="",P114=""),"",T114-O114+P114)</f>
        <v/>
      </c>
    </row>
    <row r="115">
      <c r="A115" s="30" t="n">
        <v>45769</v>
      </c>
      <c r="B115" s="36" t="n">
        <v>9749391466.017874</v>
      </c>
      <c r="C115" s="36" t="n"/>
      <c r="D115" s="36" t="n">
        <v>0</v>
      </c>
      <c r="E115" s="36" t="n">
        <v>1423075.149</v>
      </c>
      <c r="F115" s="36" t="n">
        <v>0</v>
      </c>
      <c r="G115" s="36" t="n">
        <v>0</v>
      </c>
      <c r="H115" s="36" t="n">
        <v>20024</v>
      </c>
      <c r="I115" s="36" t="n">
        <v>20644</v>
      </c>
      <c r="J115" s="36" t="n">
        <v>4155.0142763256</v>
      </c>
      <c r="K115" s="36" t="n">
        <v>0</v>
      </c>
      <c r="L115" s="37" t="n">
        <v>76482.66</v>
      </c>
      <c r="M115" s="36" t="n">
        <v>1423075.149</v>
      </c>
      <c r="N115" s="37" t="n">
        <v>20700559.47</v>
      </c>
      <c r="O115" s="37" t="n">
        <v>26258.8912</v>
      </c>
      <c r="P115" s="37" t="n">
        <v>648.3471</v>
      </c>
      <c r="Q115" s="36" t="n">
        <v>11729.9</v>
      </c>
      <c r="R115" s="37" t="n">
        <v>335063213.3621</v>
      </c>
      <c r="S115" s="37" t="n">
        <v>999785641.3631001</v>
      </c>
      <c r="T115" s="38">
        <f>IF(OR(R115="",R114=""),"",R115-R114)</f>
        <v/>
      </c>
      <c r="U115" s="38">
        <f>IF(OR(S115="",S114=""),"",S115-S114)</f>
        <v/>
      </c>
      <c r="V115" s="38">
        <f>IF(OR(U115="",P115=""),"",U115+P115)</f>
        <v/>
      </c>
      <c r="W115" s="38">
        <f>IF(OR(T115="",O115="",P115=""),"",T115-O115+P115)</f>
        <v/>
      </c>
    </row>
    <row r="116">
      <c r="A116" s="30" t="n">
        <v>45770</v>
      </c>
      <c r="B116" s="36" t="n">
        <v>8586739199.556433</v>
      </c>
      <c r="C116" s="36" t="n"/>
      <c r="D116" s="36" t="n">
        <v>0</v>
      </c>
      <c r="E116" s="36" t="n">
        <v>2257032.676</v>
      </c>
      <c r="F116" s="36" t="n">
        <v>0</v>
      </c>
      <c r="G116" s="36" t="n">
        <v>0</v>
      </c>
      <c r="H116" s="36" t="n">
        <v>23731</v>
      </c>
      <c r="I116" s="36" t="n">
        <v>24465</v>
      </c>
      <c r="J116" s="36" t="n">
        <v>5131.081096013228</v>
      </c>
      <c r="K116" s="36" t="n">
        <v>23592.15</v>
      </c>
      <c r="L116" s="37" t="n">
        <v>120992.35</v>
      </c>
      <c r="M116" s="36" t="n">
        <v>2257032.676</v>
      </c>
      <c r="N116" s="37" t="n">
        <v>20821551.82</v>
      </c>
      <c r="O116" s="37" t="n">
        <v>26217.4408</v>
      </c>
      <c r="P116" s="37" t="n">
        <v>708.6571</v>
      </c>
      <c r="Q116" s="36" t="n">
        <v>13545.98</v>
      </c>
      <c r="R116" s="37" t="n">
        <v>335074118.8348</v>
      </c>
      <c r="S116" s="37" t="n">
        <v>999784932.706</v>
      </c>
      <c r="T116" s="38">
        <f>IF(OR(R116="",R115=""),"",R116-R115)</f>
        <v/>
      </c>
      <c r="U116" s="38">
        <f>IF(OR(S116="",S115=""),"",S116-S115)</f>
        <v/>
      </c>
      <c r="V116" s="38">
        <f>IF(OR(U116="",P116=""),"",U116+P116)</f>
        <v/>
      </c>
      <c r="W116" s="38">
        <f>IF(OR(T116="",O116="",P116=""),"",T116-O116+P116)</f>
        <v/>
      </c>
    </row>
    <row r="117">
      <c r="A117" s="30" t="n">
        <v>45771</v>
      </c>
      <c r="B117" s="36" t="n">
        <v>5758061914.11327</v>
      </c>
      <c r="C117" s="36" t="n"/>
      <c r="D117" s="36" t="n">
        <v>0</v>
      </c>
      <c r="E117" s="36" t="n">
        <v>1763542.077</v>
      </c>
      <c r="F117" s="36" t="n">
        <v>0</v>
      </c>
      <c r="G117" s="36" t="n">
        <v>0</v>
      </c>
      <c r="H117" s="36" t="n">
        <v>15095</v>
      </c>
      <c r="I117" s="36" t="n">
        <v>15562</v>
      </c>
      <c r="J117" s="36" t="n">
        <v>2281.184420243312</v>
      </c>
      <c r="K117" s="36" t="n">
        <v>19881.93</v>
      </c>
      <c r="L117" s="37" t="n">
        <v>96372.78</v>
      </c>
      <c r="M117" s="36" t="n">
        <v>1763542.077</v>
      </c>
      <c r="N117" s="37" t="n">
        <v>20917924.6</v>
      </c>
      <c r="O117" s="37" t="n">
        <v>26193.1501</v>
      </c>
      <c r="P117" s="37" t="n">
        <v>671.4738</v>
      </c>
      <c r="Q117" s="36" t="n">
        <v>12299.72</v>
      </c>
      <c r="R117" s="37" t="n">
        <v>335085020.7049</v>
      </c>
      <c r="S117" s="37" t="n">
        <v>999784261.2322</v>
      </c>
      <c r="T117" s="38">
        <f>IF(OR(R117="",R116=""),"",R117-R116)</f>
        <v/>
      </c>
      <c r="U117" s="38">
        <f>IF(OR(S117="",S116=""),"",S117-S116)</f>
        <v/>
      </c>
      <c r="V117" s="38">
        <f>IF(OR(U117="",P117=""),"",U117+P117)</f>
        <v/>
      </c>
      <c r="W117" s="38">
        <f>IF(OR(T117="",O117="",P117=""),"",T117-O117+P117)</f>
        <v/>
      </c>
    </row>
    <row r="118">
      <c r="A118" s="30" t="n">
        <v>45772</v>
      </c>
      <c r="B118" s="36" t="n">
        <v>7060976063.80115</v>
      </c>
      <c r="C118" s="36" t="n"/>
      <c r="D118" s="36" t="n">
        <v>0</v>
      </c>
      <c r="E118" s="36" t="n">
        <v>1305000.805</v>
      </c>
      <c r="F118" s="36" t="n">
        <v>0</v>
      </c>
      <c r="G118" s="36" t="n">
        <v>0</v>
      </c>
      <c r="H118" s="36" t="n">
        <v>15640</v>
      </c>
      <c r="I118" s="36" t="n">
        <v>16124</v>
      </c>
      <c r="J118" s="36" t="n">
        <v>2166.061415683268</v>
      </c>
      <c r="K118" s="36" t="n">
        <v>26183.79</v>
      </c>
      <c r="L118" s="37" t="n">
        <v>69908.78999999999</v>
      </c>
      <c r="M118" s="36" t="n">
        <v>1305000.805</v>
      </c>
      <c r="N118" s="37" t="n">
        <v>20987833.39</v>
      </c>
      <c r="O118" s="37" t="n">
        <v>26180.0593</v>
      </c>
      <c r="P118" s="37" t="n">
        <v>486.2935</v>
      </c>
      <c r="Q118" s="36" t="n">
        <v>9206.02</v>
      </c>
      <c r="R118" s="37" t="n">
        <v>335096082.7621</v>
      </c>
      <c r="S118" s="37" t="n">
        <v>999783774.9388</v>
      </c>
      <c r="T118" s="38">
        <f>IF(OR(R118="",R117=""),"",R118-R117)</f>
        <v/>
      </c>
      <c r="U118" s="38">
        <f>IF(OR(S118="",S117=""),"",S118-S117)</f>
        <v/>
      </c>
      <c r="V118" s="38">
        <f>IF(OR(U118="",P118=""),"",U118+P118)</f>
        <v/>
      </c>
      <c r="W118" s="38">
        <f>IF(OR(T118="",O118="",P118=""),"",T118-O118+P118)</f>
        <v/>
      </c>
    </row>
    <row r="119">
      <c r="A119" s="30" t="n">
        <v>45773</v>
      </c>
      <c r="B119" s="36" t="n">
        <v>3839502376.340041</v>
      </c>
      <c r="C119" s="36" t="n"/>
      <c r="D119" s="36" t="n">
        <v>0</v>
      </c>
      <c r="E119" s="36" t="n">
        <v>1427722.029</v>
      </c>
      <c r="F119" s="36" t="n">
        <v>0</v>
      </c>
      <c r="G119" s="36" t="n">
        <v>0</v>
      </c>
      <c r="H119" s="36" t="n">
        <v>11474</v>
      </c>
      <c r="I119" s="36" t="n">
        <v>11829</v>
      </c>
      <c r="J119" s="36" t="n">
        <v>4132.27839602638</v>
      </c>
      <c r="K119" s="36" t="n">
        <v>0</v>
      </c>
      <c r="L119" s="37" t="n">
        <v>80199.64999999999</v>
      </c>
      <c r="M119" s="36" t="n">
        <v>1427722.029</v>
      </c>
      <c r="N119" s="37" t="n">
        <v>21068033.04</v>
      </c>
      <c r="O119" s="37" t="n">
        <v>26167.7741</v>
      </c>
      <c r="P119" s="37" t="n">
        <v>470.6409</v>
      </c>
      <c r="Q119" s="36" t="n">
        <v>8666.620000000001</v>
      </c>
      <c r="R119" s="37" t="n">
        <v>335107142.0517</v>
      </c>
      <c r="S119" s="37" t="n">
        <v>999783304.2979</v>
      </c>
      <c r="T119" s="38">
        <f>IF(OR(R119="",R118=""),"",R119-R118)</f>
        <v/>
      </c>
      <c r="U119" s="38">
        <f>IF(OR(S119="",S118=""),"",S119-S118)</f>
        <v/>
      </c>
      <c r="V119" s="38">
        <f>IF(OR(U119="",P119=""),"",U119+P119)</f>
        <v/>
      </c>
      <c r="W119" s="38">
        <f>IF(OR(T119="",O119="",P119=""),"",T119-O119+P119)</f>
        <v/>
      </c>
    </row>
    <row r="120">
      <c r="A120" s="30" t="n">
        <v>45774</v>
      </c>
      <c r="B120" s="36" t="n">
        <v>3382764141.414567</v>
      </c>
      <c r="C120" s="36" t="n"/>
      <c r="D120" s="36" t="n">
        <v>0</v>
      </c>
      <c r="E120" s="36" t="n">
        <v>816115.3855</v>
      </c>
      <c r="F120" s="36" t="n">
        <v>0</v>
      </c>
      <c r="G120" s="36" t="n">
        <v>0</v>
      </c>
      <c r="H120" s="36" t="n">
        <v>9875</v>
      </c>
      <c r="I120" s="36" t="n">
        <v>10180</v>
      </c>
      <c r="J120" s="36" t="n">
        <v>3549.158766957544</v>
      </c>
      <c r="K120" s="36" t="n">
        <v>18345.18</v>
      </c>
      <c r="L120" s="37" t="n">
        <v>46152.81</v>
      </c>
      <c r="M120" s="36" t="n">
        <v>816115.3855</v>
      </c>
      <c r="N120" s="37" t="n">
        <v>21114185.85</v>
      </c>
      <c r="O120" s="37" t="n">
        <v>26128.5247</v>
      </c>
      <c r="P120" s="37" t="n">
        <v>319.0979</v>
      </c>
      <c r="Q120" s="36" t="n">
        <v>5740.25</v>
      </c>
      <c r="R120" s="37" t="n">
        <v>335118317.8096</v>
      </c>
      <c r="S120" s="37" t="n">
        <v>999782985.2</v>
      </c>
      <c r="T120" s="38">
        <f>IF(OR(R120="",R119=""),"",R120-R119)</f>
        <v/>
      </c>
      <c r="U120" s="38">
        <f>IF(OR(S120="",S119=""),"",S120-S119)</f>
        <v/>
      </c>
      <c r="V120" s="38">
        <f>IF(OR(U120="",P120=""),"",U120+P120)</f>
        <v/>
      </c>
      <c r="W120" s="38">
        <f>IF(OR(T120="",O120="",P120=""),"",T120-O120+P120)</f>
        <v/>
      </c>
    </row>
    <row r="121">
      <c r="A121" s="30" t="n">
        <v>45775</v>
      </c>
      <c r="B121" s="36" t="n">
        <v>6671543330.523771</v>
      </c>
      <c r="C121" s="36" t="n"/>
      <c r="D121" s="36" t="n">
        <v>0</v>
      </c>
      <c r="E121" s="36" t="n">
        <v>790516.2383</v>
      </c>
      <c r="F121" s="36" t="n">
        <v>0</v>
      </c>
      <c r="G121" s="36" t="n">
        <v>0</v>
      </c>
      <c r="H121" s="36" t="n">
        <v>19152</v>
      </c>
      <c r="I121" s="36" t="n">
        <v>19745</v>
      </c>
      <c r="J121" s="36" t="n">
        <v>11047.25477620505</v>
      </c>
      <c r="K121" s="36" t="n">
        <v>19387.81</v>
      </c>
      <c r="L121" s="37" t="n">
        <v>44835</v>
      </c>
      <c r="M121" s="36" t="n">
        <v>790516.2383</v>
      </c>
      <c r="N121" s="37" t="n">
        <v>21159020.85</v>
      </c>
      <c r="O121" s="37" t="n">
        <v>26136.1052</v>
      </c>
      <c r="P121" s="37" t="n">
        <v>272.2418</v>
      </c>
      <c r="Q121" s="36" t="n">
        <v>4722.44</v>
      </c>
      <c r="R121" s="37" t="n">
        <v>335129396.0941</v>
      </c>
      <c r="S121" s="37" t="n">
        <v>999782712.9583</v>
      </c>
      <c r="T121" s="38">
        <f>IF(OR(R121="",R120=""),"",R121-R120)</f>
        <v/>
      </c>
      <c r="U121" s="38">
        <f>IF(OR(S121="",S120=""),"",S121-S120)</f>
        <v/>
      </c>
      <c r="V121" s="38">
        <f>IF(OR(U121="",P121=""),"",U121+P121)</f>
        <v/>
      </c>
      <c r="W121" s="38">
        <f>IF(OR(T121="",O121="",P121=""),"",T121-O121+P121)</f>
        <v/>
      </c>
    </row>
    <row r="122">
      <c r="A122" s="30" t="n">
        <v>45776</v>
      </c>
      <c r="B122" s="36" t="n">
        <v>4981695000.898414</v>
      </c>
      <c r="C122" s="36" t="n"/>
      <c r="D122" s="36" t="n">
        <v>0</v>
      </c>
      <c r="E122" s="36" t="n">
        <v>1345956.884</v>
      </c>
      <c r="F122" s="36" t="n">
        <v>0</v>
      </c>
      <c r="G122" s="36" t="n">
        <v>0</v>
      </c>
      <c r="H122" s="36" t="n">
        <v>17450</v>
      </c>
      <c r="I122" s="36" t="n">
        <v>17990</v>
      </c>
      <c r="J122" s="36" t="n">
        <v>5627.005665572719</v>
      </c>
      <c r="K122" s="36" t="n">
        <v>24783.17</v>
      </c>
      <c r="L122" s="37" t="n">
        <v>71896.23</v>
      </c>
      <c r="M122" s="36" t="n">
        <v>1345956.884</v>
      </c>
      <c r="N122" s="37" t="n">
        <v>21230917.08</v>
      </c>
      <c r="O122" s="37" t="n">
        <v>26145.6743</v>
      </c>
      <c r="P122" s="37" t="n">
        <v>685.8724</v>
      </c>
      <c r="Q122" s="36" t="n">
        <v>12822.04</v>
      </c>
      <c r="R122" s="37" t="n">
        <v>335140210.9469</v>
      </c>
      <c r="S122" s="37" t="n">
        <v>999782027.0858999</v>
      </c>
      <c r="T122" s="38">
        <f>IF(OR(R122="",R121=""),"",R122-R121)</f>
        <v/>
      </c>
      <c r="U122" s="38">
        <f>IF(OR(S122="",S121=""),"",S122-S121)</f>
        <v/>
      </c>
      <c r="V122" s="38">
        <f>IF(OR(U122="",P122=""),"",U122+P122)</f>
        <v/>
      </c>
      <c r="W122" s="38">
        <f>IF(OR(T122="",O122="",P122=""),"",T122-O122+P122)</f>
        <v/>
      </c>
    </row>
    <row r="123">
      <c r="A123" s="30" t="n">
        <v>45777</v>
      </c>
      <c r="B123" s="36" t="n">
        <v>5886017387.242141</v>
      </c>
      <c r="C123" s="36" t="n"/>
      <c r="D123" s="36" t="n">
        <v>0</v>
      </c>
      <c r="E123" s="36" t="n">
        <v>1104429.803</v>
      </c>
      <c r="F123" s="36" t="n">
        <v>0</v>
      </c>
      <c r="G123" s="36" t="n">
        <v>0</v>
      </c>
      <c r="H123" s="36" t="n">
        <v>18265</v>
      </c>
      <c r="I123" s="36" t="n">
        <v>18830</v>
      </c>
      <c r="J123" s="36" t="n">
        <v>7879.375304898586</v>
      </c>
      <c r="K123" s="36" t="n">
        <v>24975.33</v>
      </c>
      <c r="L123" s="37" t="n">
        <v>60069.57</v>
      </c>
      <c r="M123" s="36" t="n">
        <v>1104429.803</v>
      </c>
      <c r="N123" s="37" t="n">
        <v>21290986.65</v>
      </c>
      <c r="O123" s="37" t="n">
        <v>26180.9241</v>
      </c>
      <c r="P123" s="37" t="n">
        <v>623.4232</v>
      </c>
      <c r="Q123" s="36" t="n">
        <v>11524.91</v>
      </c>
      <c r="R123" s="37" t="n">
        <v>335151140.3284</v>
      </c>
      <c r="S123" s="37" t="n">
        <v>999781403.6627001</v>
      </c>
      <c r="T123" s="38">
        <f>IF(OR(R123="",R122=""),"",R123-R122)</f>
        <v/>
      </c>
      <c r="U123" s="38">
        <f>IF(OR(S123="",S122=""),"",S123-S122)</f>
        <v/>
      </c>
      <c r="V123" s="38">
        <f>IF(OR(U123="",P123=""),"",U123+P123)</f>
        <v/>
      </c>
      <c r="W123" s="38">
        <f>IF(OR(T123="",O123="",P123=""),"",T123-O123+P123)</f>
        <v/>
      </c>
    </row>
    <row r="124">
      <c r="A124" s="30" t="n">
        <v>45778</v>
      </c>
      <c r="B124" s="36" t="n">
        <v>5844761153.41146</v>
      </c>
      <c r="C124" s="36" t="n"/>
      <c r="D124" s="36" t="n">
        <v>0</v>
      </c>
      <c r="E124" s="36" t="n">
        <v>1369589.548</v>
      </c>
      <c r="F124" s="36" t="n">
        <v>0</v>
      </c>
      <c r="G124" s="36" t="n">
        <v>0</v>
      </c>
      <c r="H124" s="36" t="n">
        <v>26481</v>
      </c>
      <c r="I124" s="36" t="n">
        <v>27300</v>
      </c>
      <c r="J124" s="36" t="n">
        <v>9592.893420177576</v>
      </c>
      <c r="K124" s="36" t="n">
        <v>32916.44</v>
      </c>
      <c r="L124" s="37" t="n">
        <v>67943.64999999999</v>
      </c>
      <c r="M124" s="36" t="n">
        <v>1369589.548</v>
      </c>
      <c r="N124" s="37" t="n">
        <v>21358930.3</v>
      </c>
      <c r="O124" s="37" t="n">
        <v>26120.6661</v>
      </c>
      <c r="P124" s="37" t="n">
        <v>728.1965</v>
      </c>
      <c r="Q124" s="36" t="n">
        <v>14754.72</v>
      </c>
      <c r="R124" s="37" t="n">
        <v>335161901.9368</v>
      </c>
      <c r="S124" s="37" t="n">
        <v>999780675.4662</v>
      </c>
      <c r="T124" s="38">
        <f>IF(OR(R124="",R123=""),"",R124-R123)</f>
        <v/>
      </c>
      <c r="U124" s="38">
        <f>IF(OR(S124="",S123=""),"",S124-S123)</f>
        <v/>
      </c>
      <c r="V124" s="38">
        <f>IF(OR(U124="",P124=""),"",U124+P124)</f>
        <v/>
      </c>
      <c r="W124" s="38">
        <f>IF(OR(T124="",O124="",P124=""),"",T124-O124+P124)</f>
        <v/>
      </c>
    </row>
    <row r="125">
      <c r="A125" s="30" t="n">
        <v>45779</v>
      </c>
      <c r="B125" s="36" t="n">
        <v>4184147211.787067</v>
      </c>
      <c r="C125" s="36" t="n"/>
      <c r="D125" s="36" t="n">
        <v>0</v>
      </c>
      <c r="E125" s="36" t="n">
        <v>1529406.315</v>
      </c>
      <c r="F125" s="36" t="n">
        <v>0</v>
      </c>
      <c r="G125" s="36" t="n">
        <v>0</v>
      </c>
      <c r="H125" s="36" t="n">
        <v>15833</v>
      </c>
      <c r="I125" s="36" t="n">
        <v>16323</v>
      </c>
      <c r="J125" s="36" t="n">
        <v>7526.698336645159</v>
      </c>
      <c r="K125" s="36" t="n">
        <v>0</v>
      </c>
      <c r="L125" s="37" t="n">
        <v>74079.22</v>
      </c>
      <c r="M125" s="36" t="n">
        <v>1529406.315</v>
      </c>
      <c r="N125" s="37" t="n">
        <v>21433009.52</v>
      </c>
      <c r="O125" s="37" t="n">
        <v>26181.9903</v>
      </c>
      <c r="P125" s="37" t="n">
        <v>938.5428000000001</v>
      </c>
      <c r="Q125" s="36" t="n">
        <v>18795.73</v>
      </c>
      <c r="R125" s="37" t="n">
        <v>335172513.7176</v>
      </c>
      <c r="S125" s="37" t="n">
        <v>999779736.9233</v>
      </c>
      <c r="T125" s="38">
        <f>IF(OR(R125="",R124=""),"",R125-R124)</f>
        <v/>
      </c>
      <c r="U125" s="38">
        <f>IF(OR(S125="",S124=""),"",S125-S124)</f>
        <v/>
      </c>
      <c r="V125" s="38">
        <f>IF(OR(U125="",P125=""),"",U125+P125)</f>
        <v/>
      </c>
      <c r="W125" s="38">
        <f>IF(OR(T125="",O125="",P125=""),"",T125-O125+P125)</f>
        <v/>
      </c>
    </row>
    <row r="126">
      <c r="A126" s="30" t="n">
        <v>45780</v>
      </c>
      <c r="B126" s="36" t="n">
        <v>2551647647.325788</v>
      </c>
      <c r="C126" s="36" t="n"/>
      <c r="D126" s="36" t="n">
        <v>0</v>
      </c>
      <c r="E126" s="36" t="n">
        <v>845933.1692</v>
      </c>
      <c r="F126" s="36" t="n">
        <v>0</v>
      </c>
      <c r="G126" s="36" t="n">
        <v>0</v>
      </c>
      <c r="H126" s="36" t="n">
        <v>11340</v>
      </c>
      <c r="I126" s="36" t="n">
        <v>11691</v>
      </c>
      <c r="J126" s="36" t="n">
        <v>6881.604989870509</v>
      </c>
      <c r="K126" s="36" t="n">
        <v>33029.81</v>
      </c>
      <c r="L126" s="37" t="n">
        <v>40789.66</v>
      </c>
      <c r="M126" s="36" t="n">
        <v>845933.1692</v>
      </c>
      <c r="N126" s="37" t="n">
        <v>21473799.18</v>
      </c>
      <c r="O126" s="37" t="n">
        <v>26252.5339</v>
      </c>
      <c r="P126" s="37" t="n">
        <v>570.6552</v>
      </c>
      <c r="Q126" s="36" t="n">
        <v>11824.83</v>
      </c>
      <c r="R126" s="37" t="n">
        <v>335183596.6197</v>
      </c>
      <c r="S126" s="37" t="n">
        <v>999779166.2681</v>
      </c>
      <c r="T126" s="38">
        <f>IF(OR(R126="",R125=""),"",R126-R125)</f>
        <v/>
      </c>
      <c r="U126" s="38">
        <f>IF(OR(S126="",S125=""),"",S126-S125)</f>
        <v/>
      </c>
      <c r="V126" s="38">
        <f>IF(OR(U126="",P126=""),"",U126+P126)</f>
        <v/>
      </c>
      <c r="W126" s="38">
        <f>IF(OR(T126="",O126="",P126=""),"",T126-O126+P126)</f>
        <v/>
      </c>
    </row>
    <row r="127">
      <c r="A127" s="30" t="n">
        <v>45781</v>
      </c>
      <c r="B127" s="36" t="n">
        <v>3530006395.054267</v>
      </c>
      <c r="C127" s="36" t="n"/>
      <c r="D127" s="36" t="n">
        <v>0</v>
      </c>
      <c r="E127" s="36" t="n">
        <v>549144.5098999999</v>
      </c>
      <c r="F127" s="36" t="n">
        <v>0</v>
      </c>
      <c r="G127" s="36" t="n">
        <v>0</v>
      </c>
      <c r="H127" s="36" t="n">
        <v>11971</v>
      </c>
      <c r="I127" s="36" t="n">
        <v>12341</v>
      </c>
      <c r="J127" s="36" t="n">
        <v>5290.833767148337</v>
      </c>
      <c r="K127" s="36" t="n">
        <v>32933.78</v>
      </c>
      <c r="L127" s="37" t="n">
        <v>26778.23</v>
      </c>
      <c r="M127" s="36" t="n">
        <v>549144.5098999999</v>
      </c>
      <c r="N127" s="37" t="n">
        <v>21500577.41</v>
      </c>
      <c r="O127" s="37" t="n">
        <v>26273.8404</v>
      </c>
      <c r="P127" s="37" t="n">
        <v>416.9712</v>
      </c>
      <c r="Q127" s="36" t="n">
        <v>8815.6</v>
      </c>
      <c r="R127" s="37" t="n">
        <v>335194868.5961</v>
      </c>
      <c r="S127" s="37" t="n">
        <v>999778749.2970001</v>
      </c>
      <c r="T127" s="38">
        <f>IF(OR(R127="",R126=""),"",R127-R126)</f>
        <v/>
      </c>
      <c r="U127" s="38">
        <f>IF(OR(S127="",S126=""),"",S127-S126)</f>
        <v/>
      </c>
      <c r="V127" s="38">
        <f>IF(OR(U127="",P127=""),"",U127+P127)</f>
        <v/>
      </c>
      <c r="W127" s="38">
        <f>IF(OR(T127="",O127="",P127=""),"",T127-O127+P127)</f>
        <v/>
      </c>
    </row>
    <row r="128">
      <c r="A128" s="30" t="n">
        <v>45782</v>
      </c>
      <c r="B128" s="36" t="n">
        <v>4567961400.616288</v>
      </c>
      <c r="C128" s="36" t="n"/>
      <c r="D128" s="36" t="n">
        <v>0</v>
      </c>
      <c r="E128" s="36" t="n">
        <v>995251.4383</v>
      </c>
      <c r="F128" s="36" t="n">
        <v>0</v>
      </c>
      <c r="G128" s="36" t="n">
        <v>0</v>
      </c>
      <c r="H128" s="36" t="n">
        <v>26309</v>
      </c>
      <c r="I128" s="36" t="n">
        <v>27123</v>
      </c>
      <c r="J128" s="36" t="n">
        <v>2837.20646197264</v>
      </c>
      <c r="K128" s="36" t="n">
        <v>0</v>
      </c>
      <c r="L128" s="37" t="n">
        <v>49246.62</v>
      </c>
      <c r="M128" s="36" t="n">
        <v>995251.4383</v>
      </c>
      <c r="N128" s="37" t="n">
        <v>21549824.03</v>
      </c>
      <c r="O128" s="37" t="n">
        <v>26237.5716</v>
      </c>
      <c r="P128" s="37" t="n">
        <v>332.2736</v>
      </c>
      <c r="Q128" s="36" t="n">
        <v>6627.03</v>
      </c>
      <c r="R128" s="37" t="n">
        <v>335206177.98</v>
      </c>
      <c r="S128" s="37" t="n">
        <v>999778417.0233999</v>
      </c>
      <c r="T128" s="38">
        <f>IF(OR(R128="",R127=""),"",R128-R127)</f>
        <v/>
      </c>
      <c r="U128" s="38">
        <f>IF(OR(S128="",S127=""),"",S128-S127)</f>
        <v/>
      </c>
      <c r="V128" s="38">
        <f>IF(OR(U128="",P128=""),"",U128+P128)</f>
        <v/>
      </c>
      <c r="W128" s="38">
        <f>IF(OR(T128="",O128="",P128=""),"",T128-O128+P128)</f>
        <v/>
      </c>
    </row>
    <row r="129">
      <c r="A129" s="30" t="n">
        <v>45783</v>
      </c>
      <c r="B129" s="36" t="n">
        <v>4993697122.463089</v>
      </c>
      <c r="C129" s="36" t="n"/>
      <c r="D129" s="36" t="n">
        <v>0</v>
      </c>
      <c r="E129" s="36" t="n">
        <v>1128924.442</v>
      </c>
      <c r="F129" s="36" t="n">
        <v>0</v>
      </c>
      <c r="G129" s="36" t="n">
        <v>0</v>
      </c>
      <c r="H129" s="36" t="n">
        <v>31953</v>
      </c>
      <c r="I129" s="36" t="n">
        <v>32941</v>
      </c>
      <c r="J129" s="36" t="n">
        <v>4469.320161361423</v>
      </c>
      <c r="K129" s="36" t="n">
        <v>34550.83</v>
      </c>
      <c r="L129" s="37" t="n">
        <v>56072.29</v>
      </c>
      <c r="M129" s="36" t="n">
        <v>1128924.442</v>
      </c>
      <c r="N129" s="37" t="n">
        <v>21605896.32</v>
      </c>
      <c r="O129" s="37" t="n">
        <v>26248.6152</v>
      </c>
      <c r="P129" s="37" t="n">
        <v>729.029</v>
      </c>
      <c r="Q129" s="36" t="n">
        <v>14727.48</v>
      </c>
      <c r="R129" s="37" t="n">
        <v>335217112.4043</v>
      </c>
      <c r="S129" s="37" t="n">
        <v>999777687.9944</v>
      </c>
      <c r="T129" s="38">
        <f>IF(OR(R129="",R128=""),"",R129-R128)</f>
        <v/>
      </c>
      <c r="U129" s="38">
        <f>IF(OR(S129="",S128=""),"",S129-S128)</f>
        <v/>
      </c>
      <c r="V129" s="38">
        <f>IF(OR(U129="",P129=""),"",U129+P129)</f>
        <v/>
      </c>
      <c r="W129" s="38">
        <f>IF(OR(T129="",O129="",P129=""),"",T129-O129+P129)</f>
        <v/>
      </c>
    </row>
    <row r="130">
      <c r="A130" s="30" t="n">
        <v>45784</v>
      </c>
      <c r="B130" s="36" t="n">
        <v>5302496590.749238</v>
      </c>
      <c r="C130" s="36" t="n"/>
      <c r="D130" s="36" t="n">
        <v>0</v>
      </c>
      <c r="E130" s="36" t="n">
        <v>1645504.587</v>
      </c>
      <c r="F130" s="36" t="n">
        <v>0</v>
      </c>
      <c r="G130" s="36" t="n">
        <v>0</v>
      </c>
      <c r="H130" s="36" t="n">
        <v>28385</v>
      </c>
      <c r="I130" s="36" t="n">
        <v>29262</v>
      </c>
      <c r="J130" s="36" t="n">
        <v>4920.589626436782</v>
      </c>
      <c r="K130" s="36" t="n">
        <v>25840.79</v>
      </c>
      <c r="L130" s="37" t="n">
        <v>78353.91</v>
      </c>
      <c r="M130" s="36" t="n">
        <v>1645504.587</v>
      </c>
      <c r="N130" s="37" t="n">
        <v>21684250.23</v>
      </c>
      <c r="O130" s="37" t="n">
        <v>26286.8993</v>
      </c>
      <c r="P130" s="37" t="n">
        <v>970.6196</v>
      </c>
      <c r="Q130" s="36" t="n">
        <v>20407.76</v>
      </c>
      <c r="R130" s="37" t="n">
        <v>335228498.2614</v>
      </c>
      <c r="S130" s="37" t="n">
        <v>999776717.3749</v>
      </c>
      <c r="T130" s="38">
        <f>IF(OR(R130="",R129=""),"",R130-R129)</f>
        <v/>
      </c>
      <c r="U130" s="38">
        <f>IF(OR(S130="",S129=""),"",S130-S129)</f>
        <v/>
      </c>
      <c r="V130" s="38">
        <f>IF(OR(U130="",P130=""),"",U130+P130)</f>
        <v/>
      </c>
      <c r="W130" s="38">
        <f>IF(OR(T130="",O130="",P130=""),"",T130-O130+P130)</f>
        <v/>
      </c>
    </row>
    <row r="131">
      <c r="A131" s="30" t="n">
        <v>45785</v>
      </c>
      <c r="B131" s="36" t="n">
        <v>10744450407.59778</v>
      </c>
      <c r="C131" s="36" t="n"/>
      <c r="D131" s="36" t="n">
        <v>0</v>
      </c>
      <c r="E131" s="36" t="n">
        <v>2070058.595</v>
      </c>
      <c r="F131" s="36" t="n">
        <v>0</v>
      </c>
      <c r="G131" s="36" t="n">
        <v>0</v>
      </c>
      <c r="H131" s="36" t="n">
        <v>51811</v>
      </c>
      <c r="I131" s="36" t="n">
        <v>53413</v>
      </c>
      <c r="J131" s="36" t="n">
        <v>4665.805506652856</v>
      </c>
      <c r="K131" s="36" t="n">
        <v>39039.54</v>
      </c>
      <c r="L131" s="37" t="n">
        <v>94408.36</v>
      </c>
      <c r="M131" s="36" t="n">
        <v>2070058.595</v>
      </c>
      <c r="N131" s="37" t="n">
        <v>21778658.59</v>
      </c>
      <c r="O131" s="37" t="n">
        <v>26293.0763</v>
      </c>
      <c r="P131" s="37" t="n">
        <v>779.5515</v>
      </c>
      <c r="Q131" s="36" t="n">
        <v>16462.96</v>
      </c>
      <c r="R131" s="37" t="n">
        <v>335239406.6037</v>
      </c>
      <c r="S131" s="37" t="n">
        <v>999775937.8233</v>
      </c>
      <c r="T131" s="38">
        <f>IF(OR(R131="",R130=""),"",R131-R130)</f>
        <v/>
      </c>
      <c r="U131" s="38">
        <f>IF(OR(S131="",S130=""),"",S131-S130)</f>
        <v/>
      </c>
      <c r="V131" s="38">
        <f>IF(OR(U131="",P131=""),"",U131+P131)</f>
        <v/>
      </c>
      <c r="W131" s="38">
        <f>IF(OR(T131="",O131="",P131=""),"",T131-O131+P131)</f>
        <v/>
      </c>
    </row>
    <row r="132">
      <c r="A132" s="30" t="n">
        <v>45786</v>
      </c>
      <c r="B132" s="36" t="n">
        <v>9205104235.407499</v>
      </c>
      <c r="C132" s="36" t="n"/>
      <c r="D132" s="36" t="n">
        <v>0</v>
      </c>
      <c r="E132" s="36" t="n">
        <v>3722273.751</v>
      </c>
      <c r="F132" s="36" t="n">
        <v>0</v>
      </c>
      <c r="G132" s="36" t="n">
        <v>0</v>
      </c>
      <c r="H132" s="36" t="n">
        <v>61259</v>
      </c>
      <c r="I132" s="36" t="n">
        <v>63153</v>
      </c>
      <c r="J132" s="36" t="n">
        <v>4421.023417596251</v>
      </c>
      <c r="K132" s="36" t="n">
        <v>49456.56</v>
      </c>
      <c r="L132" s="37" t="n">
        <v>150005.11</v>
      </c>
      <c r="M132" s="36" t="n">
        <v>3722273.751</v>
      </c>
      <c r="N132" s="37" t="n">
        <v>21928663.7</v>
      </c>
      <c r="O132" s="37" t="n">
        <v>26286.2467</v>
      </c>
      <c r="P132" s="37" t="n">
        <v>2047.9404</v>
      </c>
      <c r="Q132" s="36" t="n">
        <v>47450.78</v>
      </c>
      <c r="R132" s="37" t="n">
        <v>335249066.064</v>
      </c>
      <c r="S132" s="37" t="n">
        <v>999773889.883</v>
      </c>
      <c r="T132" s="38">
        <f>IF(OR(R132="",R131=""),"",R132-R131)</f>
        <v/>
      </c>
      <c r="U132" s="38">
        <f>IF(OR(S132="",S131=""),"",S132-S131)</f>
        <v/>
      </c>
      <c r="V132" s="38">
        <f>IF(OR(U132="",P132=""),"",U132+P132)</f>
        <v/>
      </c>
      <c r="W132" s="38">
        <f>IF(OR(T132="",O132="",P132=""),"",T132-O132+P132)</f>
        <v/>
      </c>
    </row>
    <row r="133">
      <c r="A133" s="30" t="n">
        <v>45787</v>
      </c>
      <c r="B133" s="36" t="n">
        <v>5771644873.068854</v>
      </c>
      <c r="C133" s="36" t="n"/>
      <c r="D133" s="36" t="n">
        <v>0</v>
      </c>
      <c r="E133" s="36" t="n">
        <v>1982994.49</v>
      </c>
      <c r="F133" s="36" t="n">
        <v>0</v>
      </c>
      <c r="G133" s="36" t="n">
        <v>0</v>
      </c>
      <c r="H133" s="36" t="n">
        <v>36046</v>
      </c>
      <c r="I133" s="36" t="n">
        <v>37161</v>
      </c>
      <c r="J133" s="36" t="n">
        <v>3198.978199177561</v>
      </c>
      <c r="K133" s="36" t="n">
        <v>0</v>
      </c>
      <c r="L133" s="37" t="n">
        <v>78879.00999999999</v>
      </c>
      <c r="M133" s="36" t="n">
        <v>1982994.49</v>
      </c>
      <c r="N133" s="37" t="n">
        <v>22007542.71</v>
      </c>
      <c r="O133" s="37" t="n">
        <v>26264.9266</v>
      </c>
      <c r="P133" s="37" t="n">
        <v>1889.7992</v>
      </c>
      <c r="Q133" s="36" t="n">
        <v>47118.36</v>
      </c>
      <c r="R133" s="37" t="n">
        <v>335258901.4017</v>
      </c>
      <c r="S133" s="37" t="n">
        <v>999772000.0838</v>
      </c>
      <c r="T133" s="38">
        <f>IF(OR(R133="",R132=""),"",R133-R132)</f>
        <v/>
      </c>
      <c r="U133" s="38">
        <f>IF(OR(S133="",S132=""),"",S133-S132)</f>
        <v/>
      </c>
      <c r="V133" s="38">
        <f>IF(OR(U133="",P133=""),"",U133+P133)</f>
        <v/>
      </c>
      <c r="W133" s="38">
        <f>IF(OR(T133="",O133="",P133=""),"",T133-O133+P133)</f>
        <v/>
      </c>
    </row>
    <row r="134">
      <c r="A134" s="30" t="n">
        <v>45788</v>
      </c>
      <c r="B134" s="36" t="n">
        <v>6586463067.025468</v>
      </c>
      <c r="C134" s="36" t="n"/>
      <c r="D134" s="36" t="n">
        <v>0</v>
      </c>
      <c r="E134" s="36" t="n">
        <v>2151725.798</v>
      </c>
      <c r="F134" s="36" t="n">
        <v>0</v>
      </c>
      <c r="G134" s="36" t="n">
        <v>0</v>
      </c>
      <c r="H134" s="36" t="n">
        <v>45509</v>
      </c>
      <c r="I134" s="36" t="n">
        <v>46917</v>
      </c>
      <c r="J134" s="36" t="n">
        <v>4712.375812118085</v>
      </c>
      <c r="K134" s="36" t="n">
        <v>61482.8</v>
      </c>
      <c r="L134" s="37" t="n">
        <v>85990.77</v>
      </c>
      <c r="M134" s="36" t="n">
        <v>2151725.798</v>
      </c>
      <c r="N134" s="37" t="n">
        <v>22093533.48</v>
      </c>
      <c r="O134" s="37" t="n">
        <v>26383.8354</v>
      </c>
      <c r="P134" s="37" t="n">
        <v>886.5262</v>
      </c>
      <c r="Q134" s="36" t="n">
        <v>23269.98</v>
      </c>
      <c r="R134" s="37" t="n">
        <v>335269832.7922</v>
      </c>
      <c r="S134" s="37" t="n">
        <v>999771113.5575</v>
      </c>
      <c r="T134" s="38">
        <f>IF(OR(R134="",R133=""),"",R134-R133)</f>
        <v/>
      </c>
      <c r="U134" s="38">
        <f>IF(OR(S134="",S133=""),"",S134-S133)</f>
        <v/>
      </c>
      <c r="V134" s="38">
        <f>IF(OR(U134="",P134=""),"",U134+P134)</f>
        <v/>
      </c>
      <c r="W134" s="38">
        <f>IF(OR(T134="",O134="",P134=""),"",T134-O134+P134)</f>
        <v/>
      </c>
    </row>
    <row r="135">
      <c r="A135" s="30" t="n">
        <v>45789</v>
      </c>
      <c r="B135" s="36" t="n">
        <v>11465187013.32223</v>
      </c>
      <c r="C135" s="36" t="n"/>
      <c r="D135" s="36" t="n">
        <v>0</v>
      </c>
      <c r="E135" s="36" t="n">
        <v>2013924.852</v>
      </c>
      <c r="F135" s="36" t="n">
        <v>0</v>
      </c>
      <c r="G135" s="36" t="n">
        <v>0</v>
      </c>
      <c r="H135" s="36" t="n">
        <v>45638</v>
      </c>
      <c r="I135" s="36" t="n">
        <v>47049</v>
      </c>
      <c r="J135" s="36" t="n">
        <v>5249.561312008317</v>
      </c>
      <c r="K135" s="36" t="n">
        <v>34871.23</v>
      </c>
      <c r="L135" s="37" t="n">
        <v>81748.81</v>
      </c>
      <c r="M135" s="36" t="n">
        <v>2013924.852</v>
      </c>
      <c r="N135" s="37" t="n">
        <v>22175282.29</v>
      </c>
      <c r="O135" s="37" t="n">
        <v>26327.3026</v>
      </c>
      <c r="P135" s="37" t="n">
        <v>1125.8566</v>
      </c>
      <c r="Q135" s="36" t="n">
        <v>28183</v>
      </c>
      <c r="R135" s="37" t="n">
        <v>335280483.2561</v>
      </c>
      <c r="S135" s="37" t="n">
        <v>999769987.701</v>
      </c>
      <c r="T135" s="38">
        <f>IF(OR(R135="",R134=""),"",R135-R134)</f>
        <v/>
      </c>
      <c r="U135" s="38">
        <f>IF(OR(S135="",S134=""),"",S135-S134)</f>
        <v/>
      </c>
      <c r="V135" s="38">
        <f>IF(OR(U135="",P135=""),"",U135+P135)</f>
        <v/>
      </c>
      <c r="W135" s="38">
        <f>IF(OR(T135="",O135="",P135=""),"",T135-O135+P135)</f>
        <v/>
      </c>
    </row>
    <row r="136">
      <c r="A136" s="30" t="n">
        <v>45790</v>
      </c>
      <c r="B136" s="36" t="n">
        <v>8383620368.11664</v>
      </c>
      <c r="C136" s="36" t="n"/>
      <c r="D136" s="36" t="n">
        <v>0</v>
      </c>
      <c r="E136" s="36" t="n">
        <v>2931446.112</v>
      </c>
      <c r="F136" s="36" t="n">
        <v>0</v>
      </c>
      <c r="G136" s="36" t="n">
        <v>0</v>
      </c>
      <c r="H136" s="36" t="n">
        <v>40740</v>
      </c>
      <c r="I136" s="36" t="n">
        <v>42000</v>
      </c>
      <c r="J136" s="36" t="n">
        <v>3367.628447783542</v>
      </c>
      <c r="K136" s="36" t="n">
        <v>39094.52</v>
      </c>
      <c r="L136" s="37" t="n">
        <v>115846.18</v>
      </c>
      <c r="M136" s="36" t="n">
        <v>2931446.112</v>
      </c>
      <c r="N136" s="37" t="n">
        <v>22291128.47</v>
      </c>
      <c r="O136" s="37" t="n">
        <v>26375.9894</v>
      </c>
      <c r="P136" s="37" t="n">
        <v>1150.7927</v>
      </c>
      <c r="Q136" s="36" t="n">
        <v>28201.32</v>
      </c>
      <c r="R136" s="37" t="n">
        <v>335291137.9852</v>
      </c>
      <c r="S136" s="37" t="n">
        <v>999768836.9083</v>
      </c>
      <c r="T136" s="38">
        <f>IF(OR(R136="",R135=""),"",R136-R135)</f>
        <v/>
      </c>
      <c r="U136" s="38">
        <f>IF(OR(S136="",S135=""),"",S136-S135)</f>
        <v/>
      </c>
      <c r="V136" s="38">
        <f>IF(OR(U136="",P136=""),"",U136+P136)</f>
        <v/>
      </c>
      <c r="W136" s="38">
        <f>IF(OR(T136="",O136="",P136=""),"",T136-O136+P136)</f>
        <v/>
      </c>
    </row>
    <row r="137">
      <c r="A137" s="30" t="n">
        <v>45791</v>
      </c>
      <c r="B137" s="36" t="n">
        <v>7000956820.499754</v>
      </c>
      <c r="C137" s="36" t="n"/>
      <c r="D137" s="36" t="n">
        <v>0</v>
      </c>
      <c r="E137" s="36" t="n">
        <v>2425221.212</v>
      </c>
      <c r="F137" s="36" t="n">
        <v>0</v>
      </c>
      <c r="G137" s="36" t="n">
        <v>0</v>
      </c>
      <c r="H137" s="36" t="n">
        <v>34519</v>
      </c>
      <c r="I137" s="36" t="n">
        <v>35587</v>
      </c>
      <c r="J137" s="36" t="n">
        <v>3780.99140769924</v>
      </c>
      <c r="K137" s="36" t="n">
        <v>48946.75</v>
      </c>
      <c r="L137" s="37" t="n">
        <v>96039.05</v>
      </c>
      <c r="M137" s="36" t="n">
        <v>2425221.212</v>
      </c>
      <c r="N137" s="37" t="n">
        <v>22387167.52</v>
      </c>
      <c r="O137" s="37" t="n">
        <v>26379.0101</v>
      </c>
      <c r="P137" s="37" t="n">
        <v>998.4329</v>
      </c>
      <c r="Q137" s="36" t="n">
        <v>25636.26</v>
      </c>
      <c r="R137" s="37" t="n">
        <v>335301953.0617</v>
      </c>
      <c r="S137" s="37" t="n">
        <v>999767838.4754</v>
      </c>
      <c r="T137" s="38">
        <f>IF(OR(R137="",R136=""),"",R137-R136)</f>
        <v/>
      </c>
      <c r="U137" s="38">
        <f>IF(OR(S137="",S136=""),"",S137-S136)</f>
        <v/>
      </c>
      <c r="V137" s="38">
        <f>IF(OR(U137="",P137=""),"",U137+P137)</f>
        <v/>
      </c>
      <c r="W137" s="38">
        <f>IF(OR(T137="",O137="",P137=""),"",T137-O137+P137)</f>
        <v/>
      </c>
    </row>
    <row r="138">
      <c r="A138" s="30" t="n">
        <v>45792</v>
      </c>
      <c r="B138" s="36" t="n">
        <v>7691386938.568702</v>
      </c>
      <c r="C138" s="36" t="n"/>
      <c r="D138" s="36" t="n">
        <v>0</v>
      </c>
      <c r="E138" s="36" t="n">
        <v>1824984.348</v>
      </c>
      <c r="F138" s="36" t="n">
        <v>0</v>
      </c>
      <c r="G138" s="36" t="n">
        <v>0</v>
      </c>
      <c r="H138" s="36" t="n">
        <v>35880</v>
      </c>
      <c r="I138" s="36" t="n">
        <v>36989</v>
      </c>
      <c r="J138" s="36" t="n">
        <v>5271.275731880184</v>
      </c>
      <c r="K138" s="36" t="n">
        <v>0</v>
      </c>
      <c r="L138" s="37" t="n">
        <v>72382.53</v>
      </c>
      <c r="M138" s="36" t="n">
        <v>1824984.348</v>
      </c>
      <c r="N138" s="37" t="n">
        <v>22459550.05</v>
      </c>
      <c r="O138" s="37" t="n">
        <v>26336.2435</v>
      </c>
      <c r="P138" s="37" t="n">
        <v>667.6346</v>
      </c>
      <c r="Q138" s="36" t="n">
        <v>16877.8</v>
      </c>
      <c r="R138" s="37" t="n">
        <v>335313091.1542</v>
      </c>
      <c r="S138" s="37" t="n">
        <v>999767170.8407</v>
      </c>
      <c r="T138" s="38">
        <f>IF(OR(R138="",R137=""),"",R138-R137)</f>
        <v/>
      </c>
      <c r="U138" s="38">
        <f>IF(OR(S138="",S137=""),"",S138-S137)</f>
        <v/>
      </c>
      <c r="V138" s="38">
        <f>IF(OR(U138="",P138=""),"",U138+P138)</f>
        <v/>
      </c>
      <c r="W138" s="38">
        <f>IF(OR(T138="",O138="",P138=""),"",T138-O138+P138)</f>
        <v/>
      </c>
    </row>
    <row r="139">
      <c r="A139" s="30" t="n">
        <v>45793</v>
      </c>
      <c r="B139" s="36" t="n">
        <v>6286215708.911819</v>
      </c>
      <c r="C139" s="36" t="n"/>
      <c r="D139" s="36" t="n">
        <v>0</v>
      </c>
      <c r="E139" s="36" t="n">
        <v>2316472.826</v>
      </c>
      <c r="F139" s="36" t="n">
        <v>0</v>
      </c>
      <c r="G139" s="36" t="n">
        <v>0</v>
      </c>
      <c r="H139" s="36" t="n">
        <v>50491</v>
      </c>
      <c r="I139" s="36" t="n">
        <v>52053</v>
      </c>
      <c r="J139" s="36" t="n">
        <v>4550.524200601108</v>
      </c>
      <c r="K139" s="36" t="n">
        <v>39703.06</v>
      </c>
      <c r="L139" s="37" t="n">
        <v>84745.06</v>
      </c>
      <c r="M139" s="36" t="n">
        <v>2316472.826</v>
      </c>
      <c r="N139" s="37" t="n">
        <v>22544295.11</v>
      </c>
      <c r="O139" s="37" t="n">
        <v>26356.8899</v>
      </c>
      <c r="P139" s="37" t="n">
        <v>821.8124</v>
      </c>
      <c r="Q139" s="36" t="n">
        <v>21579.56</v>
      </c>
      <c r="R139" s="37" t="n">
        <v>335324064.4849</v>
      </c>
      <c r="S139" s="37" t="n">
        <v>999766349.0283</v>
      </c>
      <c r="T139" s="38">
        <f>IF(OR(R139="",R138=""),"",R139-R138)</f>
        <v/>
      </c>
      <c r="U139" s="38">
        <f>IF(OR(S139="",S138=""),"",S139-S138)</f>
        <v/>
      </c>
      <c r="V139" s="38">
        <f>IF(OR(U139="",P139=""),"",U139+P139)</f>
        <v/>
      </c>
      <c r="W139" s="38">
        <f>IF(OR(T139="",O139="",P139=""),"",T139-O139+P139)</f>
        <v/>
      </c>
    </row>
    <row r="140">
      <c r="A140" s="30" t="n">
        <v>45794</v>
      </c>
      <c r="B140" s="36" t="n">
        <v>4365168405.24695</v>
      </c>
      <c r="C140" s="36" t="n"/>
      <c r="D140" s="36" t="n">
        <v>0</v>
      </c>
      <c r="E140" s="36" t="n">
        <v>1800311.971</v>
      </c>
      <c r="F140" s="36" t="n">
        <v>0</v>
      </c>
      <c r="G140" s="36" t="n">
        <v>0</v>
      </c>
      <c r="H140" s="36" t="n">
        <v>43294</v>
      </c>
      <c r="I140" s="36" t="n">
        <v>44633</v>
      </c>
      <c r="J140" s="36" t="n">
        <v>2661.971748629785</v>
      </c>
      <c r="K140" s="36" t="n">
        <v>22540.86</v>
      </c>
      <c r="L140" s="37" t="n">
        <v>69880.88</v>
      </c>
      <c r="M140" s="36" t="n">
        <v>1800311.971</v>
      </c>
      <c r="N140" s="37" t="n">
        <v>22614175.99</v>
      </c>
      <c r="O140" s="37" t="n">
        <v>26319.8402</v>
      </c>
      <c r="P140" s="37" t="n">
        <v>1419.0542</v>
      </c>
      <c r="Q140" s="36" t="n">
        <v>37947.64</v>
      </c>
      <c r="R140" s="37" t="n">
        <v>335334399.7393</v>
      </c>
      <c r="S140" s="37" t="n">
        <v>999764929.9741</v>
      </c>
      <c r="T140" s="38">
        <f>IF(OR(R140="",R139=""),"",R140-R139)</f>
        <v/>
      </c>
      <c r="U140" s="38">
        <f>IF(OR(S140="",S139=""),"",S140-S139)</f>
        <v/>
      </c>
      <c r="V140" s="38">
        <f>IF(OR(U140="",P140=""),"",U140+P140)</f>
        <v/>
      </c>
      <c r="W140" s="38">
        <f>IF(OR(T140="",O140="",P140=""),"",T140-O140+P140)</f>
        <v/>
      </c>
    </row>
    <row r="141">
      <c r="A141" s="30" t="n">
        <v>45795</v>
      </c>
      <c r="B141" s="36" t="n">
        <v>7314944825.222101</v>
      </c>
      <c r="C141" s="36" t="n"/>
      <c r="D141" s="36" t="n">
        <v>0</v>
      </c>
      <c r="E141" s="36" t="n">
        <v>915170.6442</v>
      </c>
      <c r="F141" s="36" t="n">
        <v>0</v>
      </c>
      <c r="G141" s="36" t="n">
        <v>0</v>
      </c>
      <c r="H141" s="36" t="n">
        <v>39516</v>
      </c>
      <c r="I141" s="36" t="n">
        <v>40738</v>
      </c>
      <c r="J141" s="36" t="n">
        <v>1944.374945875695</v>
      </c>
      <c r="K141" s="36" t="n">
        <v>23849.95</v>
      </c>
      <c r="L141" s="37" t="n">
        <v>34506.07</v>
      </c>
      <c r="M141" s="36" t="n">
        <v>915170.6442</v>
      </c>
      <c r="N141" s="37" t="n">
        <v>22648682.06</v>
      </c>
      <c r="O141" s="37" t="n">
        <v>26317.2146</v>
      </c>
      <c r="P141" s="37" t="n">
        <v>991.9164</v>
      </c>
      <c r="Q141" s="36" t="n">
        <v>25794.29</v>
      </c>
      <c r="R141" s="37" t="n">
        <v>335345163.1421</v>
      </c>
      <c r="S141" s="37" t="n">
        <v>999763938.0577</v>
      </c>
      <c r="T141" s="38">
        <f>IF(OR(R141="",R140=""),"",R141-R140)</f>
        <v/>
      </c>
      <c r="U141" s="38">
        <f>IF(OR(S141="",S140=""),"",S141-S140)</f>
        <v/>
      </c>
      <c r="V141" s="38">
        <f>IF(OR(U141="",P141=""),"",U141+P141)</f>
        <v/>
      </c>
      <c r="W141" s="38">
        <f>IF(OR(T141="",O141="",P141=""),"",T141-O141+P141)</f>
        <v/>
      </c>
    </row>
    <row r="142">
      <c r="A142" s="30" t="n">
        <v>45796</v>
      </c>
      <c r="B142" s="36" t="n">
        <v>9535736914.447601</v>
      </c>
      <c r="C142" s="36" t="n"/>
      <c r="D142" s="36" t="n">
        <v>0</v>
      </c>
      <c r="E142" s="36" t="n">
        <v>3021657.469</v>
      </c>
      <c r="F142" s="36" t="n">
        <v>0</v>
      </c>
      <c r="G142" s="36" t="n">
        <v>0</v>
      </c>
      <c r="H142" s="36" t="n">
        <v>49789</v>
      </c>
      <c r="I142" s="36" t="n">
        <v>51328</v>
      </c>
      <c r="J142" s="36" t="n">
        <v>2016.679964120407</v>
      </c>
      <c r="K142" s="36" t="n">
        <v>0</v>
      </c>
      <c r="L142" s="37" t="n">
        <v>116816.87</v>
      </c>
      <c r="M142" s="36" t="n">
        <v>3021657.469</v>
      </c>
      <c r="N142" s="37" t="n">
        <v>22765498.93</v>
      </c>
      <c r="O142" s="37" t="n">
        <v>26301.7686</v>
      </c>
      <c r="P142" s="37" t="n">
        <v>844.6677</v>
      </c>
      <c r="Q142" s="36" t="n">
        <v>22863.47</v>
      </c>
      <c r="R142" s="37" t="n">
        <v>335356069.0241</v>
      </c>
      <c r="S142" s="37" t="n">
        <v>999763093.39</v>
      </c>
      <c r="T142" s="38">
        <f>IF(OR(R142="",R141=""),"",R142-R141)</f>
        <v/>
      </c>
      <c r="U142" s="38">
        <f>IF(OR(S142="",S141=""),"",S142-S141)</f>
        <v/>
      </c>
      <c r="V142" s="38">
        <f>IF(OR(U142="",P142=""),"",U142+P142)</f>
        <v/>
      </c>
      <c r="W142" s="38">
        <f>IF(OR(T142="",O142="",P142=""),"",T142-O142+P142)</f>
        <v/>
      </c>
    </row>
    <row r="143">
      <c r="A143" s="30" t="n">
        <v>45797</v>
      </c>
      <c r="B143" s="36" t="n">
        <v>11112341692.06507</v>
      </c>
      <c r="C143" s="36" t="n"/>
      <c r="D143" s="36" t="n">
        <v>0</v>
      </c>
      <c r="E143" s="36" t="n">
        <v>2335473.216</v>
      </c>
      <c r="F143" s="36" t="n">
        <v>0</v>
      </c>
      <c r="G143" s="36" t="n">
        <v>0</v>
      </c>
      <c r="H143" s="36" t="n">
        <v>42349</v>
      </c>
      <c r="I143" s="36" t="n">
        <v>43659</v>
      </c>
      <c r="J143" s="36" t="n">
        <v>1665.285350590203</v>
      </c>
      <c r="K143" s="36" t="n">
        <v>18725</v>
      </c>
      <c r="L143" s="37" t="n">
        <v>90221.34</v>
      </c>
      <c r="M143" s="36" t="n">
        <v>2335473.216</v>
      </c>
      <c r="N143" s="37" t="n">
        <v>22855720.27</v>
      </c>
      <c r="O143" s="37" t="n">
        <v>26318.4723</v>
      </c>
      <c r="P143" s="37" t="n">
        <v>1017.3268</v>
      </c>
      <c r="Q143" s="36" t="n">
        <v>27104.13</v>
      </c>
      <c r="R143" s="37" t="n">
        <v>335366812.4516</v>
      </c>
      <c r="S143" s="37" t="n">
        <v>999762076.0632</v>
      </c>
      <c r="T143" s="38">
        <f>IF(OR(R143="",R142=""),"",R143-R142)</f>
        <v/>
      </c>
      <c r="U143" s="38">
        <f>IF(OR(S143="",S142=""),"",S143-S142)</f>
        <v/>
      </c>
      <c r="V143" s="38">
        <f>IF(OR(U143="",P143=""),"",U143+P143)</f>
        <v/>
      </c>
      <c r="W143" s="38">
        <f>IF(OR(T143="",O143="",P143=""),"",T143-O143+P143)</f>
        <v/>
      </c>
    </row>
    <row r="144">
      <c r="A144" s="30" t="n">
        <v>45798</v>
      </c>
      <c r="B144" s="36" t="n">
        <v>17607432132.96347</v>
      </c>
      <c r="C144" s="36" t="n"/>
      <c r="D144" s="36" t="n">
        <v>0</v>
      </c>
      <c r="E144" s="36" t="n">
        <v>3243296.471</v>
      </c>
      <c r="F144" s="36" t="n">
        <v>0</v>
      </c>
      <c r="G144" s="36" t="n">
        <v>0</v>
      </c>
      <c r="H144" s="36" t="n">
        <v>68295</v>
      </c>
      <c r="I144" s="36" t="n">
        <v>70408</v>
      </c>
      <c r="J144" s="36" t="n">
        <v>2996.664644683044</v>
      </c>
      <c r="K144" s="36" t="n">
        <v>18440.9</v>
      </c>
      <c r="L144" s="37" t="n">
        <v>117416.77</v>
      </c>
      <c r="M144" s="36" t="n">
        <v>3243296.471</v>
      </c>
      <c r="N144" s="37" t="n">
        <v>22973137.04</v>
      </c>
      <c r="O144" s="37" t="n">
        <v>26382.9301</v>
      </c>
      <c r="P144" s="37" t="n">
        <v>742.3954</v>
      </c>
      <c r="Q144" s="36" t="n">
        <v>19643.04</v>
      </c>
      <c r="R144" s="37" t="n">
        <v>335377891.0606</v>
      </c>
      <c r="S144" s="37" t="n">
        <v>999761333.6679</v>
      </c>
      <c r="T144" s="38">
        <f>IF(OR(R144="",R143=""),"",R144-R143)</f>
        <v/>
      </c>
      <c r="U144" s="38">
        <f>IF(OR(S144="",S143=""),"",S144-S143)</f>
        <v/>
      </c>
      <c r="V144" s="38">
        <f>IF(OR(U144="",P144=""),"",U144+P144)</f>
        <v/>
      </c>
      <c r="W144" s="38">
        <f>IF(OR(T144="",O144="",P144=""),"",T144-O144+P144)</f>
        <v/>
      </c>
    </row>
    <row r="145">
      <c r="A145" s="30" t="n">
        <v>45799</v>
      </c>
      <c r="B145" s="36" t="n">
        <v>11653389156.53191</v>
      </c>
      <c r="C145" s="36" t="n"/>
      <c r="D145" s="36" t="n">
        <v>0</v>
      </c>
      <c r="E145" s="36" t="n">
        <v>5872178.578</v>
      </c>
      <c r="F145" s="36" t="n">
        <v>0</v>
      </c>
      <c r="G145" s="36" t="n">
        <v>0</v>
      </c>
      <c r="H145" s="36" t="n">
        <v>110239</v>
      </c>
      <c r="I145" s="36" t="n">
        <v>113648</v>
      </c>
      <c r="J145" s="36" t="n">
        <v>35055.96777071235</v>
      </c>
      <c r="K145" s="36" t="n">
        <v>23454.97</v>
      </c>
      <c r="L145" s="37" t="n">
        <v>183172.39</v>
      </c>
      <c r="M145" s="36" t="n">
        <v>5872178.578</v>
      </c>
      <c r="N145" s="37" t="n">
        <v>23156309.43</v>
      </c>
      <c r="O145" s="37" t="n">
        <v>26369.2575</v>
      </c>
      <c r="P145" s="37" t="n">
        <v>1400.0976</v>
      </c>
      <c r="Q145" s="36" t="n">
        <v>39540.86</v>
      </c>
      <c r="R145" s="37" t="n">
        <v>335388287.9178</v>
      </c>
      <c r="S145" s="37" t="n">
        <v>999759933.5702</v>
      </c>
      <c r="T145" s="38">
        <f>IF(OR(R145="",R144=""),"",R145-R144)</f>
        <v/>
      </c>
      <c r="U145" s="38">
        <f>IF(OR(S145="",S144=""),"",S145-S144)</f>
        <v/>
      </c>
      <c r="V145" s="38">
        <f>IF(OR(U145="",P145=""),"",U145+P145)</f>
        <v/>
      </c>
      <c r="W145" s="38">
        <f>IF(OR(T145="",O145="",P145=""),"",T145-O145+P145)</f>
        <v/>
      </c>
    </row>
    <row r="146">
      <c r="A146" s="30" t="n">
        <v>45800</v>
      </c>
      <c r="B146" s="36" t="n">
        <v>13132043868.8706</v>
      </c>
      <c r="C146" s="36" t="n"/>
      <c r="D146" s="36" t="n">
        <v>0</v>
      </c>
      <c r="E146" s="36" t="n">
        <v>2858955.209</v>
      </c>
      <c r="F146" s="36" t="n">
        <v>0</v>
      </c>
      <c r="G146" s="36" t="n">
        <v>0</v>
      </c>
      <c r="H146" s="36" t="n">
        <v>136676</v>
      </c>
      <c r="I146" s="36" t="n">
        <v>140903</v>
      </c>
      <c r="J146" s="36" t="n">
        <v>129210.1306439126</v>
      </c>
      <c r="K146" s="36" t="n">
        <v>0</v>
      </c>
      <c r="L146" s="37" t="n">
        <v>81894.82000000001</v>
      </c>
      <c r="M146" s="36" t="n">
        <v>2858955.209</v>
      </c>
      <c r="N146" s="37" t="n">
        <v>23238204.25</v>
      </c>
      <c r="O146" s="37" t="n">
        <v>26341.6338</v>
      </c>
      <c r="P146" s="37" t="n">
        <v>2802.9091</v>
      </c>
      <c r="Q146" s="36" t="n">
        <v>93549.89</v>
      </c>
      <c r="R146" s="37" t="n">
        <v>335397236.9127</v>
      </c>
      <c r="S146" s="37" t="n">
        <v>999757130.6612</v>
      </c>
      <c r="T146" s="38">
        <f>IF(OR(R146="",R145=""),"",R146-R145)</f>
        <v/>
      </c>
      <c r="U146" s="38">
        <f>IF(OR(S146="",S145=""),"",S146-S145)</f>
        <v/>
      </c>
      <c r="V146" s="38">
        <f>IF(OR(U146="",P146=""),"",U146+P146)</f>
        <v/>
      </c>
      <c r="W146" s="38">
        <f>IF(OR(T146="",O146="",P146=""),"",T146-O146+P146)</f>
        <v/>
      </c>
    </row>
    <row r="147">
      <c r="A147" s="30" t="n">
        <v>45801</v>
      </c>
      <c r="B147" s="36" t="n">
        <v>7439669343.965864</v>
      </c>
      <c r="C147" s="36" t="n"/>
      <c r="D147" s="36" t="n">
        <v>0</v>
      </c>
      <c r="E147" s="36" t="n">
        <v>3421583.678</v>
      </c>
      <c r="F147" s="36" t="n">
        <v>0</v>
      </c>
      <c r="G147" s="36" t="n">
        <v>0</v>
      </c>
      <c r="H147" s="36" t="n">
        <v>61742</v>
      </c>
      <c r="I147" s="36" t="n">
        <v>63652</v>
      </c>
      <c r="J147" s="36" t="n">
        <v>34424.35568569396</v>
      </c>
      <c r="K147" s="36" t="n">
        <v>24967.89</v>
      </c>
      <c r="L147" s="37" t="n">
        <v>98770.75999999999</v>
      </c>
      <c r="M147" s="36" t="n">
        <v>3421583.678</v>
      </c>
      <c r="N147" s="37" t="n">
        <v>23336975.01</v>
      </c>
      <c r="O147" s="37" t="n">
        <v>26288.5976</v>
      </c>
      <c r="P147" s="37" t="n">
        <v>2774.1488</v>
      </c>
      <c r="Q147" s="36" t="n">
        <v>92266.8</v>
      </c>
      <c r="R147" s="37" t="n">
        <v>335406125.4695</v>
      </c>
      <c r="S147" s="37" t="n">
        <v>999754356.5123</v>
      </c>
      <c r="T147" s="38">
        <f>IF(OR(R147="",R146=""),"",R147-R146)</f>
        <v/>
      </c>
      <c r="U147" s="38">
        <f>IF(OR(S147="",S146=""),"",S147-S146)</f>
        <v/>
      </c>
      <c r="V147" s="38">
        <f>IF(OR(U147="",P147=""),"",U147+P147)</f>
        <v/>
      </c>
      <c r="W147" s="38">
        <f>IF(OR(T147="",O147="",P147=""),"",T147-O147+P147)</f>
        <v/>
      </c>
    </row>
    <row r="148">
      <c r="A148" s="30" t="n">
        <v>45802</v>
      </c>
      <c r="B148" s="36" t="n">
        <v>9377129709.883877</v>
      </c>
      <c r="C148" s="36" t="n"/>
      <c r="D148" s="36" t="n">
        <v>0</v>
      </c>
      <c r="E148" s="36" t="n">
        <v>2098890.136</v>
      </c>
      <c r="F148" s="36" t="n">
        <v>0</v>
      </c>
      <c r="G148" s="36" t="n">
        <v>0</v>
      </c>
      <c r="H148" s="36" t="n">
        <v>90452</v>
      </c>
      <c r="I148" s="36" t="n">
        <v>93250</v>
      </c>
      <c r="J148" s="36" t="n">
        <v>154666.157509478</v>
      </c>
      <c r="K148" s="36" t="n">
        <v>28772.86</v>
      </c>
      <c r="L148" s="37" t="n">
        <v>55390.98</v>
      </c>
      <c r="M148" s="36" t="n">
        <v>2098890.136</v>
      </c>
      <c r="N148" s="37" t="n">
        <v>23392365.99</v>
      </c>
      <c r="O148" s="37" t="n">
        <v>26274.0281</v>
      </c>
      <c r="P148" s="37" t="n">
        <v>1397.6446</v>
      </c>
      <c r="Q148" s="36" t="n">
        <v>48693.94</v>
      </c>
      <c r="R148" s="37" t="n">
        <v>335416376.9602</v>
      </c>
      <c r="S148" s="37" t="n">
        <v>999752958.8677</v>
      </c>
      <c r="T148" s="38">
        <f>IF(OR(R148="",R147=""),"",R148-R147)</f>
        <v/>
      </c>
      <c r="U148" s="38">
        <f>IF(OR(S148="",S147=""),"",S148-S147)</f>
        <v/>
      </c>
      <c r="V148" s="38">
        <f>IF(OR(U148="",P148=""),"",U148+P148)</f>
        <v/>
      </c>
      <c r="W148" s="38">
        <f>IF(OR(T148="",O148="",P148=""),"",T148-O148+P148)</f>
        <v/>
      </c>
    </row>
    <row r="149">
      <c r="A149" s="30" t="n">
        <v>45803</v>
      </c>
      <c r="B149" s="36" t="n">
        <v>7002792387.164196</v>
      </c>
      <c r="C149" s="36" t="n"/>
      <c r="D149" s="36" t="n">
        <v>0</v>
      </c>
      <c r="E149" s="36" t="n">
        <v>2258419.38</v>
      </c>
      <c r="F149" s="36" t="n">
        <v>0</v>
      </c>
      <c r="G149" s="36" t="n">
        <v>0</v>
      </c>
      <c r="H149" s="36" t="n">
        <v>97173</v>
      </c>
      <c r="I149" s="36" t="n">
        <v>100179</v>
      </c>
      <c r="J149" s="36" t="n">
        <v>116074.2444668833</v>
      </c>
      <c r="K149" s="36" t="n">
        <v>37966.86</v>
      </c>
      <c r="L149" s="37" t="n">
        <v>60341.07</v>
      </c>
      <c r="M149" s="36" t="n">
        <v>2258419.38</v>
      </c>
      <c r="N149" s="37" t="n">
        <v>23452707.06</v>
      </c>
      <c r="O149" s="37" t="n">
        <v>25952.4593</v>
      </c>
      <c r="P149" s="37" t="n">
        <v>1801.2147</v>
      </c>
      <c r="Q149" s="36" t="n">
        <v>69975.39</v>
      </c>
      <c r="R149" s="37" t="n">
        <v>335426016.6973</v>
      </c>
      <c r="S149" s="37" t="n">
        <v>999751157.653</v>
      </c>
      <c r="T149" s="38">
        <f>IF(OR(R149="",R148=""),"",R149-R148)</f>
        <v/>
      </c>
      <c r="U149" s="38">
        <f>IF(OR(S149="",S148=""),"",S149-S148)</f>
        <v/>
      </c>
      <c r="V149" s="38">
        <f>IF(OR(U149="",P149=""),"",U149+P149)</f>
        <v/>
      </c>
      <c r="W149" s="38">
        <f>IF(OR(T149="",O149="",P149=""),"",T149-O149+P149)</f>
        <v/>
      </c>
    </row>
    <row r="150">
      <c r="A150" s="30" t="n">
        <v>45804</v>
      </c>
      <c r="B150" s="36" t="n">
        <v>11173683374.34</v>
      </c>
      <c r="C150" s="36" t="n"/>
      <c r="D150" s="36" t="n">
        <v>0</v>
      </c>
      <c r="E150" s="36" t="n">
        <v>2244861.839</v>
      </c>
      <c r="F150" s="36" t="n">
        <v>0</v>
      </c>
      <c r="G150" s="36" t="n">
        <v>0</v>
      </c>
      <c r="H150" s="36" t="n">
        <v>84652</v>
      </c>
      <c r="I150" s="36" t="n">
        <v>87270</v>
      </c>
      <c r="J150" s="36" t="n">
        <v>201427.941166362</v>
      </c>
      <c r="K150" s="36" t="n">
        <v>55203</v>
      </c>
      <c r="L150" s="37" t="n">
        <v>61995.05</v>
      </c>
      <c r="M150" s="36" t="n">
        <v>2244861.839</v>
      </c>
      <c r="N150" s="37" t="n">
        <v>23514702.11</v>
      </c>
      <c r="O150" s="37" t="n">
        <v>26236.7805</v>
      </c>
      <c r="P150" s="37" t="n">
        <v>2566.597</v>
      </c>
      <c r="Q150" s="36" t="n">
        <v>95599.32000000001</v>
      </c>
      <c r="R150" s="37" t="n">
        <v>335435039.2613</v>
      </c>
      <c r="S150" s="37" t="n">
        <v>999748591.056</v>
      </c>
      <c r="T150" s="38">
        <f>IF(OR(R150="",R149=""),"",R150-R149)</f>
        <v/>
      </c>
      <c r="U150" s="38">
        <f>IF(OR(S150="",S149=""),"",S150-S149)</f>
        <v/>
      </c>
      <c r="V150" s="38">
        <f>IF(OR(U150="",P150=""),"",U150+P150)</f>
        <v/>
      </c>
      <c r="W150" s="38">
        <f>IF(OR(T150="",O150="",P150=""),"",T150-O150+P150)</f>
        <v/>
      </c>
    </row>
    <row r="151">
      <c r="A151" s="30" t="n">
        <v>45805</v>
      </c>
      <c r="B151" s="36" t="n">
        <v>9155802237.656036</v>
      </c>
      <c r="C151" s="36" t="n"/>
      <c r="D151" s="36" t="n">
        <v>0</v>
      </c>
      <c r="E151" s="36" t="n">
        <v>2305266.481</v>
      </c>
      <c r="F151" s="36" t="n">
        <v>0</v>
      </c>
      <c r="G151" s="36" t="n">
        <v>0</v>
      </c>
      <c r="H151" s="36" t="n">
        <v>80403</v>
      </c>
      <c r="I151" s="36" t="n">
        <v>82889</v>
      </c>
      <c r="J151" s="36" t="n">
        <v>75605.17928433532</v>
      </c>
      <c r="K151" s="36" t="n">
        <v>0</v>
      </c>
      <c r="L151" s="37" t="n">
        <v>69201.32000000001</v>
      </c>
      <c r="M151" s="36" t="n">
        <v>2305266.481</v>
      </c>
      <c r="N151" s="37" t="n">
        <v>23583903.43</v>
      </c>
      <c r="O151" s="37" t="n">
        <v>26207.4869</v>
      </c>
      <c r="P151" s="37" t="n">
        <v>2773.3719</v>
      </c>
      <c r="Q151" s="36" t="n">
        <v>98524.03999999999</v>
      </c>
      <c r="R151" s="37" t="n">
        <v>335443830.4754</v>
      </c>
      <c r="S151" s="37" t="n">
        <v>999745817.6841</v>
      </c>
      <c r="T151" s="38">
        <f>IF(OR(R151="",R150=""),"",R151-R150)</f>
        <v/>
      </c>
      <c r="U151" s="38">
        <f>IF(OR(S151="",S150=""),"",S151-S150)</f>
        <v/>
      </c>
      <c r="V151" s="38">
        <f>IF(OR(U151="",P151=""),"",U151+P151)</f>
        <v/>
      </c>
      <c r="W151" s="38">
        <f>IF(OR(T151="",O151="",P151=""),"",T151-O151+P151)</f>
        <v/>
      </c>
    </row>
    <row r="152">
      <c r="A152" s="30" t="n">
        <v>45806</v>
      </c>
      <c r="B152" s="36" t="n">
        <v>10872328015.21723</v>
      </c>
      <c r="C152" s="36" t="n"/>
      <c r="D152" s="36" t="n">
        <v>0</v>
      </c>
      <c r="E152" s="36" t="n">
        <v>2602830.505</v>
      </c>
      <c r="F152" s="36" t="n">
        <v>0</v>
      </c>
      <c r="G152" s="36" t="n">
        <v>0</v>
      </c>
      <c r="H152" s="36" t="n">
        <v>85461</v>
      </c>
      <c r="I152" s="36" t="n">
        <v>88105</v>
      </c>
      <c r="J152" s="36" t="n">
        <v>34406.35455339479</v>
      </c>
      <c r="K152" s="36" t="n">
        <v>62838.71</v>
      </c>
      <c r="L152" s="37" t="n">
        <v>80786.59</v>
      </c>
      <c r="M152" s="36" t="n">
        <v>2602830.505</v>
      </c>
      <c r="N152" s="37" t="n">
        <v>23664690.02</v>
      </c>
      <c r="O152" s="37" t="n">
        <v>26214.7499</v>
      </c>
      <c r="P152" s="37" t="n">
        <v>1240.1215</v>
      </c>
      <c r="Q152" s="36" t="n">
        <v>41937.81</v>
      </c>
      <c r="R152" s="37" t="n">
        <v>335454167.2079</v>
      </c>
      <c r="S152" s="37" t="n">
        <v>999744577.5626</v>
      </c>
      <c r="T152" s="38">
        <f>IF(OR(R152="",R151=""),"",R152-R151)</f>
        <v/>
      </c>
      <c r="U152" s="38">
        <f>IF(OR(S152="",S151=""),"",S152-S151)</f>
        <v/>
      </c>
      <c r="V152" s="38">
        <f>IF(OR(U152="",P152=""),"",U152+P152)</f>
        <v/>
      </c>
      <c r="W152" s="38">
        <f>IF(OR(T152="",O152="",P152=""),"",T152-O152+P152)</f>
        <v/>
      </c>
    </row>
    <row r="153">
      <c r="A153" s="30" t="n">
        <v>45807</v>
      </c>
      <c r="B153" s="36" t="n">
        <v>10883704783.30737</v>
      </c>
      <c r="C153" s="36" t="n"/>
      <c r="D153" s="36" t="n">
        <v>0</v>
      </c>
      <c r="E153" s="36" t="n">
        <v>3404212.923</v>
      </c>
      <c r="F153" s="36" t="n">
        <v>0</v>
      </c>
      <c r="G153" s="36" t="n">
        <v>0</v>
      </c>
      <c r="H153" s="36" t="n">
        <v>84997</v>
      </c>
      <c r="I153" s="36" t="n">
        <v>87626</v>
      </c>
      <c r="J153" s="36" t="n">
        <v>26566.11318981272</v>
      </c>
      <c r="K153" s="36" t="n">
        <v>39054.57</v>
      </c>
      <c r="L153" s="37" t="n">
        <v>102673.6</v>
      </c>
      <c r="M153" s="36" t="n">
        <v>3404212.923</v>
      </c>
      <c r="N153" s="37" t="n">
        <v>23767363.62</v>
      </c>
      <c r="O153" s="37" t="n">
        <v>26217.0528</v>
      </c>
      <c r="P153" s="37" t="n">
        <v>3266.41</v>
      </c>
      <c r="Q153" s="36" t="n">
        <v>103174.46</v>
      </c>
      <c r="R153" s="37" t="n">
        <v>335462478.1987</v>
      </c>
      <c r="S153" s="37" t="n">
        <v>999741311.1526999</v>
      </c>
      <c r="T153" s="38">
        <f>IF(OR(R153="",R152=""),"",R153-R152)</f>
        <v/>
      </c>
      <c r="U153" s="38">
        <f>IF(OR(S153="",S152=""),"",S153-S152)</f>
        <v/>
      </c>
      <c r="V153" s="38">
        <f>IF(OR(U153="",P153=""),"",U153+P153)</f>
        <v/>
      </c>
      <c r="W153" s="38">
        <f>IF(OR(T153="",O153="",P153=""),"",T153-O153+P153)</f>
        <v/>
      </c>
    </row>
    <row r="154">
      <c r="A154" s="30" t="n">
        <v>45808</v>
      </c>
      <c r="B154" s="36" t="n">
        <v>4406569829.065056</v>
      </c>
      <c r="C154" s="36" t="n"/>
      <c r="D154" s="36" t="n">
        <v>0</v>
      </c>
      <c r="E154" s="36" t="n">
        <v>2525982.714</v>
      </c>
      <c r="F154" s="36" t="n">
        <v>0</v>
      </c>
      <c r="G154" s="36" t="n">
        <v>0</v>
      </c>
      <c r="H154" s="36" t="n">
        <v>47335</v>
      </c>
      <c r="I154" s="36" t="n">
        <v>48799</v>
      </c>
      <c r="J154" s="36" t="n">
        <v>16044.1587257375</v>
      </c>
      <c r="K154" s="36" t="n">
        <v>0</v>
      </c>
      <c r="L154" s="37" t="n">
        <v>78478.33</v>
      </c>
      <c r="M154" s="36" t="n">
        <v>2525982.714</v>
      </c>
      <c r="N154" s="37" t="n">
        <v>23845841.95</v>
      </c>
      <c r="O154" s="37" t="n">
        <v>26216.242</v>
      </c>
      <c r="P154" s="37" t="n">
        <v>2856.0966</v>
      </c>
      <c r="Q154" s="36" t="n">
        <v>94776.71000000001</v>
      </c>
      <c r="R154" s="37" t="n">
        <v>335471184.481</v>
      </c>
      <c r="S154" s="37" t="n">
        <v>999738455.0561</v>
      </c>
      <c r="T154" s="38">
        <f>IF(OR(R154="",R153=""),"",R154-R153)</f>
        <v/>
      </c>
      <c r="U154" s="38">
        <f>IF(OR(S154="",S153=""),"",S154-S153)</f>
        <v/>
      </c>
      <c r="V154" s="38">
        <f>IF(OR(U154="",P154=""),"",U154+P154)</f>
        <v/>
      </c>
      <c r="W154" s="38">
        <f>IF(OR(T154="",O154="",P154=""),"",T154-O154+P154)</f>
        <v/>
      </c>
    </row>
    <row r="155">
      <c r="A155" s="30" t="n">
        <v>45809</v>
      </c>
      <c r="B155" s="36" t="n">
        <v>3705323553.665798</v>
      </c>
      <c r="C155" s="36" t="n"/>
      <c r="D155" s="36" t="n">
        <v>0</v>
      </c>
      <c r="E155" s="36" t="n">
        <v>841842.179</v>
      </c>
      <c r="F155" s="36" t="n">
        <v>0</v>
      </c>
      <c r="G155" s="36" t="n">
        <v>0</v>
      </c>
      <c r="H155" s="36" t="n">
        <v>38019</v>
      </c>
      <c r="I155" s="36" t="n">
        <v>39195</v>
      </c>
      <c r="J155" s="36" t="n">
        <v>11256.69851151819</v>
      </c>
      <c r="K155" s="36" t="n">
        <v>17491.22</v>
      </c>
      <c r="L155" s="37" t="n">
        <v>25779.83</v>
      </c>
      <c r="M155" s="36" t="n">
        <v>841842.179</v>
      </c>
      <c r="N155" s="37" t="n">
        <v>23871621.78</v>
      </c>
      <c r="O155" s="37" t="n">
        <v>26193.0407</v>
      </c>
      <c r="P155" s="37" t="n">
        <v>872.6834</v>
      </c>
      <c r="Q155" s="36" t="n">
        <v>28479.59</v>
      </c>
      <c r="R155" s="37" t="n">
        <v>335481849.231</v>
      </c>
      <c r="S155" s="37" t="n">
        <v>999737582.3727</v>
      </c>
      <c r="T155" s="38">
        <f>IF(OR(R155="",R154=""),"",R155-R154)</f>
        <v/>
      </c>
      <c r="U155" s="38">
        <f>IF(OR(S155="",S154=""),"",S155-S154)</f>
        <v/>
      </c>
      <c r="V155" s="38">
        <f>IF(OR(U155="",P155=""),"",U155+P155)</f>
        <v/>
      </c>
      <c r="W155" s="38">
        <f>IF(OR(T155="",O155="",P155=""),"",T155-O155+P155)</f>
        <v/>
      </c>
    </row>
    <row r="156">
      <c r="A156" s="30" t="n">
        <v>45810</v>
      </c>
      <c r="B156" s="36" t="n">
        <v>6302813236.903772</v>
      </c>
      <c r="C156" s="36" t="n"/>
      <c r="D156" s="36" t="n">
        <v>0</v>
      </c>
      <c r="E156" s="36" t="n">
        <v>1129967.844</v>
      </c>
      <c r="F156" s="36" t="n">
        <v>0</v>
      </c>
      <c r="G156" s="36" t="n">
        <v>0</v>
      </c>
      <c r="H156" s="36" t="n">
        <v>61843</v>
      </c>
      <c r="I156" s="36" t="n">
        <v>63756</v>
      </c>
      <c r="J156" s="36" t="n">
        <v>24588.74266068666</v>
      </c>
      <c r="K156" s="36" t="n">
        <v>24906.87</v>
      </c>
      <c r="L156" s="37" t="n">
        <v>33459.53</v>
      </c>
      <c r="M156" s="36" t="n">
        <v>1129967.844</v>
      </c>
      <c r="N156" s="37" t="n">
        <v>23905081.31</v>
      </c>
      <c r="O156" s="37" t="n">
        <v>26154.8497</v>
      </c>
      <c r="P156" s="37" t="n">
        <v>1127.2508</v>
      </c>
      <c r="Q156" s="36" t="n">
        <v>38479.27</v>
      </c>
      <c r="R156" s="37" t="n">
        <v>335492227.8216</v>
      </c>
      <c r="S156" s="37" t="n">
        <v>999736455.1217999</v>
      </c>
      <c r="T156" s="38">
        <f>IF(OR(R156="",R155=""),"",R156-R155)</f>
        <v/>
      </c>
      <c r="U156" s="38">
        <f>IF(OR(S156="",S155=""),"",S156-S155)</f>
        <v/>
      </c>
      <c r="V156" s="38">
        <f>IF(OR(U156="",P156=""),"",U156+P156)</f>
        <v/>
      </c>
      <c r="W156" s="38">
        <f>IF(OR(T156="",O156="",P156=""),"",T156-O156+P156)</f>
        <v/>
      </c>
    </row>
    <row r="157">
      <c r="A157" s="30" t="n">
        <v>45811</v>
      </c>
      <c r="B157" s="36" t="n">
        <v>7303712733.688487</v>
      </c>
      <c r="C157" s="36" t="n"/>
      <c r="D157" s="36" t="n">
        <v>0</v>
      </c>
      <c r="E157" s="36" t="n">
        <v>2131282.663</v>
      </c>
      <c r="F157" s="36" t="n">
        <v>0</v>
      </c>
      <c r="G157" s="36" t="n">
        <v>0</v>
      </c>
      <c r="H157" s="36" t="n">
        <v>73250</v>
      </c>
      <c r="I157" s="36" t="n">
        <v>75516</v>
      </c>
      <c r="J157" s="36" t="n">
        <v>28415.57385003828</v>
      </c>
      <c r="K157" s="36" t="n">
        <v>28329.32</v>
      </c>
      <c r="L157" s="37" t="n">
        <v>58331.9</v>
      </c>
      <c r="M157" s="36" t="n">
        <v>2131282.663</v>
      </c>
      <c r="N157" s="37" t="n">
        <v>23963413.21</v>
      </c>
      <c r="O157" s="37" t="n">
        <v>26211.5203</v>
      </c>
      <c r="P157" s="37" t="n">
        <v>1977.5927</v>
      </c>
      <c r="Q157" s="36" t="n">
        <v>72534.14</v>
      </c>
      <c r="R157" s="37" t="n">
        <v>335501802.3392</v>
      </c>
      <c r="S157" s="37" t="n">
        <v>999734477.5292</v>
      </c>
      <c r="T157" s="38">
        <f>IF(OR(R157="",R156=""),"",R157-R156)</f>
        <v/>
      </c>
      <c r="U157" s="38">
        <f>IF(OR(S157="",S156=""),"",S157-S156)</f>
        <v/>
      </c>
      <c r="V157" s="38">
        <f>IF(OR(U157="",P157=""),"",U157+P157)</f>
        <v/>
      </c>
      <c r="W157" s="38">
        <f>IF(OR(T157="",O157="",P157=""),"",T157-O157+P157)</f>
        <v/>
      </c>
    </row>
    <row r="158">
      <c r="A158" s="30" t="n">
        <v>45812</v>
      </c>
      <c r="B158" s="36" t="n">
        <v>5792362513.074206</v>
      </c>
      <c r="C158" s="36" t="n"/>
      <c r="D158" s="36" t="n">
        <v>0</v>
      </c>
      <c r="E158" s="36" t="n">
        <v>2068043.731</v>
      </c>
      <c r="F158" s="36" t="n">
        <v>0</v>
      </c>
      <c r="G158" s="36" t="n">
        <v>0</v>
      </c>
      <c r="H158" s="36" t="n">
        <v>63539</v>
      </c>
      <c r="I158" s="36" t="n">
        <v>65504</v>
      </c>
      <c r="J158" s="36" t="n">
        <v>23947.75573152115</v>
      </c>
      <c r="K158" s="36" t="n">
        <v>28105.49</v>
      </c>
      <c r="L158" s="37" t="n">
        <v>56943.92</v>
      </c>
      <c r="M158" s="36" t="n">
        <v>2068043.731</v>
      </c>
      <c r="N158" s="37" t="n">
        <v>24020357.13</v>
      </c>
      <c r="O158" s="37" t="n">
        <v>26190.0142</v>
      </c>
      <c r="P158" s="37" t="n">
        <v>2037.2925</v>
      </c>
      <c r="Q158" s="36" t="n">
        <v>73225.39</v>
      </c>
      <c r="R158" s="37" t="n">
        <v>335511301.6768</v>
      </c>
      <c r="S158" s="37" t="n">
        <v>999732440.2367001</v>
      </c>
      <c r="T158" s="38">
        <f>IF(OR(R158="",R157=""),"",R158-R157)</f>
        <v/>
      </c>
      <c r="U158" s="38">
        <f>IF(OR(S158="",S157=""),"",S158-S157)</f>
        <v/>
      </c>
      <c r="V158" s="38">
        <f>IF(OR(U158="",P158=""),"",U158+P158)</f>
        <v/>
      </c>
      <c r="W158" s="38">
        <f>IF(OR(T158="",O158="",P158=""),"",T158-O158+P158)</f>
        <v/>
      </c>
    </row>
    <row r="159">
      <c r="A159" s="30" t="n">
        <v>45813</v>
      </c>
      <c r="B159" s="36" t="n">
        <v>10473782981.77962</v>
      </c>
      <c r="C159" s="36" t="n"/>
      <c r="D159" s="36" t="n">
        <v>0</v>
      </c>
      <c r="E159" s="36" t="n">
        <v>1507195.643</v>
      </c>
      <c r="F159" s="36" t="n">
        <v>0</v>
      </c>
      <c r="G159" s="36" t="n">
        <v>0</v>
      </c>
      <c r="H159" s="36" t="n">
        <v>91075</v>
      </c>
      <c r="I159" s="36" t="n">
        <v>93892</v>
      </c>
      <c r="J159" s="36" t="n">
        <v>34218.45467730064</v>
      </c>
      <c r="K159" s="36" t="n">
        <v>0</v>
      </c>
      <c r="L159" s="37" t="n">
        <v>44401.02</v>
      </c>
      <c r="M159" s="36" t="n">
        <v>1507195.643</v>
      </c>
      <c r="N159" s="37" t="n">
        <v>24064758.15</v>
      </c>
      <c r="O159" s="37" t="n">
        <v>26188.2055</v>
      </c>
      <c r="P159" s="37" t="n">
        <v>1896.2776</v>
      </c>
      <c r="Q159" s="36" t="n">
        <v>67006.87</v>
      </c>
      <c r="R159" s="37" t="n">
        <v>335520951.1156</v>
      </c>
      <c r="S159" s="37" t="n">
        <v>999730543.9591</v>
      </c>
      <c r="T159" s="38">
        <f>IF(OR(R159="",R158=""),"",R159-R158)</f>
        <v/>
      </c>
      <c r="U159" s="38">
        <f>IF(OR(S159="",S158=""),"",S159-S158)</f>
        <v/>
      </c>
      <c r="V159" s="38">
        <f>IF(OR(U159="",P159=""),"",U159+P159)</f>
        <v/>
      </c>
      <c r="W159" s="38">
        <f>IF(OR(T159="",O159="",P159=""),"",T159-O159+P159)</f>
        <v/>
      </c>
    </row>
    <row r="160">
      <c r="A160" s="30" t="n">
        <v>45814</v>
      </c>
      <c r="B160" s="36" t="n">
        <v>6130444265.56801</v>
      </c>
      <c r="C160" s="36" t="n"/>
      <c r="D160" s="36" t="n">
        <v>0</v>
      </c>
      <c r="E160" s="36" t="n">
        <v>3227629.667</v>
      </c>
      <c r="F160" s="36" t="n">
        <v>0</v>
      </c>
      <c r="G160" s="36" t="n">
        <v>0</v>
      </c>
      <c r="H160" s="36" t="n">
        <v>57599</v>
      </c>
      <c r="I160" s="36" t="n">
        <v>59380</v>
      </c>
      <c r="J160" s="36" t="n">
        <v>15010.01017266228</v>
      </c>
      <c r="K160" s="36" t="n">
        <v>23534.02</v>
      </c>
      <c r="L160" s="37" t="n">
        <v>93474.94</v>
      </c>
      <c r="M160" s="36" t="n">
        <v>3227629.667</v>
      </c>
      <c r="N160" s="37" t="n">
        <v>24158233.09</v>
      </c>
      <c r="O160" s="37" t="n">
        <v>26212.4448</v>
      </c>
      <c r="P160" s="37" t="n">
        <v>1516.1553</v>
      </c>
      <c r="Q160" s="36" t="n">
        <v>51515.92</v>
      </c>
      <c r="R160" s="37" t="n">
        <v>335531002.2391</v>
      </c>
      <c r="S160" s="37" t="n">
        <v>999729027.8037</v>
      </c>
      <c r="T160" s="38">
        <f>IF(OR(R160="",R159=""),"",R160-R159)</f>
        <v/>
      </c>
      <c r="U160" s="38">
        <f>IF(OR(S160="",S159=""),"",S160-S159)</f>
        <v/>
      </c>
      <c r="V160" s="38">
        <f>IF(OR(U160="",P160=""),"",U160+P160)</f>
        <v/>
      </c>
      <c r="W160" s="38">
        <f>IF(OR(T160="",O160="",P160=""),"",T160-O160+P160)</f>
        <v/>
      </c>
    </row>
    <row r="161">
      <c r="A161" s="30" t="n">
        <v>45815</v>
      </c>
      <c r="B161" s="36" t="n">
        <v>3033732963.310419</v>
      </c>
      <c r="C161" s="36" t="n"/>
      <c r="D161" s="36" t="n">
        <v>0</v>
      </c>
      <c r="E161" s="36" t="n">
        <v>1547600.765</v>
      </c>
      <c r="F161" s="36" t="n">
        <v>0</v>
      </c>
      <c r="G161" s="36" t="n">
        <v>0</v>
      </c>
      <c r="H161" s="36" t="n">
        <v>30046</v>
      </c>
      <c r="I161" s="36" t="n">
        <v>30975</v>
      </c>
      <c r="J161" s="36" t="n">
        <v>10596.98572538256</v>
      </c>
      <c r="K161" s="36" t="n">
        <v>19606.25</v>
      </c>
      <c r="L161" s="37" t="n">
        <v>45268.08</v>
      </c>
      <c r="M161" s="36" t="n">
        <v>1547600.765</v>
      </c>
      <c r="N161" s="37" t="n">
        <v>24203501.17</v>
      </c>
      <c r="O161" s="37" t="n">
        <v>26173.826</v>
      </c>
      <c r="P161" s="37" t="n">
        <v>1731.8133</v>
      </c>
      <c r="Q161" s="36" t="n">
        <v>57205.26</v>
      </c>
      <c r="R161" s="37" t="n">
        <v>335540796.6626</v>
      </c>
      <c r="S161" s="37" t="n">
        <v>999727295.9905</v>
      </c>
      <c r="T161" s="38">
        <f>IF(OR(R161="",R160=""),"",R161-R160)</f>
        <v/>
      </c>
      <c r="U161" s="38">
        <f>IF(OR(S161="",S160=""),"",S161-S160)</f>
        <v/>
      </c>
      <c r="V161" s="38">
        <f>IF(OR(U161="",P161=""),"",U161+P161)</f>
        <v/>
      </c>
      <c r="W161" s="38">
        <f>IF(OR(T161="",O161="",P161=""),"",T161-O161+P161)</f>
        <v/>
      </c>
    </row>
    <row r="162">
      <c r="A162" s="30" t="n">
        <v>45816</v>
      </c>
      <c r="B162" s="36" t="n">
        <v>3121700687.69074</v>
      </c>
      <c r="C162" s="36" t="n"/>
      <c r="D162" s="36" t="n">
        <v>0</v>
      </c>
      <c r="E162" s="36" t="n">
        <v>795945.0894000001</v>
      </c>
      <c r="F162" s="36" t="n">
        <v>0</v>
      </c>
      <c r="G162" s="36" t="n">
        <v>0</v>
      </c>
      <c r="H162" s="36" t="n"/>
      <c r="I162" s="36" t="n"/>
      <c r="J162" s="36" t="n">
        <v>12374.01890525949</v>
      </c>
      <c r="K162" s="36" t="n">
        <v>24700.19</v>
      </c>
      <c r="L162" s="37" t="n">
        <v>22402.6</v>
      </c>
      <c r="M162" s="36" t="n">
        <v>795945.0894000001</v>
      </c>
      <c r="N162" s="37" t="n">
        <v>24225903.77</v>
      </c>
      <c r="O162" s="37" t="n">
        <v>26210.6307</v>
      </c>
      <c r="P162" s="37" t="n">
        <v>1145.1683</v>
      </c>
      <c r="Q162" s="36" t="n">
        <v>39757.38</v>
      </c>
      <c r="R162" s="37" t="n">
        <v>335551211.2055</v>
      </c>
      <c r="S162" s="37" t="n">
        <v>999726150.8221999</v>
      </c>
      <c r="T162" s="38">
        <f>IF(OR(R162="",R161=""),"",R162-R161)</f>
        <v/>
      </c>
      <c r="U162" s="38">
        <f>IF(OR(S162="",S161=""),"",S162-S161)</f>
        <v/>
      </c>
      <c r="V162" s="38">
        <f>IF(OR(U162="",P162=""),"",U162+P162)</f>
        <v/>
      </c>
      <c r="W162" s="38">
        <f>IF(OR(T162="",O162="",P162=""),"",T162-O162+P162)</f>
        <v/>
      </c>
    </row>
    <row r="163">
      <c r="A163" s="30" t="n">
        <v>45817</v>
      </c>
      <c r="B163" s="36" t="n">
        <v>7946952907.375451</v>
      </c>
      <c r="C163" s="36" t="n"/>
      <c r="D163" s="36" t="n">
        <v>0</v>
      </c>
      <c r="E163" s="36" t="n">
        <v>1033782.871</v>
      </c>
      <c r="F163" s="36" t="n">
        <v>0</v>
      </c>
      <c r="G163" s="36" t="n">
        <v>0</v>
      </c>
      <c r="H163" s="36" t="n"/>
      <c r="I163" s="36" t="n"/>
      <c r="J163" s="36" t="n">
        <v>21782.4085150401</v>
      </c>
      <c r="K163" s="36" t="n">
        <v>0</v>
      </c>
      <c r="L163" s="37" t="n">
        <v>27813.55</v>
      </c>
      <c r="M163" s="36" t="n">
        <v>1033782.871</v>
      </c>
      <c r="N163" s="37" t="n">
        <v>24253717.32</v>
      </c>
      <c r="O163" s="37" t="n">
        <v>25299.7854</v>
      </c>
      <c r="P163" s="37" t="n">
        <v>1303.6525</v>
      </c>
      <c r="Q163" s="36" t="n">
        <v>45368.41</v>
      </c>
      <c r="R163" s="37" t="n">
        <v>335560930.772</v>
      </c>
      <c r="S163" s="37" t="n">
        <v>999724847.1697</v>
      </c>
      <c r="T163" s="38">
        <f>IF(OR(R163="",R162=""),"",R163-R162)</f>
        <v/>
      </c>
      <c r="U163" s="38">
        <f>IF(OR(S163="",S162=""),"",S163-S162)</f>
        <v/>
      </c>
      <c r="V163" s="38">
        <f>IF(OR(U163="",P163=""),"",U163+P163)</f>
        <v/>
      </c>
      <c r="W163" s="38">
        <f>IF(OR(T163="",O163="",P163=""),"",T163-O163+P163)</f>
        <v/>
      </c>
    </row>
    <row r="164">
      <c r="A164" s="30" t="n">
        <v>45818</v>
      </c>
      <c r="B164" s="36" t="n">
        <v>8868062326.575634</v>
      </c>
      <c r="C164" s="36" t="n"/>
      <c r="D164" s="36" t="n">
        <v>0</v>
      </c>
      <c r="E164" s="36" t="n">
        <v>2966717.529</v>
      </c>
      <c r="F164" s="36" t="n">
        <v>0</v>
      </c>
      <c r="G164" s="36" t="n">
        <v>0</v>
      </c>
      <c r="H164" s="36" t="n">
        <v>112003</v>
      </c>
      <c r="I164" s="36" t="n">
        <v>115467</v>
      </c>
      <c r="J164" s="36" t="n">
        <v>36602.41261427078</v>
      </c>
      <c r="K164" s="36" t="n">
        <v>19343.05</v>
      </c>
      <c r="L164" s="37" t="n">
        <v>72585.42</v>
      </c>
      <c r="M164" s="36" t="n">
        <v>2966717.529</v>
      </c>
      <c r="N164" s="37" t="n">
        <v>24326302.74</v>
      </c>
      <c r="O164" s="37" t="n">
        <v>26201.0939</v>
      </c>
      <c r="P164" s="37" t="n">
        <v>1301.1221</v>
      </c>
      <c r="Q164" s="36" t="n">
        <v>50109.47</v>
      </c>
      <c r="R164" s="37" t="n">
        <v>335571173.9658</v>
      </c>
      <c r="S164" s="37" t="n">
        <v>999723546.0476</v>
      </c>
      <c r="T164" s="38">
        <f>IF(OR(R164="",R163=""),"",R164-R163)</f>
        <v/>
      </c>
      <c r="U164" s="38">
        <f>IF(OR(S164="",S163=""),"",S164-S163)</f>
        <v/>
      </c>
      <c r="V164" s="38">
        <f>IF(OR(U164="",P164=""),"",U164+P164)</f>
        <v/>
      </c>
      <c r="W164" s="38">
        <f>IF(OR(T164="",O164="",P164=""),"",T164-O164+P164)</f>
        <v/>
      </c>
    </row>
    <row r="165">
      <c r="A165" s="30" t="n">
        <v>45819</v>
      </c>
      <c r="B165" s="36" t="n">
        <v>8880849385.853497</v>
      </c>
      <c r="C165" s="36" t="n"/>
      <c r="D165" s="36" t="n">
        <v>0</v>
      </c>
      <c r="E165" s="36" t="n">
        <v>2670016.404</v>
      </c>
      <c r="F165" s="36" t="n">
        <v>0</v>
      </c>
      <c r="G165" s="36" t="n">
        <v>0</v>
      </c>
      <c r="H165" s="36" t="n">
        <v>102743</v>
      </c>
      <c r="I165" s="36" t="n">
        <v>105920</v>
      </c>
      <c r="J165" s="36" t="n">
        <v>23763.46511041922</v>
      </c>
      <c r="K165" s="36" t="n">
        <v>0</v>
      </c>
      <c r="L165" s="37" t="n">
        <v>62825.88</v>
      </c>
      <c r="M165" s="36" t="n">
        <v>2670016.404</v>
      </c>
      <c r="N165" s="37" t="n">
        <v>24389128.62</v>
      </c>
      <c r="O165" s="37" t="n">
        <v>26194.2846</v>
      </c>
      <c r="P165" s="37" t="n">
        <v>2420.7992</v>
      </c>
      <c r="Q165" s="36" t="n">
        <v>102175.88</v>
      </c>
      <c r="R165" s="37" t="n">
        <v>335580289.525</v>
      </c>
      <c r="S165" s="37" t="n">
        <v>999721125.2484</v>
      </c>
      <c r="T165" s="38">
        <f>IF(OR(R165="",R164=""),"",R165-R164)</f>
        <v/>
      </c>
      <c r="U165" s="38">
        <f>IF(OR(S165="",S164=""),"",S165-S164)</f>
        <v/>
      </c>
      <c r="V165" s="38">
        <f>IF(OR(U165="",P165=""),"",U165+P165)</f>
        <v/>
      </c>
      <c r="W165" s="38">
        <f>IF(OR(T165="",O165="",P165=""),"",T165-O165+P165)</f>
        <v/>
      </c>
    </row>
    <row r="166">
      <c r="A166" s="30" t="n">
        <v>45820</v>
      </c>
      <c r="B166" s="36" t="n">
        <v>9859976825.038404</v>
      </c>
      <c r="C166" s="36" t="n"/>
      <c r="D166" s="36" t="n">
        <v>0</v>
      </c>
      <c r="E166" s="36" t="n">
        <v>2787983.18</v>
      </c>
      <c r="F166" s="36" t="n">
        <v>0</v>
      </c>
      <c r="G166" s="36" t="n">
        <v>0</v>
      </c>
      <c r="H166" s="36" t="n">
        <v>92615</v>
      </c>
      <c r="I166" s="36" t="n">
        <v>95479</v>
      </c>
      <c r="J166" s="36" t="n">
        <v>21543.03993374297</v>
      </c>
      <c r="K166" s="36" t="n">
        <v>0</v>
      </c>
      <c r="L166" s="37" t="n">
        <v>66551.07000000001</v>
      </c>
      <c r="M166" s="36" t="n">
        <v>2787983.18</v>
      </c>
      <c r="N166" s="37" t="n">
        <v>24455679.69</v>
      </c>
      <c r="O166" s="37" t="n">
        <v>26172.6772</v>
      </c>
      <c r="P166" s="37" t="n">
        <v>1573.8715</v>
      </c>
      <c r="Q166" s="36" t="n">
        <v>65059.91</v>
      </c>
      <c r="R166" s="37" t="n">
        <v>335590195.7042</v>
      </c>
      <c r="S166" s="37" t="n">
        <v>999719551.3769</v>
      </c>
      <c r="T166" s="38">
        <f>IF(OR(R166="",R165=""),"",R166-R165)</f>
        <v/>
      </c>
      <c r="U166" s="38">
        <f>IF(OR(S166="",S165=""),"",S166-S165)</f>
        <v/>
      </c>
      <c r="V166" s="38">
        <f>IF(OR(U166="",P166=""),"",U166+P166)</f>
        <v/>
      </c>
      <c r="W166" s="38">
        <f>IF(OR(T166="",O166="",P166=""),"",T166-O166+P166)</f>
        <v/>
      </c>
    </row>
    <row r="167">
      <c r="A167" s="30" t="n">
        <v>45821</v>
      </c>
      <c r="B167" s="36" t="n">
        <v>13286056841.76529</v>
      </c>
      <c r="C167" s="36" t="n"/>
      <c r="D167" s="36" t="n">
        <v>0</v>
      </c>
      <c r="E167" s="36" t="n">
        <v>4333047.901</v>
      </c>
      <c r="F167" s="36" t="n">
        <v>0</v>
      </c>
      <c r="G167" s="36" t="n">
        <v>0</v>
      </c>
      <c r="H167" s="36" t="n">
        <v>144260</v>
      </c>
      <c r="I167" s="36" t="n">
        <v>148721</v>
      </c>
      <c r="J167" s="36" t="n">
        <v>25139.00915677668</v>
      </c>
      <c r="K167" s="36" t="n">
        <v>20519.17</v>
      </c>
      <c r="L167" s="37" t="n">
        <v>106831.07</v>
      </c>
      <c r="M167" s="36" t="n">
        <v>4333047.901</v>
      </c>
      <c r="N167" s="37" t="n">
        <v>24562510.76</v>
      </c>
      <c r="O167" s="37" t="n">
        <v>26192.0002</v>
      </c>
      <c r="P167" s="37" t="n">
        <v>1328.325</v>
      </c>
      <c r="Q167" s="36" t="n">
        <v>52391.79</v>
      </c>
      <c r="R167" s="37" t="n">
        <v>335600395.2203</v>
      </c>
      <c r="S167" s="37" t="n">
        <v>999718223.0519</v>
      </c>
      <c r="T167" s="38">
        <f>IF(OR(R167="",R166=""),"",R167-R166)</f>
        <v/>
      </c>
      <c r="U167" s="38">
        <f>IF(OR(S167="",S166=""),"",S167-S166)</f>
        <v/>
      </c>
      <c r="V167" s="38">
        <f>IF(OR(U167="",P167=""),"",U167+P167)</f>
        <v/>
      </c>
      <c r="W167" s="38">
        <f>IF(OR(T167="",O167="",P167=""),"",T167-O167+P167)</f>
        <v/>
      </c>
    </row>
    <row r="168">
      <c r="A168" s="30" t="n">
        <v>45822</v>
      </c>
      <c r="B168" s="36" t="n">
        <v>4490469119.637341</v>
      </c>
      <c r="C168" s="36" t="n"/>
      <c r="D168" s="36" t="n">
        <v>0</v>
      </c>
      <c r="E168" s="36" t="n">
        <v>2185535.18</v>
      </c>
      <c r="F168" s="36" t="n">
        <v>0</v>
      </c>
      <c r="G168" s="36" t="n">
        <v>0</v>
      </c>
      <c r="H168" s="36" t="n">
        <v>51552</v>
      </c>
      <c r="I168" s="36" t="n">
        <v>53146</v>
      </c>
      <c r="J168" s="36" t="n">
        <v>8906.428435099999</v>
      </c>
      <c r="K168" s="36" t="n">
        <v>34608.23</v>
      </c>
      <c r="L168" s="37" t="n">
        <v>53683.83</v>
      </c>
      <c r="M168" s="36" t="n">
        <v>2185535.18</v>
      </c>
      <c r="N168" s="37" t="n">
        <v>24616194.59</v>
      </c>
      <c r="O168" s="37" t="n">
        <v>26263.4844</v>
      </c>
      <c r="P168" s="37" t="n">
        <v>2718.0225</v>
      </c>
      <c r="Q168" s="36" t="n">
        <v>114351.28</v>
      </c>
      <c r="R168" s="37" t="n">
        <v>335609334.2368</v>
      </c>
      <c r="S168" s="37" t="n">
        <v>999715505.0294</v>
      </c>
      <c r="T168" s="38">
        <f>IF(OR(R168="",R167=""),"",R168-R167)</f>
        <v/>
      </c>
      <c r="U168" s="38">
        <f>IF(OR(S168="",S167=""),"",S168-S167)</f>
        <v/>
      </c>
      <c r="V168" s="38">
        <f>IF(OR(U168="",P168=""),"",U168+P168)</f>
        <v/>
      </c>
      <c r="W168" s="38">
        <f>IF(OR(T168="",O168="",P168=""),"",T168-O168+P168)</f>
        <v/>
      </c>
    </row>
    <row r="169">
      <c r="A169" s="30" t="n">
        <v>45823</v>
      </c>
      <c r="B169" s="36" t="n">
        <v>4120559320.636847</v>
      </c>
      <c r="C169" s="36" t="n"/>
      <c r="D169" s="36" t="n">
        <v>0</v>
      </c>
      <c r="E169" s="36" t="n">
        <v>1164654.025</v>
      </c>
      <c r="F169" s="36" t="n">
        <v>0</v>
      </c>
      <c r="G169" s="36" t="n">
        <v>0</v>
      </c>
      <c r="H169" s="36" t="n">
        <v>38458</v>
      </c>
      <c r="I169" s="36" t="n">
        <v>39647</v>
      </c>
      <c r="J169" s="36" t="n">
        <v>6346.058325351533</v>
      </c>
      <c r="K169" s="36" t="n">
        <v>0</v>
      </c>
      <c r="L169" s="37" t="n">
        <v>28628.23</v>
      </c>
      <c r="M169" s="36" t="n">
        <v>1164654.025</v>
      </c>
      <c r="N169" s="37" t="n">
        <v>24644822.82</v>
      </c>
      <c r="O169" s="37" t="n">
        <v>26057.0889</v>
      </c>
      <c r="P169" s="37" t="n">
        <v>1523.9619</v>
      </c>
      <c r="Q169" s="36" t="n">
        <v>61283.08</v>
      </c>
      <c r="R169" s="37" t="n">
        <v>335619293.8073</v>
      </c>
      <c r="S169" s="37" t="n">
        <v>999713981.0676</v>
      </c>
      <c r="T169" s="38">
        <f>IF(OR(R169="",R168=""),"",R169-R168)</f>
        <v/>
      </c>
      <c r="U169" s="38">
        <f>IF(OR(S169="",S168=""),"",S169-S168)</f>
        <v/>
      </c>
      <c r="V169" s="38">
        <f>IF(OR(U169="",P169=""),"",U169+P169)</f>
        <v/>
      </c>
      <c r="W169" s="38">
        <f>IF(OR(T169="",O169="",P169=""),"",T169-O169+P169)</f>
        <v/>
      </c>
    </row>
    <row r="170">
      <c r="A170" s="30" t="n">
        <v>45824</v>
      </c>
      <c r="B170" s="36" t="n">
        <v>9910445108.152103</v>
      </c>
      <c r="C170" s="36" t="n"/>
      <c r="D170" s="36" t="n">
        <v>0</v>
      </c>
      <c r="E170" s="36" t="n">
        <v>1387388.361</v>
      </c>
      <c r="F170" s="36" t="n">
        <v>0</v>
      </c>
      <c r="G170" s="36" t="n">
        <v>0</v>
      </c>
      <c r="H170" s="36" t="n">
        <v>100767</v>
      </c>
      <c r="I170" s="36" t="n">
        <v>103884</v>
      </c>
      <c r="J170" s="36" t="n">
        <v>13337.00449259716</v>
      </c>
      <c r="K170" s="36" t="n">
        <v>43700.71</v>
      </c>
      <c r="L170" s="37" t="n">
        <v>31692.79</v>
      </c>
      <c r="M170" s="36" t="n">
        <v>1387388.361</v>
      </c>
      <c r="N170" s="37" t="n">
        <v>24676515.61</v>
      </c>
      <c r="O170" s="37" t="n">
        <v>26275.4979</v>
      </c>
      <c r="P170" s="37" t="n">
        <v>535.3125</v>
      </c>
      <c r="Q170" s="36" t="n">
        <v>21937.11</v>
      </c>
      <c r="R170" s="37" t="n">
        <v>335630422.4471</v>
      </c>
      <c r="S170" s="37" t="n">
        <v>999713445.755</v>
      </c>
      <c r="T170" s="38">
        <f>IF(OR(R170="",R169=""),"",R170-R169)</f>
        <v/>
      </c>
      <c r="U170" s="38">
        <f>IF(OR(S170="",S169=""),"",S170-S169)</f>
        <v/>
      </c>
      <c r="V170" s="38">
        <f>IF(OR(U170="",P170=""),"",U170+P170)</f>
        <v/>
      </c>
      <c r="W170" s="38">
        <f>IF(OR(T170="",O170="",P170=""),"",T170-O170+P170)</f>
        <v/>
      </c>
    </row>
    <row r="171">
      <c r="A171" s="30" t="n">
        <v>45825</v>
      </c>
      <c r="B171" s="36" t="n">
        <v>11324625683.5624</v>
      </c>
      <c r="C171" s="36" t="n"/>
      <c r="D171" s="36" t="n">
        <v>0</v>
      </c>
      <c r="E171" s="36" t="n">
        <v>3414074.097</v>
      </c>
      <c r="F171" s="36" t="n">
        <v>0</v>
      </c>
      <c r="G171" s="36" t="n">
        <v>0</v>
      </c>
      <c r="H171" s="36" t="n">
        <v>115542</v>
      </c>
      <c r="I171" s="36" t="n">
        <v>119116</v>
      </c>
      <c r="J171" s="36" t="n">
        <v>20062.71327571625</v>
      </c>
      <c r="K171" s="36" t="n">
        <v>0</v>
      </c>
      <c r="L171" s="37" t="n">
        <v>84832.16</v>
      </c>
      <c r="M171" s="36" t="n">
        <v>3414074.097</v>
      </c>
      <c r="N171" s="37" t="n">
        <v>24761347.77</v>
      </c>
      <c r="O171" s="37" t="n">
        <v>26285.5777</v>
      </c>
      <c r="P171" s="37" t="n">
        <v>2288.4006</v>
      </c>
      <c r="Q171" s="36" t="n">
        <v>94658.55</v>
      </c>
      <c r="R171" s="37" t="n">
        <v>335639819.1205</v>
      </c>
      <c r="S171" s="37" t="n">
        <v>999711157.3544</v>
      </c>
      <c r="T171" s="38">
        <f>IF(OR(R171="",R170=""),"",R171-R170)</f>
        <v/>
      </c>
      <c r="U171" s="38">
        <f>IF(OR(S171="",S170=""),"",S171-S170)</f>
        <v/>
      </c>
      <c r="V171" s="38">
        <f>IF(OR(U171="",P171=""),"",U171+P171)</f>
        <v/>
      </c>
      <c r="W171" s="38">
        <f>IF(OR(T171="",O171="",P171=""),"",T171-O171+P171)</f>
        <v/>
      </c>
    </row>
    <row r="172">
      <c r="A172" s="30" t="n">
        <v>45826</v>
      </c>
      <c r="B172" s="36" t="n">
        <v>7999530032.926586</v>
      </c>
      <c r="C172" s="36" t="n"/>
      <c r="D172" s="36" t="n">
        <v>0</v>
      </c>
      <c r="E172" s="36" t="n">
        <v>2621754.273</v>
      </c>
      <c r="F172" s="36" t="n">
        <v>0</v>
      </c>
      <c r="G172" s="36" t="n">
        <v>0</v>
      </c>
      <c r="H172" s="36" t="n">
        <v>86220</v>
      </c>
      <c r="I172" s="36" t="n">
        <v>88887</v>
      </c>
      <c r="J172" s="36" t="n">
        <v>15089.27882149545</v>
      </c>
      <c r="K172" s="36" t="n">
        <v>28795.88</v>
      </c>
      <c r="L172" s="37" t="n">
        <v>68011.24000000001</v>
      </c>
      <c r="M172" s="36" t="n">
        <v>2621754.273</v>
      </c>
      <c r="N172" s="37" t="n">
        <v>24829359.01</v>
      </c>
      <c r="O172" s="37" t="n">
        <v>26255.0567</v>
      </c>
      <c r="P172" s="37" t="n">
        <v>1751.8615</v>
      </c>
      <c r="Q172" s="36" t="n">
        <v>69725.84</v>
      </c>
      <c r="R172" s="37" t="n">
        <v>335649678.8817</v>
      </c>
      <c r="S172" s="37" t="n">
        <v>999709405.493</v>
      </c>
      <c r="T172" s="38">
        <f>IF(OR(R172="",R171=""),"",R172-R171)</f>
        <v/>
      </c>
      <c r="U172" s="38">
        <f>IF(OR(S172="",S171=""),"",S172-S171)</f>
        <v/>
      </c>
      <c r="V172" s="38">
        <f>IF(OR(U172="",P172=""),"",U172+P172)</f>
        <v/>
      </c>
      <c r="W172" s="38">
        <f>IF(OR(T172="",O172="",P172=""),"",T172-O172+P172)</f>
        <v/>
      </c>
    </row>
    <row r="173">
      <c r="A173" s="30" t="n">
        <v>45827</v>
      </c>
      <c r="B173" s="36" t="n">
        <v>5309706181.645636</v>
      </c>
      <c r="C173" s="36" t="n"/>
      <c r="D173" s="36" t="n">
        <v>0</v>
      </c>
      <c r="E173" s="36" t="n">
        <v>2072394.657</v>
      </c>
      <c r="F173" s="36" t="n">
        <v>0</v>
      </c>
      <c r="G173" s="36" t="n">
        <v>0</v>
      </c>
      <c r="H173" s="36" t="n">
        <v>71693</v>
      </c>
      <c r="I173" s="36" t="n">
        <v>73911</v>
      </c>
      <c r="J173" s="36" t="n">
        <v>18252.61533476083</v>
      </c>
      <c r="K173" s="36" t="n">
        <v>24354.76</v>
      </c>
      <c r="L173" s="37" t="n">
        <v>55708.49</v>
      </c>
      <c r="M173" s="36" t="n">
        <v>2072394.657</v>
      </c>
      <c r="N173" s="37" t="n">
        <v>24885067.5</v>
      </c>
      <c r="O173" s="37" t="n">
        <v>26211.4713</v>
      </c>
      <c r="P173" s="37" t="n">
        <v>1998.2373</v>
      </c>
      <c r="Q173" s="36" t="n">
        <v>78520.73</v>
      </c>
      <c r="R173" s="37" t="n">
        <v>335659233.8305</v>
      </c>
      <c r="S173" s="37" t="n">
        <v>999707407.2557</v>
      </c>
      <c r="T173" s="38">
        <f>IF(OR(R173="",R172=""),"",R173-R172)</f>
        <v/>
      </c>
      <c r="U173" s="38">
        <f>IF(OR(S173="",S172=""),"",S173-S172)</f>
        <v/>
      </c>
      <c r="V173" s="38">
        <f>IF(OR(U173="",P173=""),"",U173+P173)</f>
        <v/>
      </c>
      <c r="W173" s="38">
        <f>IF(OR(T173="",O173="",P173=""),"",T173-O173+P173)</f>
        <v/>
      </c>
    </row>
    <row r="174">
      <c r="A174" s="30" t="n">
        <v>45828</v>
      </c>
      <c r="B174" s="36" t="n">
        <v>8984765570.031044</v>
      </c>
      <c r="C174" s="36" t="n"/>
      <c r="D174" s="36" t="n">
        <v>0</v>
      </c>
      <c r="E174" s="36" t="n">
        <v>1572540.275</v>
      </c>
      <c r="F174" s="36" t="n">
        <v>0</v>
      </c>
      <c r="G174" s="36" t="n">
        <v>0</v>
      </c>
      <c r="H174" s="36" t="n">
        <v>90730</v>
      </c>
      <c r="I174" s="36" t="n">
        <v>93536</v>
      </c>
      <c r="J174" s="36" t="n">
        <v>19860.19996333497</v>
      </c>
      <c r="K174" s="36" t="n">
        <v>25525.19</v>
      </c>
      <c r="L174" s="37" t="n">
        <v>46185.19</v>
      </c>
      <c r="M174" s="36" t="n">
        <v>1572540.275</v>
      </c>
      <c r="N174" s="37" t="n">
        <v>24931252.69</v>
      </c>
      <c r="O174" s="37" t="n">
        <v>26182.7163</v>
      </c>
      <c r="P174" s="37" t="n">
        <v>1736.6411</v>
      </c>
      <c r="Q174" s="36" t="n">
        <v>64135.02</v>
      </c>
      <c r="R174" s="37" t="n">
        <v>335669051.7086</v>
      </c>
      <c r="S174" s="37" t="n">
        <v>999705670.6145999</v>
      </c>
      <c r="T174" s="38">
        <f>IF(OR(R174="",R173=""),"",R174-R173)</f>
        <v/>
      </c>
      <c r="U174" s="38">
        <f>IF(OR(S174="",S173=""),"",S174-S173)</f>
        <v/>
      </c>
      <c r="V174" s="38">
        <f>IF(OR(U174="",P174=""),"",U174+P174)</f>
        <v/>
      </c>
      <c r="W174" s="38">
        <f>IF(OR(T174="",O174="",P174=""),"",T174-O174+P174)</f>
        <v/>
      </c>
    </row>
    <row r="175">
      <c r="A175" s="30" t="n">
        <v>45829</v>
      </c>
      <c r="B175" s="36" t="n">
        <v>5853561717.658664</v>
      </c>
      <c r="C175" s="36" t="n"/>
      <c r="D175" s="36" t="n">
        <v>0</v>
      </c>
      <c r="E175" s="36" t="n">
        <v>2062339.95</v>
      </c>
      <c r="F175" s="36" t="n">
        <v>0</v>
      </c>
      <c r="G175" s="36" t="n">
        <v>0</v>
      </c>
      <c r="H175" s="36" t="n">
        <v>67039</v>
      </c>
      <c r="I175" s="36" t="n">
        <v>69112</v>
      </c>
      <c r="J175" s="36" t="n">
        <v>10510.7072833123</v>
      </c>
      <c r="K175" s="36" t="n">
        <v>26551.55</v>
      </c>
      <c r="L175" s="37" t="n">
        <v>62400.26</v>
      </c>
      <c r="M175" s="36" t="n">
        <v>2062339.95</v>
      </c>
      <c r="N175" s="37" t="n">
        <v>24993652.95</v>
      </c>
      <c r="O175" s="37" t="n">
        <v>26223.7499</v>
      </c>
      <c r="P175" s="37" t="n">
        <v>1975.2883</v>
      </c>
      <c r="Q175" s="36" t="n">
        <v>65201.3</v>
      </c>
      <c r="R175" s="37" t="n">
        <v>335678650.3662</v>
      </c>
      <c r="S175" s="37" t="n">
        <v>999703695.3263</v>
      </c>
      <c r="T175" s="38">
        <f>IF(OR(R175="",R174=""),"",R175-R174)</f>
        <v/>
      </c>
      <c r="U175" s="38">
        <f>IF(OR(S175="",S174=""),"",S175-S174)</f>
        <v/>
      </c>
      <c r="V175" s="38">
        <f>IF(OR(U175="",P175=""),"",U175+P175)</f>
        <v/>
      </c>
      <c r="W175" s="38">
        <f>IF(OR(T175="",O175="",P175=""),"",T175-O175+P175)</f>
        <v/>
      </c>
    </row>
    <row r="176">
      <c r="A176" s="30" t="n">
        <v>45830</v>
      </c>
      <c r="B176" s="36" t="n">
        <v>12754870645.14705</v>
      </c>
      <c r="C176" s="36" t="n"/>
      <c r="D176" s="36" t="n">
        <v>0</v>
      </c>
      <c r="E176" s="36" t="n">
        <v>2243331.857</v>
      </c>
      <c r="F176" s="36" t="n">
        <v>0</v>
      </c>
      <c r="G176" s="36" t="n">
        <v>0</v>
      </c>
      <c r="H176" s="36" t="n">
        <v>89973</v>
      </c>
      <c r="I176" s="36" t="n">
        <v>92755</v>
      </c>
      <c r="J176" s="36" t="n">
        <v>13559.37666744104</v>
      </c>
      <c r="K176" s="36" t="n">
        <v>0</v>
      </c>
      <c r="L176" s="37" t="n">
        <v>67413.95</v>
      </c>
      <c r="M176" s="36" t="n">
        <v>2243331.857</v>
      </c>
      <c r="N176" s="37" t="n">
        <v>25061066.9</v>
      </c>
      <c r="O176" s="37" t="n">
        <v>26187.2271</v>
      </c>
      <c r="P176" s="37" t="n">
        <v>2172.3448</v>
      </c>
      <c r="Q176" s="36" t="n">
        <v>73083.11</v>
      </c>
      <c r="R176" s="37" t="n">
        <v>335688028.1681</v>
      </c>
      <c r="S176" s="37" t="n">
        <v>999701522.9815</v>
      </c>
      <c r="T176" s="38">
        <f>IF(OR(R176="",R175=""),"",R176-R175)</f>
        <v/>
      </c>
      <c r="U176" s="38">
        <f>IF(OR(S176="",S175=""),"",S176-S175)</f>
        <v/>
      </c>
      <c r="V176" s="38">
        <f>IF(OR(U176="",P176=""),"",U176+P176)</f>
        <v/>
      </c>
      <c r="W176" s="38">
        <f>IF(OR(T176="",O176="",P176=""),"",T176-O176+P176)</f>
        <v/>
      </c>
    </row>
    <row r="177">
      <c r="A177" s="30" t="n">
        <v>45831</v>
      </c>
      <c r="B177" s="36" t="n">
        <v>13808379727.87627</v>
      </c>
      <c r="C177" s="36" t="n"/>
      <c r="D177" s="36" t="n">
        <v>0</v>
      </c>
      <c r="E177" s="36" t="n">
        <v>3427206.965</v>
      </c>
      <c r="F177" s="36" t="n">
        <v>0</v>
      </c>
      <c r="G177" s="36" t="n">
        <v>0</v>
      </c>
      <c r="H177" s="36" t="n">
        <v>103763</v>
      </c>
      <c r="I177" s="36" t="n">
        <v>106972</v>
      </c>
      <c r="J177" s="36" t="n">
        <v>16668.45397892478</v>
      </c>
      <c r="K177" s="36" t="n">
        <v>24169.31</v>
      </c>
      <c r="L177" s="37" t="n">
        <v>93856.7</v>
      </c>
      <c r="M177" s="36" t="n">
        <v>3427206.965</v>
      </c>
      <c r="N177" s="37" t="n">
        <v>25154923.6</v>
      </c>
      <c r="O177" s="37" t="n">
        <v>26160.7949</v>
      </c>
      <c r="P177" s="37" t="n">
        <v>1693.9611</v>
      </c>
      <c r="Q177" s="36" t="n">
        <v>59805.3</v>
      </c>
      <c r="R177" s="37" t="n">
        <v>335697835.7048</v>
      </c>
      <c r="S177" s="37" t="n">
        <v>999699829.0203</v>
      </c>
      <c r="T177" s="38">
        <f>IF(OR(R177="",R176=""),"",R177-R176)</f>
        <v/>
      </c>
      <c r="U177" s="38">
        <f>IF(OR(S177="",S176=""),"",S177-S176)</f>
        <v/>
      </c>
      <c r="V177" s="38">
        <f>IF(OR(U177="",P177=""),"",U177+P177)</f>
        <v/>
      </c>
      <c r="W177" s="38">
        <f>IF(OR(T177="",O177="",P177=""),"",T177-O177+P177)</f>
        <v/>
      </c>
    </row>
    <row r="178">
      <c r="A178" s="30" t="n">
        <v>45832</v>
      </c>
      <c r="B178" s="36" t="n">
        <v>7562435082.964275</v>
      </c>
      <c r="C178" s="36" t="n"/>
      <c r="D178" s="36" t="n">
        <v>0</v>
      </c>
      <c r="E178" s="36" t="n">
        <v>4394495.539</v>
      </c>
      <c r="F178" s="36" t="n">
        <v>0</v>
      </c>
      <c r="G178" s="36" t="n">
        <v>0</v>
      </c>
      <c r="H178" s="36" t="n">
        <v>73307</v>
      </c>
      <c r="I178" s="36" t="n">
        <v>75574</v>
      </c>
      <c r="J178" s="36" t="n">
        <v>6948.965492956771</v>
      </c>
      <c r="K178" s="36" t="n">
        <v>27735.18</v>
      </c>
      <c r="L178" s="37" t="n">
        <v>116998.38</v>
      </c>
      <c r="M178" s="36" t="n">
        <v>4394495.539</v>
      </c>
      <c r="N178" s="37" t="n">
        <v>25271921.98</v>
      </c>
      <c r="O178" s="37" t="n">
        <v>26181.7962</v>
      </c>
      <c r="P178" s="37" t="n">
        <v>2653.9171</v>
      </c>
      <c r="Q178" s="36" t="n">
        <v>100510.47</v>
      </c>
      <c r="R178" s="37" t="n">
        <v>335706696.6373</v>
      </c>
      <c r="S178" s="37" t="n">
        <v>999697175.1033</v>
      </c>
      <c r="T178" s="38">
        <f>IF(OR(R178="",R177=""),"",R178-R177)</f>
        <v/>
      </c>
      <c r="U178" s="38">
        <f>IF(OR(S178="",S177=""),"",S178-S177)</f>
        <v/>
      </c>
      <c r="V178" s="38">
        <f>IF(OR(U178="",P178=""),"",U178+P178)</f>
        <v/>
      </c>
      <c r="W178" s="38">
        <f>IF(OR(T178="",O178="",P178=""),"",T178-O178+P178)</f>
        <v/>
      </c>
    </row>
    <row r="179">
      <c r="A179" s="30" t="n">
        <v>45833</v>
      </c>
      <c r="B179" s="36" t="n">
        <v>7112711274.387126</v>
      </c>
      <c r="C179" s="36" t="n"/>
      <c r="D179" s="36" t="n">
        <v>0</v>
      </c>
      <c r="E179" s="36" t="n">
        <v>1849546.926</v>
      </c>
      <c r="F179" s="36" t="n">
        <v>0</v>
      </c>
      <c r="G179" s="36" t="n">
        <v>0</v>
      </c>
      <c r="H179" s="36" t="n">
        <v>64357</v>
      </c>
      <c r="I179" s="36" t="n">
        <v>66347</v>
      </c>
      <c r="J179" s="36" t="n">
        <v>7939.630694802136</v>
      </c>
      <c r="K179" s="36" t="n">
        <v>0</v>
      </c>
      <c r="L179" s="37" t="n">
        <v>49011.9</v>
      </c>
      <c r="M179" s="36" t="n">
        <v>1849546.926</v>
      </c>
      <c r="N179" s="37" t="n">
        <v>25320933.88</v>
      </c>
      <c r="O179" s="37" t="n">
        <v>26205.6615</v>
      </c>
      <c r="P179" s="37" t="n">
        <v>1860.9468</v>
      </c>
      <c r="Q179" s="36" t="n">
        <v>70003.24000000001</v>
      </c>
      <c r="R179" s="37" t="n">
        <v>335716417.4731</v>
      </c>
      <c r="S179" s="37" t="n">
        <v>999695314.1564</v>
      </c>
      <c r="T179" s="38">
        <f>IF(OR(R179="",R178=""),"",R179-R178)</f>
        <v/>
      </c>
      <c r="U179" s="38">
        <f>IF(OR(S179="",S178=""),"",S179-S178)</f>
        <v/>
      </c>
      <c r="V179" s="38">
        <f>IF(OR(U179="",P179=""),"",U179+P179)</f>
        <v/>
      </c>
      <c r="W179" s="38">
        <f>IF(OR(T179="",O179="",P179=""),"",T179-O179+P179)</f>
        <v/>
      </c>
    </row>
    <row r="180">
      <c r="A180" s="30" t="n">
        <v>45834</v>
      </c>
      <c r="B180" s="36" t="n">
        <v>6054093572.703783</v>
      </c>
      <c r="C180" s="36" t="n"/>
      <c r="D180" s="36" t="n">
        <v>0</v>
      </c>
      <c r="E180" s="36" t="n">
        <v>1978598.824</v>
      </c>
      <c r="F180" s="36" t="n">
        <v>0</v>
      </c>
      <c r="G180" s="36" t="n">
        <v>0</v>
      </c>
      <c r="H180" s="36" t="n">
        <v>52385</v>
      </c>
      <c r="I180" s="36" t="n">
        <v>54006</v>
      </c>
      <c r="J180" s="36" t="n">
        <v>8495.846218578423</v>
      </c>
      <c r="K180" s="36" t="n">
        <v>18461</v>
      </c>
      <c r="L180" s="37" t="n">
        <v>53218.85</v>
      </c>
      <c r="M180" s="36" t="n">
        <v>1978598.824</v>
      </c>
      <c r="N180" s="37" t="n">
        <v>25374152.73</v>
      </c>
      <c r="O180" s="37" t="n">
        <v>26264.077</v>
      </c>
      <c r="P180" s="37" t="n">
        <v>931.2572</v>
      </c>
      <c r="Q180" s="36" t="n">
        <v>34558.49</v>
      </c>
      <c r="R180" s="37" t="n">
        <v>335727122.5404</v>
      </c>
      <c r="S180" s="37" t="n">
        <v>999694382.8992</v>
      </c>
      <c r="T180" s="38">
        <f>IF(OR(R180="",R179=""),"",R180-R179)</f>
        <v/>
      </c>
      <c r="U180" s="38">
        <f>IF(OR(S180="",S179=""),"",S180-S179)</f>
        <v/>
      </c>
      <c r="V180" s="38">
        <f>IF(OR(U180="",P180=""),"",U180+P180)</f>
        <v/>
      </c>
      <c r="W180" s="38">
        <f>IF(OR(T180="",O180="",P180=""),"",T180-O180+P180)</f>
        <v/>
      </c>
    </row>
    <row r="181">
      <c r="A181" s="30" t="n">
        <v>45835</v>
      </c>
      <c r="B181" s="36" t="n">
        <v>5468496333.636342</v>
      </c>
      <c r="C181" s="36" t="n"/>
      <c r="D181" s="36" t="n">
        <v>0</v>
      </c>
      <c r="E181" s="36" t="n">
        <v>1815313.983</v>
      </c>
      <c r="F181" s="36" t="n">
        <v>0</v>
      </c>
      <c r="G181" s="36" t="n">
        <v>0</v>
      </c>
      <c r="H181" s="36" t="n">
        <v>36324</v>
      </c>
      <c r="I181" s="36" t="n">
        <v>37448</v>
      </c>
      <c r="J181" s="36" t="n">
        <v>4007.853210149209</v>
      </c>
      <c r="K181" s="36" t="n">
        <v>0</v>
      </c>
      <c r="L181" s="37" t="n">
        <v>49767.76</v>
      </c>
      <c r="M181" s="36" t="n">
        <v>1815313.983</v>
      </c>
      <c r="N181" s="37" t="n">
        <v>25423920.49</v>
      </c>
      <c r="O181" s="37" t="n">
        <v>26235.3685</v>
      </c>
      <c r="P181" s="37" t="n">
        <v>1348.0803</v>
      </c>
      <c r="Q181" s="36" t="n">
        <v>48119.73</v>
      </c>
      <c r="R181" s="37" t="n">
        <v>335737396.4316</v>
      </c>
      <c r="S181" s="37" t="n">
        <v>999693034.8189</v>
      </c>
      <c r="T181" s="38">
        <f>IF(OR(R181="",R180=""),"",R181-R180)</f>
        <v/>
      </c>
      <c r="U181" s="38">
        <f>IF(OR(S181="",S180=""),"",S181-S180)</f>
        <v/>
      </c>
      <c r="V181" s="38">
        <f>IF(OR(U181="",P181=""),"",U181+P181)</f>
        <v/>
      </c>
      <c r="W181" s="38">
        <f>IF(OR(T181="",O181="",P181=""),"",T181-O181+P181)</f>
        <v/>
      </c>
    </row>
    <row r="182">
      <c r="A182" s="30" t="n">
        <v>45836</v>
      </c>
      <c r="B182" s="36" t="n">
        <v>2029915379.929195</v>
      </c>
      <c r="C182" s="36" t="n"/>
      <c r="D182" s="36" t="n">
        <v>0</v>
      </c>
      <c r="E182" s="36" t="n">
        <v>1203337.358</v>
      </c>
      <c r="F182" s="36" t="n">
        <v>0</v>
      </c>
      <c r="G182" s="36" t="n">
        <v>0</v>
      </c>
      <c r="H182" s="36" t="n">
        <v>28089</v>
      </c>
      <c r="I182" s="36" t="n">
        <v>28957</v>
      </c>
      <c r="J182" s="36" t="n">
        <v>3740.089685894544</v>
      </c>
      <c r="K182" s="36" t="n">
        <v>18251.71</v>
      </c>
      <c r="L182" s="37" t="n">
        <v>32517.99</v>
      </c>
      <c r="M182" s="36" t="n">
        <v>1203337.358</v>
      </c>
      <c r="N182" s="37" t="n">
        <v>25456438.48</v>
      </c>
      <c r="O182" s="37" t="n">
        <v>26271.3196</v>
      </c>
      <c r="P182" s="37" t="n">
        <v>599.8286000000001</v>
      </c>
      <c r="Q182" s="36" t="n">
        <v>21803.47</v>
      </c>
      <c r="R182" s="37" t="n">
        <v>335748446.623</v>
      </c>
      <c r="S182" s="37" t="n">
        <v>999692434.9903001</v>
      </c>
      <c r="T182" s="38">
        <f>IF(OR(R182="",R181=""),"",R182-R181)</f>
        <v/>
      </c>
      <c r="U182" s="38">
        <f>IF(OR(S182="",S181=""),"",S182-S181)</f>
        <v/>
      </c>
      <c r="V182" s="38">
        <f>IF(OR(U182="",P182=""),"",U182+P182)</f>
        <v/>
      </c>
      <c r="W182" s="38">
        <f>IF(OR(T182="",O182="",P182=""),"",T182-O182+P182)</f>
        <v/>
      </c>
    </row>
    <row r="183">
      <c r="A183" s="30" t="n">
        <v>45837</v>
      </c>
      <c r="B183" s="36" t="n">
        <v>3690353142.092132</v>
      </c>
      <c r="C183" s="36" t="n"/>
      <c r="D183" s="36" t="n">
        <v>0</v>
      </c>
      <c r="E183" s="36" t="n">
        <v>542414.0383</v>
      </c>
      <c r="F183" s="36" t="n">
        <v>0</v>
      </c>
      <c r="G183" s="36" t="n">
        <v>0</v>
      </c>
      <c r="H183" s="36" t="n">
        <v>45808</v>
      </c>
      <c r="I183" s="36" t="n">
        <v>47224</v>
      </c>
      <c r="J183" s="36" t="n">
        <v>3387.603864184065</v>
      </c>
      <c r="K183" s="36" t="n">
        <v>0</v>
      </c>
      <c r="L183" s="37" t="n">
        <v>14116.47</v>
      </c>
      <c r="M183" s="36" t="n">
        <v>542414.0383</v>
      </c>
      <c r="N183" s="37" t="n">
        <v>25470554.95</v>
      </c>
      <c r="O183" s="37" t="n">
        <v>26095.91</v>
      </c>
      <c r="P183" s="37" t="n">
        <v>873.9448</v>
      </c>
      <c r="Q183" s="36" t="n">
        <v>32970.01</v>
      </c>
      <c r="R183" s="37" t="n">
        <v>335759174.8354</v>
      </c>
      <c r="S183" s="37" t="n">
        <v>999691561.0455</v>
      </c>
      <c r="T183" s="38">
        <f>IF(OR(R183="",R182=""),"",R183-R182)</f>
        <v/>
      </c>
      <c r="U183" s="38">
        <f>IF(OR(S183="",S182=""),"",S183-S182)</f>
        <v/>
      </c>
      <c r="V183" s="38">
        <f>IF(OR(U183="",P183=""),"",U183+P183)</f>
        <v/>
      </c>
      <c r="W183" s="38">
        <f>IF(OR(T183="",O183="",P183=""),"",T183-O183+P183)</f>
        <v/>
      </c>
    </row>
    <row r="184">
      <c r="A184" s="30" t="n">
        <v>45838</v>
      </c>
      <c r="B184" s="36" t="n">
        <v>6117167590.460418</v>
      </c>
      <c r="C184" s="36" t="n"/>
      <c r="D184" s="36" t="n">
        <v>0</v>
      </c>
      <c r="E184" s="36" t="n">
        <v>1536144.182</v>
      </c>
      <c r="F184" s="36" t="n">
        <v>0</v>
      </c>
      <c r="G184" s="36" t="n">
        <v>0</v>
      </c>
      <c r="H184" s="36" t="n">
        <v>58913</v>
      </c>
      <c r="I184" s="36" t="n">
        <v>60735</v>
      </c>
      <c r="J184" s="36" t="n">
        <v>38958.54557761391</v>
      </c>
      <c r="K184" s="36" t="n">
        <v>0</v>
      </c>
      <c r="L184" s="37" t="n">
        <v>38320.67</v>
      </c>
      <c r="M184" s="36" t="n">
        <v>1536144.182</v>
      </c>
      <c r="N184" s="37" t="n">
        <v>25508875.62</v>
      </c>
      <c r="O184" s="37" t="n">
        <v>26277.9253</v>
      </c>
      <c r="P184" s="37" t="n">
        <v>649.6043</v>
      </c>
      <c r="Q184" s="36" t="n">
        <v>25678.86</v>
      </c>
      <c r="R184" s="37" t="n">
        <v>335770195.0451</v>
      </c>
      <c r="S184" s="37" t="n">
        <v>999690911.4412</v>
      </c>
      <c r="T184" s="38">
        <f>IF(OR(R184="",R183=""),"",R184-R183)</f>
        <v/>
      </c>
      <c r="U184" s="38">
        <f>IF(OR(S184="",S183=""),"",S184-S183)</f>
        <v/>
      </c>
      <c r="V184" s="38">
        <f>IF(OR(U184="",P184=""),"",U184+P184)</f>
        <v/>
      </c>
      <c r="W184" s="38">
        <f>IF(OR(T184="",O184="",P184=""),"",T184-O184+P184)</f>
        <v/>
      </c>
    </row>
    <row r="185">
      <c r="A185" s="30" t="n">
        <v>45839</v>
      </c>
      <c r="B185" s="36" t="n">
        <v>6136377450.129353</v>
      </c>
      <c r="C185" s="36" t="n"/>
      <c r="D185" s="36" t="n">
        <v>0</v>
      </c>
      <c r="E185" s="36" t="n">
        <v>1555195.846</v>
      </c>
      <c r="F185" s="36" t="n">
        <v>0</v>
      </c>
      <c r="G185" s="36" t="n">
        <v>0</v>
      </c>
      <c r="H185" s="36" t="n">
        <v>55162</v>
      </c>
      <c r="I185" s="36" t="n">
        <v>56869</v>
      </c>
      <c r="J185" s="36" t="n">
        <v>8099.642670797391</v>
      </c>
      <c r="K185" s="36" t="n">
        <v>0</v>
      </c>
      <c r="L185" s="37" t="n">
        <v>40397.31</v>
      </c>
      <c r="M185" s="36" t="n">
        <v>1555195.846</v>
      </c>
      <c r="N185" s="37" t="n">
        <v>25549272.93</v>
      </c>
      <c r="O185" s="37" t="n">
        <v>26322.6881</v>
      </c>
      <c r="P185" s="37" t="n">
        <v>850.0683</v>
      </c>
      <c r="Q185" s="36" t="n">
        <v>33572.17</v>
      </c>
      <c r="R185" s="37" t="n">
        <v>335781057.9908</v>
      </c>
      <c r="S185" s="37" t="n">
        <v>999690061.3729</v>
      </c>
      <c r="T185" s="38">
        <f>IF(OR(R185="",R184=""),"",R185-R184)</f>
        <v/>
      </c>
      <c r="U185" s="38">
        <f>IF(OR(S185="",S184=""),"",S185-S184)</f>
        <v/>
      </c>
      <c r="V185" s="38">
        <f>IF(OR(U185="",P185=""),"",U185+P185)</f>
        <v/>
      </c>
      <c r="W185" s="38">
        <f>IF(OR(T185="",O185="",P185=""),"",T185-O185+P185)</f>
        <v/>
      </c>
    </row>
    <row r="186">
      <c r="A186" s="30" t="n">
        <v>45840</v>
      </c>
      <c r="B186" s="36" t="n">
        <v>8708461911.885946</v>
      </c>
      <c r="C186" s="36" t="n"/>
      <c r="D186" s="36" t="n">
        <v>0</v>
      </c>
      <c r="E186" s="36" t="n">
        <v>1844481.991</v>
      </c>
      <c r="F186" s="36" t="n">
        <v>0</v>
      </c>
      <c r="G186" s="36" t="n">
        <v>0</v>
      </c>
      <c r="H186" s="36" t="n">
        <v>58343</v>
      </c>
      <c r="I186" s="36" t="n">
        <v>60148</v>
      </c>
      <c r="J186" s="36" t="n">
        <v>6638.274666003046</v>
      </c>
      <c r="K186" s="36" t="n">
        <v>0</v>
      </c>
      <c r="L186" s="37" t="n">
        <v>47673.58</v>
      </c>
      <c r="M186" s="36" t="n">
        <v>1844481.991</v>
      </c>
      <c r="N186" s="37" t="n">
        <v>25596946.51</v>
      </c>
      <c r="O186" s="37" t="n">
        <v>26305.5889</v>
      </c>
      <c r="P186" s="37" t="n">
        <v>710.4213</v>
      </c>
      <c r="Q186" s="36" t="n">
        <v>26294.11</v>
      </c>
      <c r="R186" s="37" t="n">
        <v>335792043.7489</v>
      </c>
      <c r="S186" s="37" t="n">
        <v>999689350.9517</v>
      </c>
      <c r="T186" s="38">
        <f>IF(OR(R186="",R185=""),"",R186-R185)</f>
        <v/>
      </c>
      <c r="U186" s="38">
        <f>IF(OR(S186="",S185=""),"",S186-S185)</f>
        <v/>
      </c>
      <c r="V186" s="38">
        <f>IF(OR(U186="",P186=""),"",U186+P186)</f>
        <v/>
      </c>
      <c r="W186" s="38">
        <f>IF(OR(T186="",O186="",P186=""),"",T186-O186+P186)</f>
        <v/>
      </c>
    </row>
    <row r="187">
      <c r="A187" s="30" t="n">
        <v>45841</v>
      </c>
      <c r="B187" s="36" t="n">
        <v>6251465096.543179</v>
      </c>
      <c r="C187" s="36" t="n"/>
      <c r="D187" s="36" t="n">
        <v>0</v>
      </c>
      <c r="E187" s="36" t="n">
        <v>2494949.024</v>
      </c>
      <c r="F187" s="36" t="n">
        <v>0</v>
      </c>
      <c r="G187" s="36" t="n">
        <v>0</v>
      </c>
      <c r="H187" s="36" t="n">
        <v>49730</v>
      </c>
      <c r="I187" s="36" t="n">
        <v>51268</v>
      </c>
      <c r="J187" s="36" t="n">
        <v>9166.216101661439</v>
      </c>
      <c r="K187" s="36" t="n">
        <v>0</v>
      </c>
      <c r="L187" s="37" t="n">
        <v>61753.57</v>
      </c>
      <c r="M187" s="36" t="n">
        <v>2494949.024</v>
      </c>
      <c r="N187" s="37" t="n">
        <v>25658700.08</v>
      </c>
      <c r="O187" s="37" t="n">
        <v>26103.9266</v>
      </c>
      <c r="P187" s="37" t="n">
        <v>954.5984999999999</v>
      </c>
      <c r="Q187" s="36" t="n">
        <v>38050.77</v>
      </c>
      <c r="R187" s="37" t="n">
        <v>335802622.7298</v>
      </c>
      <c r="S187" s="37" t="n">
        <v>999688396.3532</v>
      </c>
      <c r="T187" s="38">
        <f>IF(OR(R187="",R186=""),"",R187-R186)</f>
        <v/>
      </c>
      <c r="U187" s="38">
        <f>IF(OR(S187="",S186=""),"",S187-S186)</f>
        <v/>
      </c>
      <c r="V187" s="38">
        <f>IF(OR(U187="",P187=""),"",U187+P187)</f>
        <v/>
      </c>
      <c r="W187" s="38">
        <f>IF(OR(T187="",O187="",P187=""),"",T187-O187+P187)</f>
        <v/>
      </c>
    </row>
    <row r="188">
      <c r="A188" s="30" t="n">
        <v>45842</v>
      </c>
      <c r="B188" s="36" t="n">
        <v>5865755226.167191</v>
      </c>
      <c r="C188" s="36" t="n"/>
      <c r="D188" s="36" t="n">
        <v>0</v>
      </c>
      <c r="E188" s="36" t="n">
        <v>1741250.39</v>
      </c>
      <c r="F188" s="36" t="n">
        <v>0</v>
      </c>
      <c r="G188" s="36" t="n">
        <v>0</v>
      </c>
      <c r="H188" s="36" t="n">
        <v>48293</v>
      </c>
      <c r="I188" s="36" t="n">
        <v>49787</v>
      </c>
      <c r="J188" s="36" t="n">
        <v>7770.906878301268</v>
      </c>
      <c r="K188" s="36" t="n">
        <v>0</v>
      </c>
      <c r="L188" s="37" t="n">
        <v>45057.8</v>
      </c>
      <c r="M188" s="36" t="n">
        <v>1741250.39</v>
      </c>
      <c r="N188" s="37" t="n">
        <v>25703757.88</v>
      </c>
      <c r="O188" s="37" t="n">
        <v>26133.6193</v>
      </c>
      <c r="P188" s="37" t="n">
        <v>597.4414</v>
      </c>
      <c r="Q188" s="36" t="n">
        <v>23999.52</v>
      </c>
      <c r="R188" s="37" t="n">
        <v>335813566.7545</v>
      </c>
      <c r="S188" s="37" t="n">
        <v>999687798.9117</v>
      </c>
      <c r="T188" s="38">
        <f>IF(OR(R188="",R187=""),"",R188-R187)</f>
        <v/>
      </c>
      <c r="U188" s="38">
        <f>IF(OR(S188="",S187=""),"",S188-S187)</f>
        <v/>
      </c>
      <c r="V188" s="38">
        <f>IF(OR(U188="",P188=""),"",U188+P188)</f>
        <v/>
      </c>
      <c r="W188" s="38">
        <f>IF(OR(T188="",O188="",P188=""),"",T188-O188+P188)</f>
        <v/>
      </c>
    </row>
    <row r="189">
      <c r="A189" s="30" t="n">
        <v>45843</v>
      </c>
      <c r="B189" s="36" t="n">
        <v>2451950269.5296</v>
      </c>
      <c r="C189" s="36" t="n"/>
      <c r="D189" s="36" t="n">
        <v>0</v>
      </c>
      <c r="E189" s="36" t="n">
        <v>1596923.669</v>
      </c>
      <c r="F189" s="36" t="n">
        <v>0</v>
      </c>
      <c r="G189" s="36" t="n">
        <v>0</v>
      </c>
      <c r="H189" s="36" t="n">
        <v>28497</v>
      </c>
      <c r="I189" s="36" t="n">
        <v>29379</v>
      </c>
      <c r="J189" s="36" t="n">
        <v>5293.572988509542</v>
      </c>
      <c r="K189" s="36" t="n">
        <v>0</v>
      </c>
      <c r="L189" s="37" t="n">
        <v>40813.15</v>
      </c>
      <c r="M189" s="36" t="n">
        <v>1596923.669</v>
      </c>
      <c r="N189" s="37" t="n">
        <v>25744571.03</v>
      </c>
      <c r="O189" s="37" t="n">
        <v>26192.9064</v>
      </c>
      <c r="P189" s="37" t="n">
        <v>708.3487</v>
      </c>
      <c r="Q189" s="36" t="n">
        <v>27644.37</v>
      </c>
      <c r="R189" s="37" t="n">
        <v>335824474.083</v>
      </c>
      <c r="S189" s="37" t="n">
        <v>999687090.563</v>
      </c>
      <c r="T189" s="38">
        <f>IF(OR(R189="",R188=""),"",R189-R188)</f>
        <v/>
      </c>
      <c r="U189" s="38">
        <f>IF(OR(S189="",S188=""),"",S189-S188)</f>
        <v/>
      </c>
      <c r="V189" s="38">
        <f>IF(OR(U189="",P189=""),"",U189+P189)</f>
        <v/>
      </c>
      <c r="W189" s="38">
        <f>IF(OR(T189="",O189="",P189=""),"",T189-O189+P189)</f>
        <v/>
      </c>
    </row>
    <row r="190">
      <c r="A190" s="30" t="n">
        <v>45844</v>
      </c>
      <c r="B190" s="36" t="n">
        <v>4289662636.717702</v>
      </c>
      <c r="C190" s="36" t="n"/>
      <c r="D190" s="36" t="n">
        <v>0</v>
      </c>
      <c r="E190" s="36" t="n">
        <v>650244.1229</v>
      </c>
      <c r="F190" s="36" t="n">
        <v>0</v>
      </c>
      <c r="G190" s="36" t="n">
        <v>0</v>
      </c>
      <c r="H190" s="36" t="n">
        <v>26036</v>
      </c>
      <c r="I190" s="36" t="n">
        <v>26841</v>
      </c>
      <c r="J190" s="36" t="n">
        <v>4856.094394934317</v>
      </c>
      <c r="K190" s="36" t="n">
        <v>0</v>
      </c>
      <c r="L190" s="37" t="n">
        <v>16520.15</v>
      </c>
      <c r="M190" s="36" t="n">
        <v>650244.1229</v>
      </c>
      <c r="N190" s="37" t="n">
        <v>25761091.18</v>
      </c>
      <c r="O190" s="37" t="n">
        <v>26201.8544</v>
      </c>
      <c r="P190" s="37" t="n">
        <v>331.3298</v>
      </c>
      <c r="Q190" s="36" t="n">
        <v>12924.68</v>
      </c>
      <c r="R190" s="37" t="n">
        <v>335835805.7448</v>
      </c>
      <c r="S190" s="37" t="n">
        <v>999686759.2332</v>
      </c>
      <c r="T190" s="38">
        <f>IF(OR(R190="",R189=""),"",R190-R189)</f>
        <v/>
      </c>
      <c r="U190" s="38">
        <f>IF(OR(S190="",S189=""),"",S190-S189)</f>
        <v/>
      </c>
      <c r="V190" s="38">
        <f>IF(OR(U190="",P190=""),"",U190+P190)</f>
        <v/>
      </c>
      <c r="W190" s="38">
        <f>IF(OR(T190="",O190="",P190=""),"",T190-O190+P190)</f>
        <v/>
      </c>
    </row>
    <row r="191">
      <c r="A191" s="30" t="n">
        <v>45845</v>
      </c>
      <c r="B191" s="36" t="n">
        <v>5322409239.838073</v>
      </c>
      <c r="C191" s="36" t="n"/>
      <c r="D191" s="36" t="n">
        <v>0</v>
      </c>
      <c r="E191" s="36" t="n">
        <v>1372817.964</v>
      </c>
      <c r="F191" s="36" t="n">
        <v>0</v>
      </c>
      <c r="G191" s="36" t="n">
        <v>0</v>
      </c>
      <c r="H191" s="36" t="n">
        <v>46909</v>
      </c>
      <c r="I191" s="36" t="n">
        <v>48359</v>
      </c>
      <c r="J191" s="36" t="n">
        <v>51071.86506595204</v>
      </c>
      <c r="K191" s="36" t="n">
        <v>19890.06</v>
      </c>
      <c r="L191" s="37" t="n">
        <v>34874.72</v>
      </c>
      <c r="M191" s="36" t="n">
        <v>1372817.964</v>
      </c>
      <c r="N191" s="37" t="n">
        <v>25795965.9</v>
      </c>
      <c r="O191" s="37" t="n">
        <v>26216.6899</v>
      </c>
      <c r="P191" s="37" t="n">
        <v>330.7715</v>
      </c>
      <c r="Q191" s="36" t="n">
        <v>13137.25</v>
      </c>
      <c r="R191" s="37" t="n">
        <v>335847130.6963</v>
      </c>
      <c r="S191" s="37" t="n">
        <v>999686428.4617</v>
      </c>
      <c r="T191" s="38">
        <f>IF(OR(R191="",R190=""),"",R191-R190)</f>
        <v/>
      </c>
      <c r="U191" s="38">
        <f>IF(OR(S191="",S190=""),"",S191-S190)</f>
        <v/>
      </c>
      <c r="V191" s="38">
        <f>IF(OR(U191="",P191=""),"",U191+P191)</f>
        <v/>
      </c>
      <c r="W191" s="38">
        <f>IF(OR(T191="",O191="",P191=""),"",T191-O191+P191)</f>
        <v/>
      </c>
    </row>
    <row r="192">
      <c r="A192" s="30" t="n">
        <v>45846</v>
      </c>
      <c r="B192" s="36" t="n">
        <v>5320747621.804342</v>
      </c>
      <c r="C192" s="36" t="n"/>
      <c r="D192" s="36" t="n">
        <v>0</v>
      </c>
      <c r="E192" s="36" t="n">
        <v>1519235.873</v>
      </c>
      <c r="F192" s="36" t="n">
        <v>0</v>
      </c>
      <c r="G192" s="36" t="n">
        <v>0</v>
      </c>
      <c r="H192" s="36" t="n">
        <v>56727</v>
      </c>
      <c r="I192" s="36" t="n">
        <v>58482</v>
      </c>
      <c r="J192" s="36" t="n">
        <v>10924.06923909988</v>
      </c>
      <c r="K192" s="36" t="n">
        <v>0</v>
      </c>
      <c r="L192" s="37" t="n">
        <v>39768.58</v>
      </c>
      <c r="M192" s="36" t="n">
        <v>1519235.873</v>
      </c>
      <c r="N192" s="37" t="n">
        <v>25835734.48</v>
      </c>
      <c r="O192" s="37" t="n">
        <v>26255.6227</v>
      </c>
      <c r="P192" s="37" t="n">
        <v>1043.8797</v>
      </c>
      <c r="Q192" s="36" t="n">
        <v>40282.8</v>
      </c>
      <c r="R192" s="37" t="n">
        <v>335857740.578</v>
      </c>
      <c r="S192" s="37" t="n">
        <v>999685384.5819</v>
      </c>
      <c r="T192" s="38">
        <f>IF(OR(R192="",R191=""),"",R192-R191)</f>
        <v/>
      </c>
      <c r="U192" s="38">
        <f>IF(OR(S192="",S191=""),"",S192-S191)</f>
        <v/>
      </c>
      <c r="V192" s="38">
        <f>IF(OR(U192="",P192=""),"",U192+P192)</f>
        <v/>
      </c>
      <c r="W192" s="38">
        <f>IF(OR(T192="",O192="",P192=""),"",T192-O192+P192)</f>
        <v/>
      </c>
    </row>
    <row r="193">
      <c r="A193" s="30" t="n">
        <v>45847</v>
      </c>
      <c r="B193" s="36" t="n">
        <v>8668787164.751041</v>
      </c>
      <c r="C193" s="36" t="n"/>
      <c r="D193" s="36" t="n">
        <v>0</v>
      </c>
      <c r="E193" s="36" t="n">
        <v>1613091.807</v>
      </c>
      <c r="F193" s="36" t="n">
        <v>0</v>
      </c>
      <c r="G193" s="36" t="n">
        <v>0</v>
      </c>
      <c r="H193" s="36" t="n">
        <v>65935</v>
      </c>
      <c r="I193" s="36" t="n">
        <v>67974</v>
      </c>
      <c r="J193" s="36" t="n">
        <v>14525.89532465642</v>
      </c>
      <c r="K193" s="36" t="n">
        <v>0</v>
      </c>
      <c r="L193" s="37" t="n">
        <v>40396.81</v>
      </c>
      <c r="M193" s="36" t="n">
        <v>1613091.807</v>
      </c>
      <c r="N193" s="37" t="n">
        <v>25876131.29</v>
      </c>
      <c r="O193" s="37" t="n">
        <v>26158.1165</v>
      </c>
      <c r="P193" s="37" t="n">
        <v>884.6962</v>
      </c>
      <c r="Q193" s="36" t="n">
        <v>34398.76</v>
      </c>
      <c r="R193" s="37" t="n">
        <v>335868401.2836</v>
      </c>
      <c r="S193" s="37" t="n">
        <v>999684499.8857</v>
      </c>
      <c r="T193" s="38">
        <f>IF(OR(R193="",R192=""),"",R193-R192)</f>
        <v/>
      </c>
      <c r="U193" s="38">
        <f>IF(OR(S193="",S192=""),"",S193-S192)</f>
        <v/>
      </c>
      <c r="V193" s="38">
        <f>IF(OR(U193="",P193=""),"",U193+P193)</f>
        <v/>
      </c>
      <c r="W193" s="38">
        <f>IF(OR(T193="",O193="",P193=""),"",T193-O193+P193)</f>
        <v/>
      </c>
    </row>
    <row r="194">
      <c r="A194" s="30" t="n">
        <v>45848</v>
      </c>
      <c r="B194" s="36" t="n">
        <v>10991694982.19964</v>
      </c>
      <c r="C194" s="36" t="n"/>
      <c r="D194" s="36" t="n">
        <v>0</v>
      </c>
      <c r="E194" s="36" t="n">
        <v>2954098.983</v>
      </c>
      <c r="F194" s="36" t="n">
        <v>0</v>
      </c>
      <c r="G194" s="36" t="n">
        <v>0</v>
      </c>
      <c r="H194" s="36" t="n">
        <v>91203</v>
      </c>
      <c r="I194" s="36" t="n">
        <v>94024</v>
      </c>
      <c r="J194" s="36" t="n">
        <v>12995.80219957034</v>
      </c>
      <c r="K194" s="36" t="n">
        <v>20914.09</v>
      </c>
      <c r="L194" s="37" t="n">
        <v>69330.37</v>
      </c>
      <c r="M194" s="36" t="n">
        <v>2954098.983</v>
      </c>
      <c r="N194" s="37" t="n">
        <v>25945461.66</v>
      </c>
      <c r="O194" s="37" t="n">
        <v>26159.7777</v>
      </c>
      <c r="P194" s="37" t="n">
        <v>723.8416</v>
      </c>
      <c r="Q194" s="36" t="n">
        <v>29619.6</v>
      </c>
      <c r="R194" s="37" t="n">
        <v>335879175.3955</v>
      </c>
      <c r="S194" s="37" t="n">
        <v>999683776.0441</v>
      </c>
      <c r="T194" s="38">
        <f>IF(OR(R194="",R193=""),"",R194-R193)</f>
        <v/>
      </c>
      <c r="U194" s="38">
        <f>IF(OR(S194="",S193=""),"",S194-S193)</f>
        <v/>
      </c>
      <c r="V194" s="38">
        <f>IF(OR(U194="",P194=""),"",U194+P194)</f>
        <v/>
      </c>
      <c r="W194" s="38">
        <f>IF(OR(T194="",O194="",P194=""),"",T194-O194+P194)</f>
        <v/>
      </c>
    </row>
    <row r="195">
      <c r="A195" s="30" t="n">
        <v>45849</v>
      </c>
      <c r="B195" s="36" t="n">
        <v>12433064594.48568</v>
      </c>
      <c r="C195" s="36" t="n"/>
      <c r="D195" s="36" t="n">
        <v>0</v>
      </c>
      <c r="E195" s="36" t="n">
        <v>3647033.077</v>
      </c>
      <c r="F195" s="36" t="n">
        <v>0</v>
      </c>
      <c r="G195" s="36" t="n">
        <v>0</v>
      </c>
      <c r="H195" s="36" t="n">
        <v>105205</v>
      </c>
      <c r="I195" s="36" t="n">
        <v>108458</v>
      </c>
      <c r="J195" s="36" t="n">
        <v>15500.35035738051</v>
      </c>
      <c r="K195" s="36" t="n">
        <v>23004.42</v>
      </c>
      <c r="L195" s="37" t="n">
        <v>80315.2</v>
      </c>
      <c r="M195" s="36" t="n">
        <v>3647033.077</v>
      </c>
      <c r="N195" s="37" t="n">
        <v>26025776.86</v>
      </c>
      <c r="O195" s="37" t="n">
        <v>26122.8024</v>
      </c>
      <c r="P195" s="37" t="n">
        <v>1451.9016</v>
      </c>
      <c r="Q195" s="36" t="n">
        <v>63345.74</v>
      </c>
      <c r="R195" s="37" t="n">
        <v>335889172.3017</v>
      </c>
      <c r="S195" s="37" t="n">
        <v>999682324.1425</v>
      </c>
      <c r="T195" s="38">
        <f>IF(OR(R195="",R194=""),"",R195-R194)</f>
        <v/>
      </c>
      <c r="U195" s="38">
        <f>IF(OR(S195="",S194=""),"",S195-S194)</f>
        <v/>
      </c>
      <c r="V195" s="38">
        <f>IF(OR(U195="",P195=""),"",U195+P195)</f>
        <v/>
      </c>
      <c r="W195" s="38">
        <f>IF(OR(T195="",O195="",P195=""),"",T195-O195+P195)</f>
        <v/>
      </c>
    </row>
    <row r="196">
      <c r="A196" s="30" t="n">
        <v>45850</v>
      </c>
      <c r="B196" s="36" t="n">
        <v>5486400795.634754</v>
      </c>
      <c r="C196" s="36" t="n"/>
      <c r="D196" s="36" t="n">
        <v>0</v>
      </c>
      <c r="E196" s="36" t="n">
        <v>3465960.553</v>
      </c>
      <c r="F196" s="36" t="n">
        <v>0</v>
      </c>
      <c r="G196" s="36" t="n">
        <v>0</v>
      </c>
      <c r="H196" s="36" t="n">
        <v>74246</v>
      </c>
      <c r="I196" s="36" t="n">
        <v>76542</v>
      </c>
      <c r="J196" s="36" t="n">
        <v>15073.9213791158</v>
      </c>
      <c r="K196" s="36" t="n">
        <v>23282.54</v>
      </c>
      <c r="L196" s="37" t="n">
        <v>74964.00999999999</v>
      </c>
      <c r="M196" s="36" t="n">
        <v>3465960.553</v>
      </c>
      <c r="N196" s="37" t="n">
        <v>26100740.87</v>
      </c>
      <c r="O196" s="37" t="n">
        <v>26136.0303</v>
      </c>
      <c r="P196" s="37" t="n">
        <v>1831.2501</v>
      </c>
      <c r="Q196" s="36" t="n">
        <v>84765.82000000001</v>
      </c>
      <c r="R196" s="37" t="n">
        <v>335898800.2028</v>
      </c>
      <c r="S196" s="37" t="n">
        <v>999680492.8925</v>
      </c>
      <c r="T196" s="38">
        <f>IF(OR(R196="",R195=""),"",R196-R195)</f>
        <v/>
      </c>
      <c r="U196" s="38">
        <f>IF(OR(S196="",S195=""),"",S196-S195)</f>
        <v/>
      </c>
      <c r="V196" s="38">
        <f>IF(OR(U196="",P196=""),"",U196+P196)</f>
        <v/>
      </c>
      <c r="W196" s="38">
        <f>IF(OR(T196="",O196="",P196=""),"",T196-O196+P196)</f>
        <v/>
      </c>
    </row>
    <row r="197">
      <c r="A197" s="30" t="n">
        <v>45851</v>
      </c>
      <c r="B197" s="36" t="n">
        <v>6412427250.738647</v>
      </c>
      <c r="C197" s="36" t="n"/>
      <c r="D197" s="36" t="n">
        <v>0</v>
      </c>
      <c r="E197" s="36" t="n">
        <v>2008748.358</v>
      </c>
      <c r="F197" s="36" t="n">
        <v>0</v>
      </c>
      <c r="G197" s="36" t="n">
        <v>0</v>
      </c>
      <c r="H197" s="36" t="n">
        <v>68655</v>
      </c>
      <c r="I197" s="36" t="n">
        <v>70779</v>
      </c>
      <c r="J197" s="36" t="n">
        <v>10846.0034337668</v>
      </c>
      <c r="K197" s="36" t="n">
        <v>30350.1</v>
      </c>
      <c r="L197" s="37" t="n">
        <v>41639.5</v>
      </c>
      <c r="M197" s="36" t="n">
        <v>2008748.358</v>
      </c>
      <c r="N197" s="37" t="n">
        <v>26142380.37</v>
      </c>
      <c r="O197" s="37" t="n">
        <v>26013.8934</v>
      </c>
      <c r="P197" s="37" t="n">
        <v>1374.6539</v>
      </c>
      <c r="Q197" s="36" t="n">
        <v>64786.75</v>
      </c>
      <c r="R197" s="37" t="n">
        <v>335908802.9073</v>
      </c>
      <c r="S197" s="37" t="n">
        <v>999679118.2386</v>
      </c>
      <c r="T197" s="38">
        <f>IF(OR(R197="",R196=""),"",R197-R196)</f>
        <v/>
      </c>
      <c r="U197" s="38">
        <f>IF(OR(S197="",S196=""),"",S197-S196)</f>
        <v/>
      </c>
      <c r="V197" s="38">
        <f>IF(OR(U197="",P197=""),"",U197+P197)</f>
        <v/>
      </c>
      <c r="W197" s="38">
        <f>IF(OR(T197="",O197="",P197=""),"",T197-O197+P197)</f>
        <v/>
      </c>
    </row>
    <row r="198">
      <c r="A198" s="30" t="n">
        <v>45852</v>
      </c>
      <c r="B198" s="36" t="n">
        <v>13350737289.80416</v>
      </c>
      <c r="C198" s="36" t="n"/>
      <c r="D198" s="36" t="n">
        <v>0</v>
      </c>
      <c r="E198" s="36" t="n">
        <v>3181268.757</v>
      </c>
      <c r="F198" s="36" t="n">
        <v>0</v>
      </c>
      <c r="G198" s="36" t="n">
        <v>0</v>
      </c>
      <c r="H198" s="36" t="n">
        <v>118304</v>
      </c>
      <c r="I198" s="36" t="n">
        <v>121963</v>
      </c>
      <c r="J198" s="36" t="n">
        <v>16968.98052542983</v>
      </c>
      <c r="K198" s="36" t="n">
        <v>35814.39</v>
      </c>
      <c r="L198" s="37" t="n">
        <v>65683.78</v>
      </c>
      <c r="M198" s="36" t="n">
        <v>3181268.757</v>
      </c>
      <c r="N198" s="37" t="n">
        <v>26208064.15</v>
      </c>
      <c r="O198" s="37" t="n">
        <v>26101.0722</v>
      </c>
      <c r="P198" s="37" t="n">
        <v>1452.3753</v>
      </c>
      <c r="Q198" s="36" t="n">
        <v>71303.64</v>
      </c>
      <c r="R198" s="37" t="n">
        <v>335918785.0474</v>
      </c>
      <c r="S198" s="37" t="n">
        <v>999677665.8633</v>
      </c>
      <c r="T198" s="38">
        <f>IF(OR(R198="",R197=""),"",R198-R197)</f>
        <v/>
      </c>
      <c r="U198" s="38">
        <f>IF(OR(S198="",S197=""),"",S198-S197)</f>
        <v/>
      </c>
      <c r="V198" s="38">
        <f>IF(OR(U198="",P198=""),"",U198+P198)</f>
        <v/>
      </c>
      <c r="W198" s="38">
        <f>IF(OR(T198="",O198="",P198=""),"",T198-O198+P198)</f>
        <v/>
      </c>
    </row>
    <row r="199">
      <c r="A199" s="30" t="n">
        <v>45853</v>
      </c>
      <c r="B199" s="36" t="n">
        <v>17479662857.74258</v>
      </c>
      <c r="C199" s="36" t="n"/>
      <c r="D199" s="36" t="n">
        <v>0</v>
      </c>
      <c r="E199" s="36" t="n">
        <v>3961622.468</v>
      </c>
      <c r="F199" s="36" t="n">
        <v>0</v>
      </c>
      <c r="G199" s="36" t="n">
        <v>0</v>
      </c>
      <c r="H199" s="36" t="n">
        <v>122632</v>
      </c>
      <c r="I199" s="36" t="n">
        <v>126425</v>
      </c>
      <c r="J199" s="36" t="n">
        <v>28006.94016744708</v>
      </c>
      <c r="K199" s="36" t="n">
        <v>0</v>
      </c>
      <c r="L199" s="37" t="n">
        <v>83530.85000000001</v>
      </c>
      <c r="M199" s="36" t="n">
        <v>3961622.468</v>
      </c>
      <c r="N199" s="37" t="n">
        <v>26291595</v>
      </c>
      <c r="O199" s="37" t="n">
        <v>25934.9584</v>
      </c>
      <c r="P199" s="37" t="n">
        <v>1590.787</v>
      </c>
      <c r="Q199" s="36" t="n">
        <v>75311.83</v>
      </c>
      <c r="R199" s="37" t="n">
        <v>335928490.4635</v>
      </c>
      <c r="S199" s="37" t="n">
        <v>999676075.0763</v>
      </c>
      <c r="T199" s="38">
        <f>IF(OR(R199="",R198=""),"",R199-R198)</f>
        <v/>
      </c>
      <c r="U199" s="38">
        <f>IF(OR(S199="",S198=""),"",S199-S198)</f>
        <v/>
      </c>
      <c r="V199" s="38">
        <f>IF(OR(U199="",P199=""),"",U199+P199)</f>
        <v/>
      </c>
      <c r="W199" s="38">
        <f>IF(OR(T199="",O199="",P199=""),"",T199-O199+P199)</f>
        <v/>
      </c>
    </row>
    <row r="200">
      <c r="A200" s="30" t="n">
        <v>45854</v>
      </c>
      <c r="B200" s="36" t="n">
        <v>14838264786.44256</v>
      </c>
      <c r="C200" s="36" t="n">
        <v>483122232.3373135</v>
      </c>
      <c r="D200" s="36" t="n">
        <v>0</v>
      </c>
      <c r="E200" s="36" t="n">
        <v>4321512.604</v>
      </c>
      <c r="F200" s="36" t="n">
        <v>0</v>
      </c>
      <c r="G200" s="36" t="n">
        <v>0</v>
      </c>
      <c r="H200" s="36" t="n">
        <v>106735</v>
      </c>
      <c r="I200" s="36" t="n">
        <v>110036</v>
      </c>
      <c r="J200" s="36" t="n">
        <v>25631.07110739695</v>
      </c>
      <c r="K200" s="36" t="n">
        <v>37909.3</v>
      </c>
      <c r="L200" s="37" t="n">
        <v>90398.67999999999</v>
      </c>
      <c r="M200" s="36" t="n">
        <v>4321512.604</v>
      </c>
      <c r="N200" s="37" t="n">
        <v>26381993.68</v>
      </c>
      <c r="O200" s="37" t="n">
        <v>26049.4675</v>
      </c>
      <c r="P200" s="37" t="n">
        <v>762.501</v>
      </c>
      <c r="Q200" s="36" t="n">
        <v>36536.76</v>
      </c>
      <c r="R200" s="37" t="n">
        <v>335939110.616</v>
      </c>
      <c r="S200" s="37" t="n">
        <v>999675312.5753</v>
      </c>
      <c r="T200" s="38">
        <f>IF(OR(R200="",R199=""),"",R200-R199)</f>
        <v/>
      </c>
      <c r="U200" s="38">
        <f>IF(OR(S200="",S199=""),"",S200-S199)</f>
        <v/>
      </c>
      <c r="V200" s="38">
        <f>IF(OR(U200="",P200=""),"",U200+P200)</f>
        <v/>
      </c>
      <c r="W200" s="38">
        <f>IF(OR(T200="",O200="",P200=""),"",T200-O200+P200)</f>
        <v/>
      </c>
    </row>
    <row r="201">
      <c r="A201" s="30" t="n">
        <v>45855</v>
      </c>
      <c r="B201" s="36" t="n">
        <v>16730826628.91327</v>
      </c>
      <c r="C201" s="36" t="n">
        <v>605520134.5887198</v>
      </c>
      <c r="D201" s="36" t="n">
        <v>0</v>
      </c>
      <c r="E201" s="36" t="n">
        <v>4475765.953</v>
      </c>
      <c r="F201" s="36" t="n">
        <v>0</v>
      </c>
      <c r="G201" s="36" t="n">
        <v>0</v>
      </c>
      <c r="H201" s="36" t="n">
        <v>137344</v>
      </c>
      <c r="I201" s="36" t="n">
        <v>141592</v>
      </c>
      <c r="J201" s="36" t="n">
        <v>30615.53347005913</v>
      </c>
      <c r="K201" s="36" t="n">
        <v>40435.14</v>
      </c>
      <c r="L201" s="37" t="n">
        <v>96658.21000000001</v>
      </c>
      <c r="M201" s="36" t="n">
        <v>4475765.953</v>
      </c>
      <c r="N201" s="37" t="n">
        <v>26478651.89</v>
      </c>
      <c r="O201" s="37" t="n">
        <v>26170.3924</v>
      </c>
      <c r="P201" s="37" t="n">
        <v>1597.9602</v>
      </c>
      <c r="Q201" s="36" t="n">
        <v>75397.35000000001</v>
      </c>
      <c r="R201" s="37" t="n">
        <v>335949084.5695</v>
      </c>
      <c r="S201" s="37" t="n">
        <v>999673714.6151</v>
      </c>
      <c r="T201" s="38">
        <f>IF(OR(R201="",R200=""),"",R201-R200)</f>
        <v/>
      </c>
      <c r="U201" s="38">
        <f>IF(OR(S201="",S200=""),"",S201-S200)</f>
        <v/>
      </c>
      <c r="V201" s="38">
        <f>IF(OR(U201="",P201=""),"",U201+P201)</f>
        <v/>
      </c>
      <c r="W201" s="38">
        <f>IF(OR(T201="",O201="",P201=""),"",T201-O201+P201)</f>
        <v/>
      </c>
    </row>
    <row r="202">
      <c r="A202" s="30" t="n">
        <v>45856</v>
      </c>
      <c r="B202" s="36" t="n">
        <v>17860068610.46303</v>
      </c>
      <c r="C202" s="36" t="n">
        <v>534758802.4731365</v>
      </c>
      <c r="D202" s="36" t="n">
        <v>0</v>
      </c>
      <c r="E202" s="36" t="n">
        <v>5353743.659</v>
      </c>
      <c r="F202" s="36" t="n">
        <v>0</v>
      </c>
      <c r="G202" s="36" t="n">
        <v>0</v>
      </c>
      <c r="H202" s="36" t="n">
        <v>119533</v>
      </c>
      <c r="I202" s="36" t="n">
        <v>123230</v>
      </c>
      <c r="J202" s="36" t="n">
        <v>27402.36328192447</v>
      </c>
      <c r="K202" s="36" t="n">
        <v>38945.15</v>
      </c>
      <c r="L202" s="37" t="n">
        <v>117990.63</v>
      </c>
      <c r="M202" s="36" t="n">
        <v>5353743.659</v>
      </c>
      <c r="N202" s="37" t="n">
        <v>26596642.52</v>
      </c>
      <c r="O202" s="37" t="n">
        <v>26160.4342</v>
      </c>
      <c r="P202" s="37" t="n">
        <v>1707.7749</v>
      </c>
      <c r="Q202" s="36" t="n">
        <v>77293.89</v>
      </c>
      <c r="R202" s="37" t="n">
        <v>335959040.6408</v>
      </c>
      <c r="S202" s="37" t="n">
        <v>999672006.8401999</v>
      </c>
      <c r="T202" s="38">
        <f>IF(OR(R202="",R201=""),"",R202-R201)</f>
        <v/>
      </c>
      <c r="U202" s="38">
        <f>IF(OR(S202="",S201=""),"",S202-S201)</f>
        <v/>
      </c>
      <c r="V202" s="38">
        <f>IF(OR(U202="",P202=""),"",U202+P202)</f>
        <v/>
      </c>
      <c r="W202" s="38">
        <f>IF(OR(T202="",O202="",P202=""),"",T202-O202+P202)</f>
        <v/>
      </c>
    </row>
    <row r="203">
      <c r="A203" s="30" t="n">
        <v>45857</v>
      </c>
      <c r="B203" s="36" t="n">
        <v>5940465680.993386</v>
      </c>
      <c r="C203" s="36" t="n">
        <v>242005222.4328609</v>
      </c>
      <c r="D203" s="36" t="n">
        <v>0</v>
      </c>
      <c r="E203" s="36" t="n">
        <v>3622903.074</v>
      </c>
      <c r="F203" s="36" t="n">
        <v>0</v>
      </c>
      <c r="G203" s="36" t="n">
        <v>0</v>
      </c>
      <c r="H203" s="36" t="n">
        <v>54170</v>
      </c>
      <c r="I203" s="36" t="n">
        <v>55845</v>
      </c>
      <c r="J203" s="36" t="n">
        <v>10314.03957846649</v>
      </c>
      <c r="K203" s="36" t="n">
        <v>0</v>
      </c>
      <c r="L203" s="37" t="n">
        <v>81070.97</v>
      </c>
      <c r="M203" s="36" t="n">
        <v>3622903.074</v>
      </c>
      <c r="N203" s="37" t="n">
        <v>26677713.49</v>
      </c>
      <c r="O203" s="37" t="n">
        <v>26235.1622</v>
      </c>
      <c r="P203" s="37" t="n">
        <v>1734.6771</v>
      </c>
      <c r="Q203" s="36" t="n">
        <v>77534.86</v>
      </c>
      <c r="R203" s="37" t="n">
        <v>335968971.7153</v>
      </c>
      <c r="S203" s="37" t="n">
        <v>999670272.1631</v>
      </c>
      <c r="T203" s="38">
        <f>IF(OR(R203="",R202=""),"",R203-R202)</f>
        <v/>
      </c>
      <c r="U203" s="38">
        <f>IF(OR(S203="",S202=""),"",S203-S202)</f>
        <v/>
      </c>
      <c r="V203" s="38">
        <f>IF(OR(U203="",P203=""),"",U203+P203)</f>
        <v/>
      </c>
      <c r="W203" s="38">
        <f>IF(OR(T203="",O203="",P203=""),"",T203-O203+P203)</f>
        <v/>
      </c>
    </row>
    <row r="204">
      <c r="A204" s="30" t="n">
        <v>45858</v>
      </c>
      <c r="B204" s="36" t="n">
        <v>11223164737.14127</v>
      </c>
      <c r="C204" s="36" t="n">
        <v>333203527.0148016</v>
      </c>
      <c r="D204" s="36" t="n">
        <v>0</v>
      </c>
      <c r="E204" s="36" t="n">
        <v>1637416.709</v>
      </c>
      <c r="F204" s="36" t="n">
        <v>0</v>
      </c>
      <c r="G204" s="36" t="n">
        <v>0</v>
      </c>
      <c r="H204" s="36" t="n">
        <v>65594</v>
      </c>
      <c r="I204" s="36" t="n">
        <v>67623</v>
      </c>
      <c r="J204" s="36" t="n">
        <v>14768.49212748751</v>
      </c>
      <c r="K204" s="36" t="n">
        <v>23021.35</v>
      </c>
      <c r="L204" s="37" t="n">
        <v>35661.34</v>
      </c>
      <c r="M204" s="36" t="n">
        <v>1637416.709</v>
      </c>
      <c r="N204" s="37" t="n">
        <v>26713374.83</v>
      </c>
      <c r="O204" s="37" t="n">
        <v>25437.4605</v>
      </c>
      <c r="P204" s="37" t="n">
        <v>387.0758</v>
      </c>
      <c r="Q204" s="36" t="n">
        <v>17124.81</v>
      </c>
      <c r="R204" s="37" t="n">
        <v>335979876.865</v>
      </c>
      <c r="S204" s="37" t="n">
        <v>999669885.0872999</v>
      </c>
      <c r="T204" s="38">
        <f>IF(OR(R204="",R203=""),"",R204-R203)</f>
        <v/>
      </c>
      <c r="U204" s="38">
        <f>IF(OR(S204="",S203=""),"",S204-S203)</f>
        <v/>
      </c>
      <c r="V204" s="38">
        <f>IF(OR(U204="",P204=""),"",U204+P204)</f>
        <v/>
      </c>
      <c r="W204" s="38">
        <f>IF(OR(T204="",O204="",P204=""),"",T204-O204+P204)</f>
        <v/>
      </c>
    </row>
    <row r="205">
      <c r="A205" s="30" t="n">
        <v>45859</v>
      </c>
      <c r="B205" s="36" t="n">
        <v>15217202579.28521</v>
      </c>
      <c r="C205" s="36" t="n">
        <v>423990453.3858855</v>
      </c>
      <c r="D205" s="36" t="n">
        <v>0</v>
      </c>
      <c r="E205" s="36" t="n">
        <v>4157067.30163</v>
      </c>
      <c r="F205" s="36" t="n">
        <v>0</v>
      </c>
      <c r="G205" s="36" t="n">
        <v>0</v>
      </c>
      <c r="H205" s="36" t="n">
        <v>94711</v>
      </c>
      <c r="I205" s="36" t="n">
        <v>97640</v>
      </c>
      <c r="J205" s="36" t="n">
        <v>30281.51454049356</v>
      </c>
      <c r="K205" s="36" t="n">
        <v>30274.37</v>
      </c>
      <c r="L205" s="37" t="n">
        <v>89986.02</v>
      </c>
      <c r="M205" s="36" t="n">
        <v>4157067.30163</v>
      </c>
      <c r="N205" s="37" t="n">
        <v>26790541.33</v>
      </c>
      <c r="O205" s="37" t="n">
        <v>26253.0862</v>
      </c>
      <c r="P205" s="37" t="n">
        <v>1064.9001</v>
      </c>
      <c r="Q205" s="36" t="n">
        <v>48440.71</v>
      </c>
      <c r="R205" s="37" t="n">
        <v>335990521.8755</v>
      </c>
      <c r="S205" s="37" t="n">
        <v>999668820.1872</v>
      </c>
      <c r="T205" s="38">
        <f>IF(OR(R205="",R204=""),"",R205-R204)</f>
        <v/>
      </c>
      <c r="U205" s="38">
        <f>IF(OR(S205="",S204=""),"",S205-S204)</f>
        <v/>
      </c>
      <c r="V205" s="38">
        <f>IF(OR(U205="",P205=""),"",U205+P205)</f>
        <v/>
      </c>
      <c r="W205" s="38">
        <f>IF(OR(T205="",O205="",P205=""),"",T205-O205+P205)</f>
        <v/>
      </c>
    </row>
    <row r="206">
      <c r="A206" s="30" t="n">
        <v>45860</v>
      </c>
      <c r="B206" s="36" t="n">
        <v>17573226980.30249</v>
      </c>
      <c r="C206" s="36" t="n">
        <v>499809586.2347062</v>
      </c>
      <c r="D206" s="36" t="n">
        <v>0</v>
      </c>
      <c r="E206" s="36" t="n">
        <v>4309374.38511</v>
      </c>
      <c r="F206" s="36" t="n">
        <v>0</v>
      </c>
      <c r="G206" s="36" t="n">
        <v>0</v>
      </c>
      <c r="H206" s="36" t="n">
        <v>102780</v>
      </c>
      <c r="I206" s="36" t="n">
        <v>105959</v>
      </c>
      <c r="J206" s="36" t="n">
        <v>29834.46565461404</v>
      </c>
      <c r="K206" s="36" t="n">
        <v>31944.03</v>
      </c>
      <c r="L206" s="37" t="n">
        <v>97303.92</v>
      </c>
      <c r="M206" s="36" t="n">
        <v>4309374.38511</v>
      </c>
      <c r="N206" s="37" t="n">
        <v>26894757.84</v>
      </c>
      <c r="O206" s="37" t="n">
        <v>26270.2379</v>
      </c>
      <c r="P206" s="37" t="n">
        <v>1351.9293</v>
      </c>
      <c r="Q206" s="36" t="n">
        <v>60089.2</v>
      </c>
      <c r="R206" s="37" t="n">
        <v>336000871.6998</v>
      </c>
      <c r="S206" s="37" t="n">
        <v>999667468.2579</v>
      </c>
      <c r="T206" s="38">
        <f>IF(OR(R206="",R205=""),"",R206-R205)</f>
        <v/>
      </c>
      <c r="U206" s="38">
        <f>IF(OR(S206="",S205=""),"",S206-S205)</f>
        <v/>
      </c>
      <c r="V206" s="38">
        <f>IF(OR(U206="",P206=""),"",U206+P206)</f>
        <v/>
      </c>
      <c r="W206" s="38">
        <f>IF(OR(T206="",O206="",P206=""),"",T206-O206+P206)</f>
        <v/>
      </c>
    </row>
    <row r="207">
      <c r="A207" s="30" t="n">
        <v>45861</v>
      </c>
      <c r="B207" s="36" t="n">
        <v>13920019812.41172</v>
      </c>
      <c r="C207" s="36" t="n">
        <v>465675371.4233123</v>
      </c>
      <c r="D207" s="36" t="n">
        <v>0</v>
      </c>
      <c r="E207" s="36" t="n">
        <v>4231130.14645</v>
      </c>
      <c r="F207" s="36" t="n">
        <v>0</v>
      </c>
      <c r="G207" s="36" t="n">
        <v>0</v>
      </c>
      <c r="H207" s="36" t="n">
        <v>96945</v>
      </c>
      <c r="I207" s="36" t="n">
        <v>99943</v>
      </c>
      <c r="J207" s="36" t="n">
        <v>22305.80969603184</v>
      </c>
      <c r="K207" s="36" t="n">
        <v>38232.91</v>
      </c>
      <c r="L207" s="37" t="n">
        <v>96327.11</v>
      </c>
      <c r="M207" s="36" t="n">
        <v>4231130.14645</v>
      </c>
      <c r="N207" s="37" t="n">
        <v>26980394.04</v>
      </c>
      <c r="O207" s="37" t="n">
        <v>26260.0077</v>
      </c>
      <c r="P207" s="37" t="n">
        <v>1567.0252</v>
      </c>
      <c r="Q207" s="36" t="n">
        <v>71576.23</v>
      </c>
      <c r="R207" s="37" t="n">
        <v>336010997.535</v>
      </c>
      <c r="S207" s="37" t="n">
        <v>999665901.2326</v>
      </c>
      <c r="T207" s="38">
        <f>IF(OR(R207="",R206=""),"",R207-R206)</f>
        <v/>
      </c>
      <c r="U207" s="38">
        <f>IF(OR(S207="",S206=""),"",S207-S206)</f>
        <v/>
      </c>
      <c r="V207" s="38">
        <f>IF(OR(U207="",P207=""),"",U207+P207)</f>
        <v/>
      </c>
      <c r="W207" s="38">
        <f>IF(OR(T207="",O207="",P207=""),"",T207-O207+P207)</f>
        <v/>
      </c>
    </row>
    <row r="208">
      <c r="A208" s="30" t="n">
        <v>45862</v>
      </c>
      <c r="B208" s="36" t="n">
        <v>13225484310.07906</v>
      </c>
      <c r="C208" s="36" t="n">
        <v>397759221.9502596</v>
      </c>
      <c r="D208" s="36" t="n">
        <v>0</v>
      </c>
      <c r="E208" s="36" t="n">
        <v>3649361.05445</v>
      </c>
      <c r="F208" s="36" t="n">
        <v>0</v>
      </c>
      <c r="G208" s="36" t="n">
        <v>0</v>
      </c>
      <c r="H208" s="36" t="n">
        <v>88469</v>
      </c>
      <c r="I208" s="36" t="n">
        <v>91205</v>
      </c>
      <c r="J208" s="36" t="n">
        <v>15704.90521626581</v>
      </c>
      <c r="K208" s="36" t="n">
        <v>61157.71</v>
      </c>
      <c r="L208" s="37" t="n">
        <v>85212.58</v>
      </c>
      <c r="M208" s="36" t="n">
        <v>3649361.05445</v>
      </c>
      <c r="N208" s="37" t="n">
        <v>27094232.14</v>
      </c>
      <c r="O208" s="37" t="n">
        <v>26273.1</v>
      </c>
      <c r="P208" s="37" t="n">
        <v>1495.0699</v>
      </c>
      <c r="Q208" s="36" t="n">
        <v>65208.97</v>
      </c>
      <c r="R208" s="37" t="n">
        <v>336021231.4487</v>
      </c>
      <c r="S208" s="37" t="n">
        <v>999664406.1627001</v>
      </c>
      <c r="T208" s="38">
        <f>IF(OR(R208="",R207=""),"",R208-R207)</f>
        <v/>
      </c>
      <c r="U208" s="38">
        <f>IF(OR(S208="",S207=""),"",S208-S207)</f>
        <v/>
      </c>
      <c r="V208" s="38">
        <f>IF(OR(U208="",P208=""),"",U208+P208)</f>
        <v/>
      </c>
      <c r="W208" s="38">
        <f>IF(OR(T208="",O208="",P208=""),"",T208-O208+P208)</f>
        <v/>
      </c>
    </row>
    <row r="209">
      <c r="A209" s="30" t="n">
        <v>45863</v>
      </c>
      <c r="B209" s="36" t="n">
        <v>15953353062.81947</v>
      </c>
      <c r="C209" s="36" t="n">
        <v>413143280.0136014</v>
      </c>
      <c r="D209" s="36" t="n">
        <v>0</v>
      </c>
      <c r="E209" s="36" t="n">
        <v>3875969.71215</v>
      </c>
      <c r="F209" s="36" t="n">
        <v>0</v>
      </c>
      <c r="G209" s="36" t="n">
        <v>0</v>
      </c>
      <c r="H209" s="36" t="n">
        <v>87695</v>
      </c>
      <c r="I209" s="36" t="n">
        <v>90407</v>
      </c>
      <c r="J209" s="36" t="n">
        <v>17068.72335907221</v>
      </c>
      <c r="K209" s="36" t="n">
        <v>0</v>
      </c>
      <c r="L209" s="37" t="n">
        <v>91651.09</v>
      </c>
      <c r="M209" s="36" t="n">
        <v>3875969.71215</v>
      </c>
      <c r="N209" s="37" t="n">
        <v>27194423.78</v>
      </c>
      <c r="O209" s="37" t="n">
        <v>26270.6827</v>
      </c>
      <c r="P209" s="37" t="n">
        <v>2080.4413</v>
      </c>
      <c r="Q209" s="36" t="n">
        <v>87022.78</v>
      </c>
      <c r="R209" s="37" t="n">
        <v>336030846.4841</v>
      </c>
      <c r="S209" s="37" t="n">
        <v>999662325.7214</v>
      </c>
      <c r="T209" s="38">
        <f>IF(OR(R209="",R208=""),"",R209-R208)</f>
        <v/>
      </c>
      <c r="U209" s="38">
        <f>IF(OR(S209="",S208=""),"",S209-S208)</f>
        <v/>
      </c>
      <c r="V209" s="38">
        <f>IF(OR(U209="",P209=""),"",U209+P209)</f>
        <v/>
      </c>
      <c r="W209" s="38">
        <f>IF(OR(T209="",O209="",P209=""),"",T209-O209+P209)</f>
        <v/>
      </c>
    </row>
    <row r="210">
      <c r="A210" s="30" t="n">
        <v>45864</v>
      </c>
      <c r="B210" s="36" t="n">
        <v>5698633537.275541</v>
      </c>
      <c r="C210" s="36" t="n">
        <v>235138334.1735499</v>
      </c>
      <c r="D210" s="36" t="n">
        <v>0</v>
      </c>
      <c r="E210" s="36" t="n">
        <v>2008190.47534</v>
      </c>
      <c r="F210" s="36" t="n">
        <v>0</v>
      </c>
      <c r="G210" s="36" t="n">
        <v>0</v>
      </c>
      <c r="H210" s="36" t="n">
        <v>49934</v>
      </c>
      <c r="I210" s="36" t="n">
        <v>51478</v>
      </c>
      <c r="J210" s="36" t="n">
        <v>9624.489324601454</v>
      </c>
      <c r="K210" s="36" t="n">
        <v>29566.6</v>
      </c>
      <c r="L210" s="37" t="n">
        <v>45480.69</v>
      </c>
      <c r="M210" s="36" t="n">
        <v>2008190.47534</v>
      </c>
      <c r="N210" s="37" t="n">
        <v>27257117.78</v>
      </c>
      <c r="O210" s="37" t="n">
        <v>26267.594</v>
      </c>
      <c r="P210" s="37" t="n">
        <v>620.5895</v>
      </c>
      <c r="Q210" s="36" t="n">
        <v>27269.63</v>
      </c>
      <c r="R210" s="37" t="n">
        <v>336041928.4141</v>
      </c>
      <c r="S210" s="37" t="n">
        <v>999661705.1319</v>
      </c>
      <c r="T210" s="38">
        <f>IF(OR(R210="",R209=""),"",R210-R209)</f>
        <v/>
      </c>
      <c r="U210" s="38">
        <f>IF(OR(S210="",S209=""),"",S210-S209)</f>
        <v/>
      </c>
      <c r="V210" s="38">
        <f>IF(OR(U210="",P210=""),"",U210+P210)</f>
        <v/>
      </c>
      <c r="W210" s="38">
        <f>IF(OR(T210="",O210="",P210=""),"",T210-O210+P210)</f>
        <v/>
      </c>
    </row>
    <row r="211">
      <c r="A211" s="30" t="n">
        <v>45865</v>
      </c>
      <c r="B211" s="36" t="n">
        <v>7413250946.811219</v>
      </c>
      <c r="C211" s="36" t="n">
        <v>277162323.0870966</v>
      </c>
      <c r="D211" s="36" t="n">
        <v>0</v>
      </c>
      <c r="E211" s="36" t="n">
        <v>2122051.78256</v>
      </c>
      <c r="F211" s="36" t="n">
        <v>0</v>
      </c>
      <c r="G211" s="36" t="n">
        <v>0</v>
      </c>
      <c r="H211" s="36" t="n">
        <v>61525</v>
      </c>
      <c r="I211" s="36" t="n">
        <v>63428</v>
      </c>
      <c r="J211" s="36" t="n">
        <v>9811.180749259762</v>
      </c>
      <c r="K211" s="36" t="n">
        <v>0</v>
      </c>
      <c r="L211" s="37" t="n">
        <v>48885.03</v>
      </c>
      <c r="M211" s="36" t="n">
        <v>2122051.78256</v>
      </c>
      <c r="N211" s="37" t="n">
        <v>27288584.56</v>
      </c>
      <c r="O211" s="37" t="n">
        <v>26273.9549</v>
      </c>
      <c r="P211" s="37" t="n">
        <v>1027.789</v>
      </c>
      <c r="Q211" s="36" t="n">
        <v>44634.3</v>
      </c>
      <c r="R211" s="37" t="n">
        <v>336052628.599</v>
      </c>
      <c r="S211" s="37" t="n">
        <v>999660677.3429</v>
      </c>
      <c r="T211" s="38">
        <f>IF(OR(R211="",R210=""),"",R211-R210)</f>
        <v/>
      </c>
      <c r="U211" s="38">
        <f>IF(OR(S211="",S210=""),"",S211-S210)</f>
        <v/>
      </c>
      <c r="V211" s="38">
        <f>IF(OR(U211="",P211=""),"",U211+P211)</f>
        <v/>
      </c>
      <c r="W211" s="38">
        <f>IF(OR(T211="",O211="",P211=""),"",T211-O211+P211)</f>
        <v/>
      </c>
    </row>
    <row r="212">
      <c r="A212" s="30" t="n">
        <v>45866</v>
      </c>
      <c r="B212" s="36" t="n">
        <v>12436414976.15904</v>
      </c>
      <c r="C212" s="36" t="n">
        <v>460399033.7312332</v>
      </c>
      <c r="D212" s="36" t="n">
        <v>0</v>
      </c>
      <c r="E212" s="36" t="n">
        <v>3328771.12294</v>
      </c>
      <c r="F212" s="36" t="n">
        <v>0</v>
      </c>
      <c r="G212" s="36" t="n">
        <v>0</v>
      </c>
      <c r="H212" s="36" t="n">
        <v>92959</v>
      </c>
      <c r="I212" s="36" t="n">
        <v>95834</v>
      </c>
      <c r="J212" s="36" t="n">
        <v>41455.00848448902</v>
      </c>
      <c r="K212" s="36" t="n">
        <v>24999.41</v>
      </c>
      <c r="L212" s="37" t="n">
        <v>74785.14999999999</v>
      </c>
      <c r="M212" s="36" t="n">
        <v>3328771.12294</v>
      </c>
      <c r="N212" s="37" t="n">
        <v>27345959.54</v>
      </c>
      <c r="O212" s="37" t="n">
        <v>25503.8166</v>
      </c>
      <c r="P212" s="37" t="n">
        <v>415.4104</v>
      </c>
      <c r="Q212" s="36" t="n">
        <v>18184.18</v>
      </c>
      <c r="R212" s="37" t="n">
        <v>336063577.5727</v>
      </c>
      <c r="S212" s="37" t="n">
        <v>999660261.9325</v>
      </c>
      <c r="T212" s="38">
        <f>IF(OR(R212="",R211=""),"",R212-R211)</f>
        <v/>
      </c>
      <c r="U212" s="38">
        <f>IF(OR(S212="",S211=""),"",S212-S211)</f>
        <v/>
      </c>
      <c r="V212" s="38">
        <f>IF(OR(U212="",P212=""),"",U212+P212)</f>
        <v/>
      </c>
      <c r="W212" s="38">
        <f>IF(OR(T212="",O212="",P212=""),"",T212-O212+P212)</f>
        <v/>
      </c>
    </row>
    <row r="213">
      <c r="A213" s="30" t="n">
        <v>45867</v>
      </c>
      <c r="B213" s="36" t="n">
        <v>11467327116.61715</v>
      </c>
      <c r="C213" s="36" t="n">
        <v>429337829.5767714</v>
      </c>
      <c r="D213" s="36" t="n">
        <v>0</v>
      </c>
      <c r="E213" s="36" t="n">
        <v>3117194.3948</v>
      </c>
      <c r="F213" s="36" t="n">
        <v>0</v>
      </c>
      <c r="G213" s="36" t="n">
        <v>0</v>
      </c>
      <c r="H213" s="36" t="n">
        <v>86781</v>
      </c>
      <c r="I213" s="36" t="n">
        <v>89465</v>
      </c>
      <c r="J213" s="36" t="n">
        <v>33339.7111656936</v>
      </c>
      <c r="K213" s="36" t="n">
        <v>30412.84</v>
      </c>
      <c r="L213" s="37" t="n">
        <v>71034.64999999999</v>
      </c>
      <c r="M213" s="36" t="n">
        <v>3117194.3948</v>
      </c>
      <c r="N213" s="37" t="n">
        <v>27416511.56</v>
      </c>
      <c r="O213" s="37" t="n">
        <v>26215.6556</v>
      </c>
      <c r="P213" s="37" t="n">
        <v>1482.5447</v>
      </c>
      <c r="Q213" s="36" t="n">
        <v>65295.72</v>
      </c>
      <c r="R213" s="37" t="n">
        <v>336073783.4021</v>
      </c>
      <c r="S213" s="37" t="n">
        <v>999658779.3877</v>
      </c>
      <c r="T213" s="38">
        <f>IF(OR(R213="",R212=""),"",R213-R212)</f>
        <v/>
      </c>
      <c r="U213" s="38">
        <f>IF(OR(S213="",S212=""),"",S213-S212)</f>
        <v/>
      </c>
      <c r="V213" s="38">
        <f>IF(OR(U213="",P213=""),"",U213+P213)</f>
        <v/>
      </c>
      <c r="W213" s="38">
        <f>IF(OR(T213="",O213="",P213=""),"",T213-O213+P213)</f>
        <v/>
      </c>
    </row>
    <row r="214">
      <c r="A214" s="30" t="n">
        <v>45868</v>
      </c>
      <c r="B214" s="36" t="n">
        <v>10174615682.51146</v>
      </c>
      <c r="C214" s="36" t="n">
        <v>420443327.5599376</v>
      </c>
      <c r="D214" s="36" t="n">
        <v>0</v>
      </c>
      <c r="E214" s="36" t="n">
        <v>2705475.10854</v>
      </c>
      <c r="F214" s="36" t="n">
        <v>0</v>
      </c>
      <c r="G214" s="36" t="n">
        <v>0</v>
      </c>
      <c r="H214" s="36" t="n">
        <v>92539</v>
      </c>
      <c r="I214" s="36" t="n">
        <v>95401</v>
      </c>
      <c r="J214" s="36" t="n">
        <v>21389.53545005571</v>
      </c>
      <c r="K214" s="36" t="n">
        <v>33602.85</v>
      </c>
      <c r="L214" s="37" t="n">
        <v>63587.22</v>
      </c>
      <c r="M214" s="36" t="n">
        <v>2705475.10854</v>
      </c>
      <c r="N214" s="37" t="n">
        <v>27487010.24</v>
      </c>
      <c r="O214" s="37" t="n">
        <v>26279.9993</v>
      </c>
      <c r="P214" s="37" t="n">
        <v>1630.932</v>
      </c>
      <c r="Q214" s="36" t="n">
        <v>70797.13</v>
      </c>
      <c r="R214" s="37" t="n">
        <v>336083914.986</v>
      </c>
      <c r="S214" s="37" t="n">
        <v>999657148.4558001</v>
      </c>
      <c r="T214" s="38">
        <f>IF(OR(R214="",R213=""),"",R214-R213)</f>
        <v/>
      </c>
      <c r="U214" s="38">
        <f>IF(OR(S214="",S213=""),"",S214-S213)</f>
        <v/>
      </c>
      <c r="V214" s="38">
        <f>IF(OR(U214="",P214=""),"",U214+P214)</f>
        <v/>
      </c>
      <c r="W214" s="38">
        <f>IF(OR(T214="",O214="",P214=""),"",T214-O214+P214)</f>
        <v/>
      </c>
    </row>
    <row r="215">
      <c r="A215" s="30" t="n">
        <v>45869</v>
      </c>
      <c r="B215" s="36" t="n">
        <v>11403174318.78286</v>
      </c>
      <c r="C215" s="36" t="n">
        <v>511510492.2166022</v>
      </c>
      <c r="D215" s="36" t="n">
        <v>0</v>
      </c>
      <c r="E215" s="36" t="n">
        <v>3164904.28337</v>
      </c>
      <c r="F215" s="36" t="n">
        <v>0</v>
      </c>
      <c r="G215" s="36" t="n">
        <v>0</v>
      </c>
      <c r="H215" s="36" t="n">
        <v>112557</v>
      </c>
      <c r="I215" s="36" t="n">
        <v>116038</v>
      </c>
      <c r="J215" s="36" t="n">
        <v>24945.57760686526</v>
      </c>
      <c r="K215" s="36" t="n">
        <v>0</v>
      </c>
      <c r="L215" s="37" t="n">
        <v>74193.64999999999</v>
      </c>
      <c r="M215" s="36" t="n">
        <v>3164904.28337</v>
      </c>
      <c r="N215" s="37" t="n">
        <v>27552679.16</v>
      </c>
      <c r="O215" s="37" t="n">
        <v>26380.5006</v>
      </c>
      <c r="P215" s="37" t="n">
        <v>1477.7298</v>
      </c>
      <c r="Q215" s="36" t="n">
        <v>62378.67</v>
      </c>
      <c r="R215" s="37" t="n">
        <v>336094305.3084</v>
      </c>
      <c r="S215" s="37" t="n">
        <v>999655670.7259001</v>
      </c>
      <c r="T215" s="38">
        <f>IF(OR(R215="",R214=""),"",R215-R214)</f>
        <v/>
      </c>
      <c r="U215" s="38">
        <f>IF(OR(S215="",S214=""),"",S215-S214)</f>
        <v/>
      </c>
      <c r="V215" s="38">
        <f>IF(OR(U215="",P215=""),"",U215+P215)</f>
        <v/>
      </c>
      <c r="W215" s="38">
        <f>IF(OR(T215="",O215="",P215=""),"",T215-O215+P215)</f>
        <v/>
      </c>
    </row>
    <row r="216">
      <c r="A216" s="30" t="n">
        <v>45870</v>
      </c>
      <c r="B216" s="36" t="n">
        <v>18380818442.57787</v>
      </c>
      <c r="C216" s="36" t="n">
        <v>582897037.5452373</v>
      </c>
      <c r="D216" s="36" t="n">
        <v>0</v>
      </c>
      <c r="E216" s="36" t="n">
        <v>4693953.32472</v>
      </c>
      <c r="F216" s="36" t="n">
        <v>0</v>
      </c>
      <c r="G216" s="36" t="n">
        <v>0</v>
      </c>
      <c r="H216" s="36" t="n">
        <v>175624</v>
      </c>
      <c r="I216" s="36" t="n">
        <v>230825</v>
      </c>
      <c r="J216" s="36" t="n">
        <v>45397.82282918472</v>
      </c>
      <c r="K216" s="36" t="n">
        <v>20451.21</v>
      </c>
      <c r="L216" s="37" t="n">
        <v>120637.42</v>
      </c>
      <c r="M216" s="36" t="n">
        <v>4693953.32472</v>
      </c>
      <c r="N216" s="37" t="n">
        <v>27649852.82</v>
      </c>
      <c r="O216" s="37" t="n">
        <v>26361.4326</v>
      </c>
      <c r="P216" s="37" t="n">
        <v>1012.4622</v>
      </c>
      <c r="Q216" s="36" t="n">
        <v>40842.22</v>
      </c>
      <c r="R216" s="37" t="n">
        <v>336105173.4095</v>
      </c>
      <c r="S216" s="37" t="n">
        <v>999654658.2638</v>
      </c>
      <c r="T216" s="38">
        <f>IF(OR(R216="",R215=""),"",R216-R215)</f>
        <v/>
      </c>
      <c r="U216" s="38">
        <f>IF(OR(S216="",S215=""),"",S216-S215)</f>
        <v/>
      </c>
      <c r="V216" s="38">
        <f>IF(OR(U216="",P216=""),"",U216+P216)</f>
        <v/>
      </c>
      <c r="W216" s="38">
        <f>IF(OR(T216="",O216="",P216=""),"",T216-O216+P216)</f>
        <v/>
      </c>
    </row>
    <row r="217">
      <c r="A217" s="30" t="n">
        <v>45871</v>
      </c>
      <c r="B217" s="36" t="n">
        <v>8441327240.046515</v>
      </c>
      <c r="C217" s="36" t="n">
        <v>279006045.8205063</v>
      </c>
      <c r="D217" s="36" t="n">
        <v>0</v>
      </c>
      <c r="E217" s="36" t="n">
        <v>2317465.07313</v>
      </c>
      <c r="F217" s="36" t="n">
        <v>0</v>
      </c>
      <c r="G217" s="36" t="n">
        <v>0</v>
      </c>
      <c r="H217" s="36" t="n">
        <v>86900</v>
      </c>
      <c r="I217" s="36" t="n">
        <v>114760</v>
      </c>
      <c r="J217" s="36" t="n">
        <v>14020.20642849904</v>
      </c>
      <c r="K217" s="36" t="n">
        <v>0</v>
      </c>
      <c r="L217" s="37" t="n">
        <v>62168.17</v>
      </c>
      <c r="M217" s="36" t="n">
        <v>2317465.07313</v>
      </c>
      <c r="N217" s="37" t="n">
        <v>27747374.36</v>
      </c>
      <c r="O217" s="37" t="n">
        <v>26277.6015</v>
      </c>
      <c r="P217" s="37" t="n">
        <v>1602.8112</v>
      </c>
      <c r="Q217" s="36" t="n">
        <v>60262.49</v>
      </c>
      <c r="R217" s="37" t="n">
        <v>336115356.5023</v>
      </c>
      <c r="S217" s="37" t="n">
        <v>999653055.4526</v>
      </c>
      <c r="T217" s="38">
        <f>IF(OR(R217="",R216=""),"",R217-R216)</f>
        <v/>
      </c>
      <c r="U217" s="38">
        <f>IF(OR(S217="",S216=""),"",S217-S216)</f>
        <v/>
      </c>
      <c r="V217" s="38">
        <f>IF(OR(U217="",P217=""),"",U217+P217)</f>
        <v/>
      </c>
      <c r="W217" s="38">
        <f>IF(OR(T217="",O217="",P217=""),"",T217-O217+P217)</f>
        <v/>
      </c>
    </row>
    <row r="218">
      <c r="A218" s="30" t="n">
        <v>45872</v>
      </c>
      <c r="B218" s="36" t="n">
        <v>5841208708.800244</v>
      </c>
      <c r="C218" s="36" t="n">
        <v>209546089.8780509</v>
      </c>
      <c r="D218" s="36" t="n">
        <v>0</v>
      </c>
      <c r="E218" s="36" t="n">
        <v>1580317.95475</v>
      </c>
      <c r="F218" s="36" t="n">
        <v>0</v>
      </c>
      <c r="G218" s="36" t="n">
        <v>0</v>
      </c>
      <c r="H218" s="36" t="n">
        <v>69200</v>
      </c>
      <c r="I218" s="36" t="n">
        <v>90506</v>
      </c>
      <c r="J218" s="36" t="n">
        <v>10035.7450083736</v>
      </c>
      <c r="K218" s="36" t="n">
        <v>0</v>
      </c>
      <c r="L218" s="37" t="n">
        <v>41619.99</v>
      </c>
      <c r="M218" s="36" t="n">
        <v>1580317.95475</v>
      </c>
      <c r="N218" s="37" t="n">
        <v>27805030.63</v>
      </c>
      <c r="O218" s="37" t="n">
        <v>26043.8984</v>
      </c>
      <c r="P218" s="37" t="n">
        <v>723.8625</v>
      </c>
      <c r="Q218" s="36" t="n">
        <v>26714.51</v>
      </c>
      <c r="R218" s="37" t="n">
        <v>336126245.1038</v>
      </c>
      <c r="S218" s="37" t="n">
        <v>999652331.5901</v>
      </c>
      <c r="T218" s="38">
        <f>IF(OR(R218="",R217=""),"",R218-R217)</f>
        <v/>
      </c>
      <c r="U218" s="38">
        <f>IF(OR(S218="",S217=""),"",S218-S217)</f>
        <v/>
      </c>
      <c r="V218" s="38">
        <f>IF(OR(U218="",P218=""),"",U218+P218)</f>
        <v/>
      </c>
      <c r="W218" s="38">
        <f>IF(OR(T218="",O218="",P218=""),"",T218-O218+P218)</f>
        <v/>
      </c>
    </row>
    <row r="219">
      <c r="A219" s="30" t="n">
        <v>45873</v>
      </c>
      <c r="B219" s="36" t="n">
        <v>9314089950.947948</v>
      </c>
      <c r="C219" s="36" t="n">
        <v>261203946.6003131</v>
      </c>
      <c r="D219" s="36" t="n">
        <v>0</v>
      </c>
      <c r="E219" s="36" t="n">
        <v>2447194.85482</v>
      </c>
      <c r="F219" s="36" t="n">
        <v>0</v>
      </c>
      <c r="G219" s="36" t="n">
        <v>0</v>
      </c>
      <c r="H219" s="36" t="n">
        <v>75818</v>
      </c>
      <c r="I219" s="36" t="n">
        <v>106473</v>
      </c>
      <c r="J219" s="36" t="n">
        <v>27129.21538327852</v>
      </c>
      <c r="K219" s="36" t="n">
        <v>19109.93</v>
      </c>
      <c r="L219" s="37" t="n">
        <v>63755.37</v>
      </c>
      <c r="M219" s="36" t="n">
        <v>2447194.85482</v>
      </c>
      <c r="N219" s="37" t="n">
        <v>27844267.3</v>
      </c>
      <c r="O219" s="37" t="n">
        <v>26395.5924</v>
      </c>
      <c r="P219" s="37" t="n">
        <v>552.175</v>
      </c>
      <c r="Q219" s="36" t="n">
        <v>21040.9</v>
      </c>
      <c r="R219" s="37" t="n">
        <v>336137623.2757</v>
      </c>
      <c r="S219" s="37" t="n">
        <v>999651779.4151</v>
      </c>
      <c r="T219" s="38">
        <f>IF(OR(R219="",R218=""),"",R219-R218)</f>
        <v/>
      </c>
      <c r="U219" s="38">
        <f>IF(OR(S219="",S218=""),"",S219-S218)</f>
        <v/>
      </c>
      <c r="V219" s="38">
        <f>IF(OR(U219="",P219=""),"",U219+P219)</f>
        <v/>
      </c>
      <c r="W219" s="38">
        <f>IF(OR(T219="",O219="",P219=""),"",T219-O219+P219)</f>
        <v/>
      </c>
    </row>
    <row r="220">
      <c r="A220" s="30" t="n">
        <v>45874</v>
      </c>
      <c r="B220" s="36" t="n">
        <v>9775208827.431736</v>
      </c>
      <c r="C220" s="36" t="n">
        <v>291833981.6980531</v>
      </c>
      <c r="D220" s="36" t="n">
        <v>0</v>
      </c>
      <c r="E220" s="36" t="n">
        <v>2546392.65031</v>
      </c>
      <c r="F220" s="36" t="n">
        <v>0</v>
      </c>
      <c r="G220" s="36" t="n">
        <v>0</v>
      </c>
      <c r="H220" s="36" t="n">
        <v>90076</v>
      </c>
      <c r="I220" s="36" t="n">
        <v>121622</v>
      </c>
      <c r="J220" s="36" t="n">
        <v>17386.94442128533</v>
      </c>
      <c r="K220" s="36" t="n">
        <v>0</v>
      </c>
      <c r="L220" s="37" t="n">
        <v>65794.39</v>
      </c>
      <c r="M220" s="36" t="n">
        <v>2546392.65031</v>
      </c>
      <c r="N220" s="37" t="n">
        <v>27913180.98</v>
      </c>
      <c r="O220" s="37" t="n">
        <v>26389.5639</v>
      </c>
      <c r="P220" s="37" t="n">
        <v>1060.8068</v>
      </c>
      <c r="Q220" s="36" t="n">
        <v>41008.67</v>
      </c>
      <c r="R220" s="37" t="n">
        <v>336148457.9052</v>
      </c>
      <c r="S220" s="37" t="n">
        <v>999650718.6083</v>
      </c>
      <c r="T220" s="38">
        <f>IF(OR(R220="",R219=""),"",R220-R219)</f>
        <v/>
      </c>
      <c r="U220" s="38">
        <f>IF(OR(S220="",S219=""),"",S220-S219)</f>
        <v/>
      </c>
      <c r="V220" s="38">
        <f>IF(OR(U220="",P220=""),"",U220+P220)</f>
        <v/>
      </c>
      <c r="W220" s="38">
        <f>IF(OR(T220="",O220="",P220=""),"",T220-O220+P220)</f>
        <v/>
      </c>
    </row>
    <row r="221">
      <c r="A221" s="30" t="n">
        <v>45875</v>
      </c>
      <c r="B221" s="36" t="n">
        <v>7858359162.903938</v>
      </c>
      <c r="C221" s="36" t="n">
        <v>218660206.8294639</v>
      </c>
      <c r="D221" s="36" t="n">
        <v>0</v>
      </c>
      <c r="E221" s="36" t="n">
        <v>2103705.59875</v>
      </c>
      <c r="F221" s="36" t="n">
        <v>0</v>
      </c>
      <c r="G221" s="36" t="n">
        <v>0</v>
      </c>
      <c r="H221" s="36" t="n">
        <v>71671</v>
      </c>
      <c r="I221" s="36" t="n">
        <v>97146</v>
      </c>
      <c r="J221" s="36" t="n">
        <v>12721.08790941294</v>
      </c>
      <c r="K221" s="36" t="n">
        <v>19580.67</v>
      </c>
      <c r="L221" s="37" t="n">
        <v>55381.01</v>
      </c>
      <c r="M221" s="36" t="n">
        <v>2103705.59875</v>
      </c>
      <c r="N221" s="37" t="n">
        <v>27977594.07</v>
      </c>
      <c r="O221" s="37" t="n">
        <v>26366.1775</v>
      </c>
      <c r="P221" s="37" t="n">
        <v>684.0744999999999</v>
      </c>
      <c r="Q221" s="36" t="n">
        <v>26247.25</v>
      </c>
      <c r="R221" s="37" t="n">
        <v>336159629.0494</v>
      </c>
      <c r="S221" s="37" t="n">
        <v>999650034.5339</v>
      </c>
      <c r="T221" s="38">
        <f>IF(OR(R221="",R220=""),"",R221-R220)</f>
        <v/>
      </c>
      <c r="U221" s="38">
        <f>IF(OR(S221="",S220=""),"",S221-S220)</f>
        <v/>
      </c>
      <c r="V221" s="38">
        <f>IF(OR(U221="",P221=""),"",U221+P221)</f>
        <v/>
      </c>
      <c r="W221" s="38">
        <f>IF(OR(T221="",O221="",P221=""),"",T221-O221+P221)</f>
        <v/>
      </c>
    </row>
    <row r="222">
      <c r="A222" s="30" t="n">
        <v>45876</v>
      </c>
      <c r="B222" s="36" t="n">
        <v>10373151278.31898</v>
      </c>
      <c r="C222" s="36" t="n">
        <v>273927931.5841435</v>
      </c>
      <c r="D222" s="36" t="n">
        <v>0</v>
      </c>
      <c r="E222" s="36" t="n">
        <v>2329278.74838</v>
      </c>
      <c r="F222" s="36" t="n">
        <v>0</v>
      </c>
      <c r="G222" s="36" t="n">
        <v>0</v>
      </c>
      <c r="H222" s="36" t="n">
        <v>85404</v>
      </c>
      <c r="I222" s="36" t="n">
        <v>115340</v>
      </c>
      <c r="J222" s="36" t="n">
        <v>13071.87321151455</v>
      </c>
      <c r="K222" s="36" t="n">
        <v>19034.52</v>
      </c>
      <c r="L222" s="37" t="n">
        <v>59747.11</v>
      </c>
      <c r="M222" s="36" t="n">
        <v>2329278.74838</v>
      </c>
      <c r="N222" s="37" t="n">
        <v>28025314.57</v>
      </c>
      <c r="O222" s="37" t="n">
        <v>26362.4824</v>
      </c>
      <c r="P222" s="37" t="n">
        <v>952.0636</v>
      </c>
      <c r="Q222" s="36" t="n">
        <v>36204.6</v>
      </c>
      <c r="R222" s="37" t="n">
        <v>336170544.5344</v>
      </c>
      <c r="S222" s="37" t="n">
        <v>999649082.4703</v>
      </c>
      <c r="T222" s="38">
        <f>IF(OR(R222="",R221=""),"",R222-R221)</f>
        <v/>
      </c>
      <c r="U222" s="38">
        <f>IF(OR(S222="",S221=""),"",S222-S221)</f>
        <v/>
      </c>
      <c r="V222" s="38">
        <f>IF(OR(U222="",P222=""),"",U222+P222)</f>
        <v/>
      </c>
      <c r="W222" s="38">
        <f>IF(OR(T222="",O222="",P222=""),"",T222-O222+P222)</f>
        <v/>
      </c>
    </row>
    <row r="223">
      <c r="A223" s="30" t="n">
        <v>45877</v>
      </c>
      <c r="B223" s="36" t="n">
        <v>11308035796.91068</v>
      </c>
      <c r="C223" s="36" t="n">
        <v>280145100.7489918</v>
      </c>
      <c r="D223" s="36" t="n">
        <v>0</v>
      </c>
      <c r="E223" s="36" t="n">
        <v>3491806.81434</v>
      </c>
      <c r="F223" s="36" t="n">
        <v>0</v>
      </c>
      <c r="G223" s="36" t="n">
        <v>0</v>
      </c>
      <c r="H223" s="36" t="n">
        <v>82659</v>
      </c>
      <c r="I223" s="36" t="n">
        <v>116628</v>
      </c>
      <c r="J223" s="36" t="n">
        <v>11956.39401788876</v>
      </c>
      <c r="K223" s="36" t="n">
        <v>0</v>
      </c>
      <c r="L223" s="37" t="n">
        <v>85296.85000000001</v>
      </c>
      <c r="M223" s="36" t="n">
        <v>3491806.81434</v>
      </c>
      <c r="N223" s="37" t="n">
        <v>28111519.57</v>
      </c>
      <c r="O223" s="37" t="n">
        <v>26396.2943</v>
      </c>
      <c r="P223" s="37" t="n">
        <v>1277.2851</v>
      </c>
      <c r="Q223" s="36" t="n">
        <v>52192.42</v>
      </c>
      <c r="R223" s="37" t="n">
        <v>336181145.2618</v>
      </c>
      <c r="S223" s="37" t="n">
        <v>999647805.1852</v>
      </c>
      <c r="T223" s="38">
        <f>IF(OR(R223="",R222=""),"",R223-R222)</f>
        <v/>
      </c>
      <c r="U223" s="38">
        <f>IF(OR(S223="",S222=""),"",S223-S222)</f>
        <v/>
      </c>
      <c r="V223" s="38">
        <f>IF(OR(U223="",P223=""),"",U223+P223)</f>
        <v/>
      </c>
      <c r="W223" s="38">
        <f>IF(OR(T223="",O223="",P223=""),"",T223-O223+P223)</f>
        <v/>
      </c>
    </row>
    <row r="224">
      <c r="A224" s="30" t="n">
        <v>45878</v>
      </c>
      <c r="B224" s="36" t="n">
        <v>10137348599.56834</v>
      </c>
      <c r="C224" s="36" t="n">
        <v>343946145.3351248</v>
      </c>
      <c r="D224" s="36" t="n">
        <v>0</v>
      </c>
      <c r="E224" s="36" t="n">
        <v>2854886.42061</v>
      </c>
      <c r="F224" s="36" t="n">
        <v>0</v>
      </c>
      <c r="G224" s="36" t="n">
        <v>0</v>
      </c>
      <c r="H224" s="36" t="n">
        <v>107206</v>
      </c>
      <c r="I224" s="36" t="n">
        <v>148257</v>
      </c>
      <c r="J224" s="36" t="n">
        <v>14264.23914080895</v>
      </c>
      <c r="K224" s="36" t="n">
        <v>24963.92</v>
      </c>
      <c r="L224" s="37" t="n">
        <v>66407.03</v>
      </c>
      <c r="M224" s="36" t="n">
        <v>2854886.42061</v>
      </c>
      <c r="N224" s="37" t="n">
        <v>28221636.38</v>
      </c>
      <c r="O224" s="37" t="n">
        <v>26363.757</v>
      </c>
      <c r="P224" s="37" t="n">
        <v>584.8424</v>
      </c>
      <c r="Q224" s="36" t="n">
        <v>23944.62</v>
      </c>
      <c r="R224" s="37" t="n">
        <v>336192428.3381</v>
      </c>
      <c r="S224" s="37" t="n">
        <v>999647220.3428</v>
      </c>
      <c r="T224" s="38">
        <f>IF(OR(R224="",R223=""),"",R224-R223)</f>
        <v/>
      </c>
      <c r="U224" s="38">
        <f>IF(OR(S224="",S223=""),"",S224-S223)</f>
        <v/>
      </c>
      <c r="V224" s="38">
        <f>IF(OR(U224="",P224=""),"",U224+P224)</f>
        <v/>
      </c>
      <c r="W224" s="38">
        <f>IF(OR(T224="",O224="",P224=""),"",T224-O224+P224)</f>
        <v/>
      </c>
    </row>
    <row r="225">
      <c r="A225" s="30" t="n">
        <v>45879</v>
      </c>
      <c r="B225" s="36" t="n">
        <v>9805998920.343033</v>
      </c>
      <c r="C225" s="36" t="n">
        <v>244549175.5437262</v>
      </c>
      <c r="D225" s="36" t="n">
        <v>0</v>
      </c>
      <c r="E225" s="36" t="n">
        <v>2616564.70131</v>
      </c>
      <c r="F225" s="36" t="n">
        <v>0</v>
      </c>
      <c r="G225" s="36" t="n">
        <v>0</v>
      </c>
      <c r="H225" s="36" t="n">
        <v>86249</v>
      </c>
      <c r="I225" s="36" t="n">
        <v>121824</v>
      </c>
      <c r="J225" s="36" t="n">
        <v>8521.677875704803</v>
      </c>
      <c r="K225" s="36" t="n">
        <v>0</v>
      </c>
      <c r="L225" s="37" t="n">
        <v>59071.34</v>
      </c>
      <c r="M225" s="36" t="n">
        <v>2616564.70131</v>
      </c>
      <c r="N225" s="37" t="n">
        <v>28288043.41</v>
      </c>
      <c r="O225" s="37" t="n">
        <v>26141.3602</v>
      </c>
      <c r="P225" s="37" t="n">
        <v>1317.9291</v>
      </c>
      <c r="Q225" s="36" t="n">
        <v>57741.77</v>
      </c>
      <c r="R225" s="37" t="n">
        <v>336202828.0561</v>
      </c>
      <c r="S225" s="37" t="n">
        <v>999645902.4138</v>
      </c>
      <c r="T225" s="38">
        <f>IF(OR(R225="",R224=""),"",R225-R224)</f>
        <v/>
      </c>
      <c r="U225" s="38">
        <f>IF(OR(S225="",S224=""),"",S225-S224)</f>
        <v/>
      </c>
      <c r="V225" s="38">
        <f>IF(OR(U225="",P225=""),"",U225+P225)</f>
        <v/>
      </c>
      <c r="W225" s="38">
        <f>IF(OR(T225="",O225="",P225=""),"",T225-O225+P225)</f>
        <v/>
      </c>
    </row>
    <row r="226">
      <c r="A226" s="30" t="n">
        <v>45880</v>
      </c>
      <c r="B226" s="36" t="n">
        <v>16607625784.39066</v>
      </c>
      <c r="C226" s="36" t="n">
        <v>427606412.6355898</v>
      </c>
      <c r="D226" s="36" t="n">
        <v>0</v>
      </c>
      <c r="E226" s="36" t="n">
        <v>4537056.47795</v>
      </c>
      <c r="F226" s="36" t="n">
        <v>0</v>
      </c>
      <c r="G226" s="36" t="n">
        <v>0</v>
      </c>
      <c r="H226" s="36" t="n">
        <v>146784</v>
      </c>
      <c r="I226" s="36" t="n">
        <v>199959</v>
      </c>
      <c r="J226" s="36" t="n">
        <v>23994.24089334988</v>
      </c>
      <c r="K226" s="36" t="n">
        <v>23212.42</v>
      </c>
      <c r="L226" s="37" t="n">
        <v>101216.76</v>
      </c>
      <c r="M226" s="36" t="n">
        <v>4537056.47795</v>
      </c>
      <c r="N226" s="37" t="n">
        <v>28388988.26</v>
      </c>
      <c r="O226" s="37" t="n">
        <v>26376.4255</v>
      </c>
      <c r="P226" s="37" t="n">
        <v>416.7786</v>
      </c>
      <c r="Q226" s="36" t="n">
        <v>18847.35</v>
      </c>
      <c r="R226" s="37" t="n">
        <v>336214300.0586</v>
      </c>
      <c r="S226" s="37" t="n">
        <v>999645485.6352</v>
      </c>
      <c r="T226" s="38">
        <f>IF(OR(R226="",R225=""),"",R226-R225)</f>
        <v/>
      </c>
      <c r="U226" s="38">
        <f>IF(OR(S226="",S225=""),"",S226-S225)</f>
        <v/>
      </c>
      <c r="V226" s="38">
        <f>IF(OR(U226="",P226=""),"",U226+P226)</f>
        <v/>
      </c>
      <c r="W226" s="38">
        <f>IF(OR(T226="",O226="",P226=""),"",T226-O226+P226)</f>
        <v/>
      </c>
    </row>
    <row r="227">
      <c r="A227" s="30" t="n">
        <v>45881</v>
      </c>
      <c r="B227" s="36" t="n">
        <v>16065474194.3346</v>
      </c>
      <c r="C227" s="36" t="n">
        <v>451736526.657743</v>
      </c>
      <c r="D227" s="36" t="n">
        <v>0</v>
      </c>
      <c r="E227" s="36" t="n">
        <v>4441446.21351</v>
      </c>
      <c r="F227" s="36" t="n">
        <v>0</v>
      </c>
      <c r="G227" s="36" t="n">
        <v>0</v>
      </c>
      <c r="H227" s="36" t="n">
        <v>166903</v>
      </c>
      <c r="I227" s="36" t="n">
        <v>233886</v>
      </c>
      <c r="J227" s="36" t="n">
        <v>30295.03824612783</v>
      </c>
      <c r="K227" s="36" t="n">
        <v>22178.89</v>
      </c>
      <c r="L227" s="37" t="n">
        <v>100791.05</v>
      </c>
      <c r="M227" s="36" t="n">
        <v>4441446.21351</v>
      </c>
      <c r="N227" s="37" t="n">
        <v>28489779.31</v>
      </c>
      <c r="O227" s="37" t="n">
        <v>26426.8902</v>
      </c>
      <c r="P227" s="37" t="n">
        <v>1293.1775</v>
      </c>
      <c r="Q227" s="36" t="n">
        <v>55804.49</v>
      </c>
      <c r="R227" s="37" t="n">
        <v>336224956.6297</v>
      </c>
      <c r="S227" s="37" t="n">
        <v>999644192.4577</v>
      </c>
      <c r="T227" s="38">
        <f>IF(OR(R227="",R226=""),"",R227-R226)</f>
        <v/>
      </c>
      <c r="U227" s="38">
        <f>IF(OR(S227="",S226=""),"",S227-S226)</f>
        <v/>
      </c>
      <c r="V227" s="38">
        <f>IF(OR(U227="",P227=""),"",U227+P227)</f>
        <v/>
      </c>
      <c r="W227" s="38">
        <f>IF(OR(T227="",O227="",P227=""),"",T227-O227+P227)</f>
        <v/>
      </c>
    </row>
    <row r="228">
      <c r="A228" s="30" t="n">
        <v>45882</v>
      </c>
      <c r="B228" s="36" t="n">
        <v>19919714584.66799</v>
      </c>
      <c r="C228" s="36" t="n">
        <v>675085879.3157613</v>
      </c>
      <c r="D228" s="36" t="n">
        <v>0</v>
      </c>
      <c r="E228" s="36" t="n">
        <v>4994057.16026</v>
      </c>
      <c r="F228" s="36" t="n">
        <v>0</v>
      </c>
      <c r="G228" s="36" t="n">
        <v>0</v>
      </c>
      <c r="H228" s="36" t="n">
        <v>243291</v>
      </c>
      <c r="I228" s="36" t="n">
        <v>335687</v>
      </c>
      <c r="J228" s="36" t="n">
        <v>38220.91580512521</v>
      </c>
      <c r="K228" s="36" t="n">
        <v>24771.33</v>
      </c>
      <c r="L228" s="37" t="n">
        <v>109111.69</v>
      </c>
      <c r="M228" s="36" t="n">
        <v>4994057.16026</v>
      </c>
      <c r="N228" s="37" t="n">
        <v>28599162.91</v>
      </c>
      <c r="O228" s="37" t="n">
        <v>26337.768</v>
      </c>
      <c r="P228" s="37" t="n">
        <v>1319.473</v>
      </c>
      <c r="Q228" s="36" t="n">
        <v>59208.05</v>
      </c>
      <c r="R228" s="37" t="n">
        <v>336235497.9967</v>
      </c>
      <c r="S228" s="37" t="n">
        <v>999642872.9847</v>
      </c>
      <c r="T228" s="38">
        <f>IF(OR(R228="",R227=""),"",R228-R227)</f>
        <v/>
      </c>
      <c r="U228" s="38">
        <f>IF(OR(S228="",S227=""),"",S228-S227)</f>
        <v/>
      </c>
      <c r="V228" s="38">
        <f>IF(OR(U228="",P228=""),"",U228+P228)</f>
        <v/>
      </c>
      <c r="W228" s="38">
        <f>IF(OR(T228="",O228="",P228=""),"",T228-O228+P228)</f>
        <v/>
      </c>
    </row>
    <row r="229">
      <c r="A229" s="30" t="n">
        <v>45883</v>
      </c>
      <c r="B229" s="36" t="n">
        <v>27376439345.65004</v>
      </c>
      <c r="C229" s="36" t="n">
        <v>773925537.6406747</v>
      </c>
      <c r="D229" s="36" t="n">
        <v>0</v>
      </c>
      <c r="E229" s="36" t="n">
        <v>7723090.9907</v>
      </c>
      <c r="F229" s="36" t="n">
        <v>0</v>
      </c>
      <c r="G229" s="36" t="n">
        <v>0</v>
      </c>
      <c r="H229" s="36" t="n">
        <v>258882</v>
      </c>
      <c r="I229" s="36" t="n">
        <v>352410</v>
      </c>
      <c r="J229" s="36" t="n">
        <v>65478.19858556801</v>
      </c>
      <c r="K229" s="36" t="n">
        <v>0</v>
      </c>
      <c r="L229" s="37" t="n">
        <v>167809.16</v>
      </c>
      <c r="M229" s="36" t="n">
        <v>7723090.9907</v>
      </c>
      <c r="N229" s="37" t="n">
        <v>28764050.72</v>
      </c>
      <c r="O229" s="37" t="n">
        <v>26365.7818</v>
      </c>
      <c r="P229" s="37" t="n">
        <v>1863.2942</v>
      </c>
      <c r="Q229" s="36" t="n">
        <v>89005.84</v>
      </c>
      <c r="R229" s="37" t="n">
        <v>336245485.1874</v>
      </c>
      <c r="S229" s="37" t="n">
        <v>999641009.6905</v>
      </c>
      <c r="T229" s="38">
        <f>IF(OR(R229="",R228=""),"",R229-R228)</f>
        <v/>
      </c>
      <c r="U229" s="38">
        <f>IF(OR(S229="",S228=""),"",S229-S228)</f>
        <v/>
      </c>
      <c r="V229" s="38">
        <f>IF(OR(U229="",P229=""),"",U229+P229)</f>
        <v/>
      </c>
      <c r="W229" s="38">
        <f>IF(OR(T229="",O229="",P229=""),"",T229-O229+P229)</f>
        <v/>
      </c>
    </row>
    <row r="230">
      <c r="A230" s="30" t="n">
        <v>45884</v>
      </c>
      <c r="B230" s="36" t="n">
        <v>13585090718.69072</v>
      </c>
      <c r="C230" s="36" t="n">
        <v>569025734.5069208</v>
      </c>
      <c r="D230" s="36" t="n">
        <v>0</v>
      </c>
      <c r="E230" s="36" t="n">
        <v>3656083.60376</v>
      </c>
      <c r="F230" s="36" t="n">
        <v>0</v>
      </c>
      <c r="G230" s="36" t="n">
        <v>0</v>
      </c>
      <c r="H230" s="36" t="n">
        <v>213695</v>
      </c>
      <c r="I230" s="36" t="n">
        <v>277797</v>
      </c>
      <c r="J230" s="36" t="n">
        <v>38781.46603555472</v>
      </c>
      <c r="K230" s="36" t="n">
        <v>28086.06</v>
      </c>
      <c r="L230" s="37" t="n">
        <v>77150.31</v>
      </c>
      <c r="M230" s="36" t="n">
        <v>3656083.60376</v>
      </c>
      <c r="N230" s="37" t="n">
        <v>28843895.32</v>
      </c>
      <c r="O230" s="37" t="n">
        <v>26256.5939</v>
      </c>
      <c r="P230" s="37" t="n">
        <v>1373.4081</v>
      </c>
      <c r="Q230" s="36" t="n">
        <v>63178.83</v>
      </c>
      <c r="R230" s="37" t="n">
        <v>336255851.4887</v>
      </c>
      <c r="S230" s="37" t="n">
        <v>999639636.2825</v>
      </c>
      <c r="T230" s="38">
        <f>IF(OR(R230="",R229=""),"",R230-R229)</f>
        <v/>
      </c>
      <c r="U230" s="38">
        <f>IF(OR(S230="",S229=""),"",S230-S229)</f>
        <v/>
      </c>
      <c r="V230" s="38">
        <f>IF(OR(U230="",P230=""),"",U230+P230)</f>
        <v/>
      </c>
      <c r="W230" s="38">
        <f>IF(OR(T230="",O230="",P230=""),"",T230-O230+P230)</f>
        <v/>
      </c>
    </row>
    <row r="231">
      <c r="A231" s="30" t="n">
        <v>45885</v>
      </c>
      <c r="B231" s="36" t="n">
        <v>4928430305.297351</v>
      </c>
      <c r="C231" s="36" t="n">
        <v>196663923.118233</v>
      </c>
      <c r="D231" s="36" t="n">
        <v>0</v>
      </c>
      <c r="E231" s="36" t="n">
        <v>1365202.03208</v>
      </c>
      <c r="F231" s="36" t="n">
        <v>0</v>
      </c>
      <c r="G231" s="36" t="n">
        <v>0</v>
      </c>
      <c r="H231" s="36" t="n">
        <v>87617</v>
      </c>
      <c r="I231" s="36" t="n">
        <v>119204</v>
      </c>
      <c r="J231" s="36" t="n">
        <v>7912.454579992194</v>
      </c>
      <c r="K231" s="36" t="n">
        <v>29711.18</v>
      </c>
      <c r="L231" s="37" t="n">
        <v>28971.85</v>
      </c>
      <c r="M231" s="36" t="n">
        <v>1365202.03208</v>
      </c>
      <c r="N231" s="37" t="n">
        <v>28873094.23</v>
      </c>
      <c r="O231" s="37" t="n">
        <v>26182.6599</v>
      </c>
      <c r="P231" s="37" t="n">
        <v>1709.1627</v>
      </c>
      <c r="Q231" s="36" t="n">
        <v>82443.17</v>
      </c>
      <c r="R231" s="37" t="n">
        <v>336265836.629</v>
      </c>
      <c r="S231" s="37" t="n">
        <v>999637927.1197</v>
      </c>
      <c r="T231" s="38">
        <f>IF(OR(R231="",R230=""),"",R231-R230)</f>
        <v/>
      </c>
      <c r="U231" s="38">
        <f>IF(OR(S231="",S230=""),"",S231-S230)</f>
        <v/>
      </c>
      <c r="V231" s="38">
        <f>IF(OR(U231="",P231=""),"",U231+P231)</f>
        <v/>
      </c>
      <c r="W231" s="38">
        <f>IF(OR(T231="",O231="",P231=""),"",T231-O231+P231)</f>
        <v/>
      </c>
    </row>
    <row r="232">
      <c r="A232" s="30" t="n">
        <v>45886</v>
      </c>
      <c r="B232" s="36" t="n">
        <v>6272412052.739481</v>
      </c>
      <c r="C232" s="36" t="n">
        <v>251740970.6387413</v>
      </c>
      <c r="D232" s="36" t="n">
        <v>0</v>
      </c>
      <c r="E232" s="36" t="n">
        <v>1699981.19394</v>
      </c>
      <c r="F232" s="36" t="n">
        <v>0</v>
      </c>
      <c r="G232" s="36" t="n">
        <v>0</v>
      </c>
      <c r="H232" s="36" t="n">
        <v>79899</v>
      </c>
      <c r="I232" s="36" t="n">
        <v>109997</v>
      </c>
      <c r="J232" s="36" t="n">
        <v>7181.022759360755</v>
      </c>
      <c r="K232" s="36" t="n">
        <v>0</v>
      </c>
      <c r="L232" s="37" t="n">
        <v>36315.48</v>
      </c>
      <c r="M232" s="36" t="n">
        <v>1699981.19394</v>
      </c>
      <c r="N232" s="37" t="n">
        <v>28909605.98</v>
      </c>
      <c r="O232" s="37" t="n">
        <v>26168.0725</v>
      </c>
      <c r="P232" s="37" t="n">
        <v>924.1917999999999</v>
      </c>
      <c r="Q232" s="36" t="n">
        <v>42810.41</v>
      </c>
      <c r="R232" s="37" t="n">
        <v>336276574.2123</v>
      </c>
      <c r="S232" s="37" t="n">
        <v>999637002.9279</v>
      </c>
      <c r="T232" s="38">
        <f>IF(OR(R232="",R231=""),"",R232-R231)</f>
        <v/>
      </c>
      <c r="U232" s="38">
        <f>IF(OR(S232="",S231=""),"",S232-S231)</f>
        <v/>
      </c>
      <c r="V232" s="38">
        <f>IF(OR(U232="",P232=""),"",U232+P232)</f>
        <v/>
      </c>
      <c r="W232" s="38">
        <f>IF(OR(T232="",O232="",P232=""),"",T232-O232+P232)</f>
        <v/>
      </c>
    </row>
    <row r="233">
      <c r="A233" s="30" t="n">
        <v>45887</v>
      </c>
      <c r="B233" s="36" t="n">
        <v>15278357611.70071</v>
      </c>
      <c r="C233" s="36" t="n">
        <v>367201249.7021266</v>
      </c>
      <c r="D233" s="36" t="n">
        <v>0</v>
      </c>
      <c r="E233" s="36" t="n">
        <v>4068407.79645</v>
      </c>
      <c r="F233" s="36" t="n">
        <v>0</v>
      </c>
      <c r="G233" s="36" t="n">
        <v>0</v>
      </c>
      <c r="H233" s="36" t="n">
        <v>117217</v>
      </c>
      <c r="I233" s="36" t="n">
        <v>152925</v>
      </c>
      <c r="J233" s="36" t="n">
        <v>14146.97794252994</v>
      </c>
      <c r="K233" s="36" t="n">
        <v>0</v>
      </c>
      <c r="L233" s="37" t="n">
        <v>92598.72</v>
      </c>
      <c r="M233" s="36" t="n">
        <v>4068407.79645</v>
      </c>
      <c r="N233" s="37" t="n">
        <v>29002008.43</v>
      </c>
      <c r="O233" s="37" t="n">
        <v>26239.5597</v>
      </c>
      <c r="P233" s="37" t="n">
        <v>413.5272</v>
      </c>
      <c r="Q233" s="36" t="n">
        <v>19039.41</v>
      </c>
      <c r="R233" s="37" t="n">
        <v>336287857.1262</v>
      </c>
      <c r="S233" s="37" t="n">
        <v>999636589.4007</v>
      </c>
      <c r="T233" s="38">
        <f>IF(OR(R233="",R232=""),"",R233-R232)</f>
        <v/>
      </c>
      <c r="U233" s="38">
        <f>IF(OR(S233="",S232=""),"",S233-S232)</f>
        <v/>
      </c>
      <c r="V233" s="38">
        <f>IF(OR(U233="",P233=""),"",U233+P233)</f>
        <v/>
      </c>
      <c r="W233" s="38">
        <f>IF(OR(T233="",O233="",P233=""),"",T233-O233+P233)</f>
        <v/>
      </c>
    </row>
    <row r="234">
      <c r="A234" s="30" t="n">
        <v>45888</v>
      </c>
      <c r="B234" s="36" t="n">
        <v>16655285032.81031</v>
      </c>
      <c r="C234" s="36" t="n">
        <v>390244912.0893883</v>
      </c>
      <c r="D234" s="36" t="n">
        <v>0</v>
      </c>
      <c r="E234" s="36" t="n">
        <v>4196894.61651</v>
      </c>
      <c r="F234" s="36" t="n">
        <v>0</v>
      </c>
      <c r="G234" s="36" t="n">
        <v>0</v>
      </c>
      <c r="H234" s="36" t="n">
        <v>124535</v>
      </c>
      <c r="I234" s="36" t="n">
        <v>160422</v>
      </c>
      <c r="J234" s="36" t="n">
        <v>21535.53296781836</v>
      </c>
      <c r="K234" s="36" t="n">
        <v>21581.17</v>
      </c>
      <c r="L234" s="37" t="n">
        <v>98671.67</v>
      </c>
      <c r="M234" s="36" t="n">
        <v>4196894.61651</v>
      </c>
      <c r="N234" s="37" t="n">
        <v>29100680.1</v>
      </c>
      <c r="O234" s="37" t="n">
        <v>26295.1059</v>
      </c>
      <c r="P234" s="37" t="n">
        <v>731.1435</v>
      </c>
      <c r="Q234" s="36" t="n">
        <v>31593.07</v>
      </c>
      <c r="R234" s="37" t="n">
        <v>336298916.0738</v>
      </c>
      <c r="S234" s="37" t="n">
        <v>999635858.2573</v>
      </c>
      <c r="T234" s="38">
        <f>IF(OR(R234="",R233=""),"",R234-R233)</f>
        <v/>
      </c>
      <c r="U234" s="38">
        <f>IF(OR(S234="",S233=""),"",S234-S233)</f>
        <v/>
      </c>
      <c r="V234" s="38">
        <f>IF(OR(U234="",P234=""),"",U234+P234)</f>
        <v/>
      </c>
      <c r="W234" s="38">
        <f>IF(OR(T234="",O234="",P234=""),"",T234-O234+P234)</f>
        <v/>
      </c>
    </row>
    <row r="235">
      <c r="A235" s="30" t="n">
        <v>45889</v>
      </c>
      <c r="B235" s="36" t="n">
        <v>15135209638.42719</v>
      </c>
      <c r="C235" s="36" t="n">
        <v>542977581.5812136</v>
      </c>
      <c r="D235" s="36" t="n">
        <v>0</v>
      </c>
      <c r="E235" s="36" t="n">
        <v>3873066.94455</v>
      </c>
      <c r="F235" s="36" t="n">
        <v>0</v>
      </c>
      <c r="G235" s="36" t="n">
        <v>0</v>
      </c>
      <c r="H235" s="36" t="n">
        <v>160524</v>
      </c>
      <c r="I235" s="36" t="n">
        <v>230987</v>
      </c>
      <c r="J235" s="36" t="n">
        <v>19695.56386351545</v>
      </c>
      <c r="K235" s="36" t="n">
        <v>35823.48</v>
      </c>
      <c r="L235" s="37" t="n">
        <v>92180.89</v>
      </c>
      <c r="M235" s="36" t="n">
        <v>3873066.94455</v>
      </c>
      <c r="N235" s="37" t="n">
        <v>29193133.72</v>
      </c>
      <c r="O235" s="37" t="n">
        <v>26302.267</v>
      </c>
      <c r="P235" s="37" t="n">
        <v>1238.6553</v>
      </c>
      <c r="Q235" s="36" t="n">
        <v>51424.63</v>
      </c>
      <c r="R235" s="37" t="n">
        <v>336309452.6684</v>
      </c>
      <c r="S235" s="37" t="n">
        <v>999634619.602</v>
      </c>
      <c r="T235" s="38">
        <f>IF(OR(R235="",R234=""),"",R235-R234)</f>
        <v/>
      </c>
      <c r="U235" s="38">
        <f>IF(OR(S235="",S234=""),"",S235-S234)</f>
        <v/>
      </c>
      <c r="V235" s="38">
        <f>IF(OR(U235="",P235=""),"",U235+P235)</f>
        <v/>
      </c>
      <c r="W235" s="38">
        <f>IF(OR(T235="",O235="",P235=""),"",T235-O235+P235)</f>
        <v/>
      </c>
    </row>
    <row r="236">
      <c r="A236" s="30" t="n">
        <v>45890</v>
      </c>
      <c r="B236" s="36" t="n">
        <v>11826851575.68992</v>
      </c>
      <c r="C236" s="36" t="n">
        <v>923204691.9344271</v>
      </c>
      <c r="D236" s="36" t="n">
        <v>0</v>
      </c>
      <c r="E236" s="36" t="n">
        <v>3184206.25233</v>
      </c>
      <c r="F236" s="36" t="n">
        <v>0</v>
      </c>
      <c r="G236" s="36" t="n">
        <v>0</v>
      </c>
      <c r="H236" s="36" t="n">
        <v>212310</v>
      </c>
      <c r="I236" s="36" t="n">
        <v>351557</v>
      </c>
      <c r="J236" s="36" t="n">
        <v>10986.34043925129</v>
      </c>
      <c r="K236" s="36" t="n">
        <v>0</v>
      </c>
      <c r="L236" s="37" t="n">
        <v>76866.14999999999</v>
      </c>
      <c r="M236" s="36" t="n">
        <v>3184206.25233</v>
      </c>
      <c r="N236" s="37" t="n">
        <v>29269478.54</v>
      </c>
      <c r="O236" s="37" t="n">
        <v>26232.6918</v>
      </c>
      <c r="P236" s="37" t="n">
        <v>2110.2162</v>
      </c>
      <c r="Q236" s="36" t="n">
        <v>90795.22</v>
      </c>
      <c r="R236" s="37" t="n">
        <v>336319056.2883</v>
      </c>
      <c r="S236" s="37" t="n">
        <v>999632509.3858</v>
      </c>
      <c r="T236" s="38">
        <f>IF(OR(R236="",R235=""),"",R236-R235)</f>
        <v/>
      </c>
      <c r="U236" s="38">
        <f>IF(OR(S236="",S235=""),"",S236-S235)</f>
        <v/>
      </c>
      <c r="V236" s="38">
        <f>IF(OR(U236="",P236=""),"",U236+P236)</f>
        <v/>
      </c>
      <c r="W236" s="38">
        <f>IF(OR(T236="",O236="",P236=""),"",T236-O236+P236)</f>
        <v/>
      </c>
    </row>
    <row r="237">
      <c r="A237" s="30" t="n">
        <v>45891</v>
      </c>
      <c r="B237" s="36" t="n">
        <v>21155470262.7558</v>
      </c>
      <c r="C237" s="36" t="n">
        <v>1392685684.979868</v>
      </c>
      <c r="D237" s="36" t="n">
        <v>0</v>
      </c>
      <c r="E237" s="36" t="n">
        <v>5659586.13195</v>
      </c>
      <c r="F237" s="36" t="n">
        <v>0</v>
      </c>
      <c r="G237" s="36" t="n">
        <v>0</v>
      </c>
      <c r="H237" s="36" t="n">
        <v>427174</v>
      </c>
      <c r="I237" s="36" t="n">
        <v>801006</v>
      </c>
      <c r="J237" s="36" t="n">
        <v>41408.25254683448</v>
      </c>
      <c r="K237" s="36" t="n">
        <v>43345.43</v>
      </c>
      <c r="L237" s="37" t="n">
        <v>130153.58</v>
      </c>
      <c r="M237" s="36" t="n">
        <v>5659586.13195</v>
      </c>
      <c r="N237" s="37" t="n">
        <v>29399880.72</v>
      </c>
      <c r="O237" s="37" t="n">
        <v>26316.9537</v>
      </c>
      <c r="P237" s="37" t="n">
        <v>476.4692</v>
      </c>
      <c r="Q237" s="36" t="n">
        <v>19359.18</v>
      </c>
      <c r="R237" s="37" t="n">
        <v>336330407.5196</v>
      </c>
      <c r="S237" s="37" t="n">
        <v>999632032.9166</v>
      </c>
      <c r="T237" s="38">
        <f>IF(OR(R237="",R236=""),"",R237-R236)</f>
        <v/>
      </c>
      <c r="U237" s="38">
        <f>IF(OR(S237="",S236=""),"",S237-S236)</f>
        <v/>
      </c>
      <c r="V237" s="38">
        <f>IF(OR(U237="",P237=""),"",U237+P237)</f>
        <v/>
      </c>
      <c r="W237" s="38">
        <f>IF(OR(T237="",O237="",P237=""),"",T237-O237+P237)</f>
        <v/>
      </c>
    </row>
    <row r="238">
      <c r="A238" s="30" t="n">
        <v>45892</v>
      </c>
      <c r="B238" s="36" t="n">
        <v>8356300448.041975</v>
      </c>
      <c r="C238" s="36" t="n">
        <v>1292052218.922707</v>
      </c>
      <c r="D238" s="36" t="n">
        <v>0</v>
      </c>
      <c r="E238" s="36" t="n">
        <v>2555181.64434</v>
      </c>
      <c r="F238" s="36" t="n">
        <v>0</v>
      </c>
      <c r="G238" s="36" t="n">
        <v>0</v>
      </c>
      <c r="H238" s="36" t="n">
        <v>302447</v>
      </c>
      <c r="I238" s="36" t="n">
        <v>585670</v>
      </c>
      <c r="J238" s="36" t="n">
        <v>12653.39209463229</v>
      </c>
      <c r="K238" s="36" t="n">
        <v>0</v>
      </c>
      <c r="L238" s="37" t="n">
        <v>57895.64</v>
      </c>
      <c r="M238" s="36" t="n">
        <v>2555181.64434</v>
      </c>
      <c r="N238" s="37" t="n">
        <v>29457776.36</v>
      </c>
      <c r="O238" s="37" t="n">
        <v>26337.2215</v>
      </c>
      <c r="P238" s="37" t="n">
        <v>2213.6907</v>
      </c>
      <c r="Q238" s="36" t="n">
        <v>99572.92</v>
      </c>
      <c r="R238" s="37" t="n">
        <v>336340044.7131</v>
      </c>
      <c r="S238" s="37" t="n">
        <v>999629819.2258</v>
      </c>
      <c r="T238" s="38">
        <f>IF(OR(R238="",R237=""),"",R238-R237)</f>
        <v/>
      </c>
      <c r="U238" s="38">
        <f>IF(OR(S238="",S237=""),"",S238-S237)</f>
        <v/>
      </c>
      <c r="V238" s="38">
        <f>IF(OR(U238="",P238=""),"",U238+P238)</f>
        <v/>
      </c>
      <c r="W238" s="38">
        <f>IF(OR(T238="",O238="",P238=""),"",T238-O238+P238)</f>
        <v/>
      </c>
    </row>
    <row r="239">
      <c r="A239" s="30" t="n">
        <v>45893</v>
      </c>
      <c r="B239" s="36" t="n">
        <v>17185841113.43915</v>
      </c>
      <c r="C239" s="36" t="n">
        <v>3357923728.147274</v>
      </c>
      <c r="D239" s="36" t="n">
        <v>0</v>
      </c>
      <c r="E239" s="36" t="n">
        <v>5298039.79658</v>
      </c>
      <c r="F239" s="36" t="n">
        <v>0</v>
      </c>
      <c r="G239" s="36" t="n">
        <v>0</v>
      </c>
      <c r="H239" s="36" t="n">
        <v>1000338</v>
      </c>
      <c r="I239" s="36" t="n">
        <v>1970942</v>
      </c>
      <c r="J239" s="36" t="n">
        <v>52789.3033721489</v>
      </c>
      <c r="K239" s="36" t="n">
        <v>95229.59</v>
      </c>
      <c r="L239" s="37" t="n">
        <v>117446.82</v>
      </c>
      <c r="M239" s="36" t="n">
        <v>5298039.79658</v>
      </c>
      <c r="N239" s="37" t="n">
        <v>29575440.54</v>
      </c>
      <c r="O239" s="37" t="n">
        <v>25925.0993</v>
      </c>
      <c r="P239" s="37" t="n">
        <v>374.1172</v>
      </c>
      <c r="Q239" s="36" t="n">
        <v>16772.61</v>
      </c>
      <c r="R239" s="37" t="n">
        <v>336351283.4145</v>
      </c>
      <c r="S239" s="37" t="n">
        <v>999629445.1086</v>
      </c>
      <c r="T239" s="38">
        <f>IF(OR(R239="",R238=""),"",R239-R238)</f>
        <v/>
      </c>
      <c r="U239" s="38">
        <f>IF(OR(S239="",S238=""),"",S239-S238)</f>
        <v/>
      </c>
      <c r="V239" s="38">
        <f>IF(OR(U239="",P239=""),"",U239+P239)</f>
        <v/>
      </c>
      <c r="W239" s="38">
        <f>IF(OR(T239="",O239="",P239=""),"",T239-O239+P239)</f>
        <v/>
      </c>
    </row>
    <row r="240">
      <c r="A240" s="30" t="n">
        <v>45894</v>
      </c>
      <c r="B240" s="36" t="n">
        <v>20948854170.77424</v>
      </c>
      <c r="C240" s="36" t="n">
        <v>3442644555.91572</v>
      </c>
      <c r="D240" s="36" t="n">
        <v>0</v>
      </c>
      <c r="E240" s="36" t="n">
        <v>5591022.73503</v>
      </c>
      <c r="F240" s="36" t="n">
        <v>0</v>
      </c>
      <c r="G240" s="36" t="n">
        <v>0</v>
      </c>
      <c r="H240" s="36" t="n">
        <v>314829</v>
      </c>
      <c r="I240" s="36" t="n">
        <v>543705</v>
      </c>
      <c r="J240" s="36" t="n">
        <v>57416.9308421625</v>
      </c>
      <c r="K240" s="36" t="n">
        <v>0</v>
      </c>
      <c r="L240" s="37" t="n">
        <v>124431.35</v>
      </c>
      <c r="M240" s="36" t="n">
        <v>5591022.73503</v>
      </c>
      <c r="N240" s="37" t="n">
        <v>29699945.26</v>
      </c>
      <c r="O240" s="37" t="n">
        <v>26363.9334</v>
      </c>
      <c r="P240" s="37" t="n">
        <v>2861.0986</v>
      </c>
      <c r="Q240" s="36" t="n">
        <v>132424.52</v>
      </c>
      <c r="R240" s="37" t="n">
        <v>336360313.0874</v>
      </c>
      <c r="S240" s="37" t="n">
        <v>999626584.0101</v>
      </c>
      <c r="T240" s="38">
        <f>IF(OR(R240="",R239=""),"",R240-R239)</f>
        <v/>
      </c>
      <c r="U240" s="38">
        <f>IF(OR(S240="",S239=""),"",S240-S239)</f>
        <v/>
      </c>
      <c r="V240" s="38">
        <f>IF(OR(U240="",P240=""),"",U240+P240)</f>
        <v/>
      </c>
      <c r="W240" s="38">
        <f>IF(OR(T240="",O240="",P240=""),"",T240-O240+P240)</f>
        <v/>
      </c>
    </row>
    <row r="241">
      <c r="A241" s="30" t="n">
        <v>45895</v>
      </c>
      <c r="B241" s="36" t="n">
        <v>15388541325.81821</v>
      </c>
      <c r="C241" s="36" t="n"/>
      <c r="D241" s="36" t="n">
        <v>0</v>
      </c>
      <c r="E241" s="36" t="n">
        <v>5812626.00916</v>
      </c>
      <c r="F241" s="36" t="n">
        <v>0</v>
      </c>
      <c r="G241" s="36" t="n">
        <v>0</v>
      </c>
      <c r="H241" s="36" t="n">
        <v>459589</v>
      </c>
      <c r="I241" s="36" t="n">
        <v>782342</v>
      </c>
      <c r="J241" s="36" t="n">
        <v>43508.11539426938</v>
      </c>
      <c r="K241" s="36" t="n">
        <v>49798.91</v>
      </c>
      <c r="L241" s="37" t="n">
        <v>124468.22</v>
      </c>
      <c r="M241" s="36" t="n">
        <v>5812626.00916</v>
      </c>
      <c r="N241" s="37" t="n">
        <v>29824454.1</v>
      </c>
      <c r="O241" s="37" t="n">
        <v>26366.0098</v>
      </c>
      <c r="P241" s="37" t="n">
        <v>1538.1765</v>
      </c>
      <c r="Q241" s="36" t="n">
        <v>65850.87</v>
      </c>
      <c r="R241" s="37" t="n">
        <v>336370656.9693</v>
      </c>
      <c r="S241" s="37" t="n">
        <v>999625045.8336</v>
      </c>
      <c r="T241" s="38">
        <f>IF(OR(R241="",R240=""),"",R241-R240)</f>
        <v/>
      </c>
      <c r="U241" s="38">
        <f>IF(OR(S241="",S240=""),"",S241-S240)</f>
        <v/>
      </c>
      <c r="V241" s="38">
        <f>IF(OR(U241="",P241=""),"",U241+P241)</f>
        <v/>
      </c>
      <c r="W241" s="38">
        <f>IF(OR(T241="",O241="",P241=""),"",T241-O241+P241)</f>
        <v/>
      </c>
    </row>
    <row r="242">
      <c r="A242" s="30" t="n">
        <v>45896</v>
      </c>
      <c r="B242" s="36" t="n">
        <v>13058401010.23568</v>
      </c>
      <c r="C242" s="36" t="n"/>
      <c r="D242" s="36" t="n">
        <v>0</v>
      </c>
      <c r="E242" s="36" t="n">
        <v>3645666.39599</v>
      </c>
      <c r="F242" s="36" t="n">
        <v>0</v>
      </c>
      <c r="G242" s="36" t="n">
        <v>0</v>
      </c>
      <c r="H242" s="36" t="n">
        <v>177611</v>
      </c>
      <c r="I242" s="36" t="n">
        <v>217368</v>
      </c>
      <c r="J242" s="36" t="n">
        <v>52325.08759990281</v>
      </c>
      <c r="K242" s="36" t="n">
        <v>68838.23</v>
      </c>
      <c r="L242" s="37" t="n">
        <v>73824.09</v>
      </c>
      <c r="M242" s="36" t="n">
        <v>3645666.39599</v>
      </c>
      <c r="N242" s="37" t="n">
        <v>29897946.84</v>
      </c>
      <c r="O242" s="37" t="n">
        <v>26403.5722</v>
      </c>
      <c r="P242" s="37" t="n">
        <v>2522.4986</v>
      </c>
      <c r="Q242" s="36" t="n">
        <v>122551.81</v>
      </c>
      <c r="R242" s="37" t="n">
        <v>336380049.882</v>
      </c>
      <c r="S242" s="37" t="n">
        <v>999622523.335</v>
      </c>
      <c r="T242" s="38">
        <f>IF(OR(R242="",R241=""),"",R242-R241)</f>
        <v/>
      </c>
      <c r="U242" s="38">
        <f>IF(OR(S242="",S241=""),"",S242-S241)</f>
        <v/>
      </c>
      <c r="V242" s="38">
        <f>IF(OR(U242="",P242=""),"",U242+P242)</f>
        <v/>
      </c>
      <c r="W242" s="38">
        <f>IF(OR(T242="",O242="",P242=""),"",T242-O242+P242)</f>
        <v/>
      </c>
    </row>
    <row r="243">
      <c r="A243" s="30" t="n">
        <v>45897</v>
      </c>
      <c r="B243" s="36" t="n">
        <v>10282718688.72443</v>
      </c>
      <c r="C243" s="36" t="n"/>
      <c r="D243" s="36" t="n">
        <v>0</v>
      </c>
      <c r="E243" s="36" t="n">
        <v>2852918.43232</v>
      </c>
      <c r="F243" s="36" t="n">
        <v>0</v>
      </c>
      <c r="G243" s="36" t="n">
        <v>0</v>
      </c>
      <c r="H243" s="36" t="n">
        <v>133062</v>
      </c>
      <c r="I243" s="36" t="n">
        <v>176810</v>
      </c>
      <c r="J243" s="36" t="n">
        <v>26936.35459954765</v>
      </c>
      <c r="K243" s="36" t="n">
        <v>0</v>
      </c>
      <c r="L243" s="37" t="n">
        <v>59964.64</v>
      </c>
      <c r="M243" s="36" t="n">
        <v>2852918.43232</v>
      </c>
      <c r="N243" s="37" t="n">
        <v>29957492.26</v>
      </c>
      <c r="O243" s="37" t="n">
        <v>26384</v>
      </c>
      <c r="P243" s="37" t="n">
        <v>2596.5887</v>
      </c>
      <c r="Q243" s="36" t="n">
        <v>122355.15</v>
      </c>
      <c r="R243" s="37" t="n">
        <v>336389421.9294</v>
      </c>
      <c r="S243" s="37" t="n">
        <v>999619926.7463</v>
      </c>
      <c r="T243" s="38">
        <f>IF(OR(R243="",R242=""),"",R243-R242)</f>
        <v/>
      </c>
      <c r="U243" s="38">
        <f>IF(OR(S243="",S242=""),"",S243-S242)</f>
        <v/>
      </c>
      <c r="V243" s="38">
        <f>IF(OR(U243="",P243=""),"",U243+P243)</f>
        <v/>
      </c>
      <c r="W243" s="38">
        <f>IF(OR(T243="",O243="",P243=""),"",T243-O243+P243)</f>
        <v/>
      </c>
    </row>
    <row r="244">
      <c r="A244" s="30" t="n">
        <v>45898</v>
      </c>
      <c r="B244" s="36" t="n">
        <v>16727206705.29462</v>
      </c>
      <c r="C244" s="36" t="n"/>
      <c r="D244" s="36" t="n">
        <v>0</v>
      </c>
      <c r="E244" s="36" t="n">
        <v>4517739.09553</v>
      </c>
      <c r="F244" s="36" t="n">
        <v>0</v>
      </c>
      <c r="G244" s="36" t="n">
        <v>0</v>
      </c>
      <c r="H244" s="36" t="n">
        <v>353666</v>
      </c>
      <c r="I244" s="36" t="n">
        <v>598611</v>
      </c>
      <c r="J244" s="36" t="n">
        <v>28057.99142478528</v>
      </c>
      <c r="K244" s="36" t="n">
        <v>34731.2</v>
      </c>
      <c r="L244" s="37" t="n">
        <v>101222.13</v>
      </c>
      <c r="M244" s="36" t="n">
        <v>4517739.09553</v>
      </c>
      <c r="N244" s="37" t="n">
        <v>30059183.69</v>
      </c>
      <c r="O244" s="37" t="n">
        <v>26324.2015</v>
      </c>
      <c r="P244" s="37" t="n">
        <v>775.6297</v>
      </c>
      <c r="Q244" s="36" t="n">
        <v>35347.77</v>
      </c>
      <c r="R244" s="37" t="n">
        <v>336400538.9753</v>
      </c>
      <c r="S244" s="37" t="n">
        <v>999619151.1166</v>
      </c>
      <c r="T244" s="38">
        <f>IF(OR(R244="",R243=""),"",R244-R243)</f>
        <v/>
      </c>
      <c r="U244" s="38">
        <f>IF(OR(S244="",S243=""),"",S244-S243)</f>
        <v/>
      </c>
      <c r="V244" s="38">
        <f>IF(OR(U244="",P244=""),"",U244+P244)</f>
        <v/>
      </c>
      <c r="W244" s="38">
        <f>IF(OR(T244="",O244="",P244=""),"",T244-O244+P244)</f>
        <v/>
      </c>
    </row>
    <row r="245">
      <c r="A245" s="30" t="n">
        <v>45899</v>
      </c>
      <c r="B245" s="36" t="n">
        <v>6799419657.98675</v>
      </c>
      <c r="C245" s="36" t="n"/>
      <c r="D245" s="36" t="n">
        <v>0</v>
      </c>
      <c r="E245" s="36" t="n">
        <v>1903289.33744</v>
      </c>
      <c r="F245" s="36" t="n">
        <v>0</v>
      </c>
      <c r="G245" s="36" t="n">
        <v>0</v>
      </c>
      <c r="H245" s="36" t="n">
        <v>187625</v>
      </c>
      <c r="I245" s="36" t="n">
        <v>323882</v>
      </c>
      <c r="J245" s="36" t="n">
        <v>7760.110163731018</v>
      </c>
      <c r="K245" s="36" t="n">
        <v>34702.17</v>
      </c>
      <c r="L245" s="37" t="n">
        <v>43251.17</v>
      </c>
      <c r="M245" s="36" t="n">
        <v>1903289.33744</v>
      </c>
      <c r="N245" s="37" t="n">
        <v>30102384.78</v>
      </c>
      <c r="O245" s="37" t="n">
        <v>26261.8781</v>
      </c>
      <c r="P245" s="37" t="n">
        <v>1515.4212</v>
      </c>
      <c r="Q245" s="36" t="n">
        <v>67293.03999999999</v>
      </c>
      <c r="R245" s="37" t="n">
        <v>336410972.8038</v>
      </c>
      <c r="S245" s="37" t="n">
        <v>999617635.6954</v>
      </c>
      <c r="T245" s="38">
        <f>IF(OR(R245="",R244=""),"",R245-R244)</f>
        <v/>
      </c>
      <c r="U245" s="38">
        <f>IF(OR(S245="",S244=""),"",S245-S244)</f>
        <v/>
      </c>
      <c r="V245" s="38">
        <f>IF(OR(U245="",P245=""),"",U245+P245)</f>
        <v/>
      </c>
      <c r="W245" s="38">
        <f>IF(OR(T245="",O245="",P245=""),"",T245-O245+P245)</f>
        <v/>
      </c>
    </row>
    <row r="246">
      <c r="A246" s="30" t="n">
        <v>45900</v>
      </c>
      <c r="B246" s="36" t="n">
        <v>5766508404.612074</v>
      </c>
      <c r="C246" s="36" t="n"/>
      <c r="D246" s="36" t="n">
        <v>0</v>
      </c>
      <c r="E246" s="36" t="n">
        <v>1781642.51828</v>
      </c>
      <c r="F246" s="36" t="n">
        <v>0</v>
      </c>
      <c r="G246" s="36" t="n">
        <v>0</v>
      </c>
      <c r="H246" s="36" t="n">
        <v>258222</v>
      </c>
      <c r="I246" s="36" t="n">
        <v>473026</v>
      </c>
      <c r="J246" s="36" t="n">
        <v>6506.938058085142</v>
      </c>
      <c r="K246" s="36" t="n">
        <v>28404.45</v>
      </c>
      <c r="L246" s="37" t="n">
        <v>39932.11</v>
      </c>
      <c r="M246" s="36" t="n">
        <v>1781642.51828</v>
      </c>
      <c r="N246" s="37" t="n">
        <v>30142542.9</v>
      </c>
      <c r="O246" s="37" t="n">
        <v>26548.2562</v>
      </c>
      <c r="P246" s="37" t="n">
        <v>1051.6584</v>
      </c>
      <c r="Q246" s="36" t="n">
        <v>46374.45</v>
      </c>
      <c r="R246" s="37" t="n">
        <v>336422061.5007</v>
      </c>
      <c r="S246" s="37" t="n">
        <v>999616584.0369999</v>
      </c>
      <c r="T246" s="38">
        <f>IF(OR(R246="",R245=""),"",R246-R245)</f>
        <v/>
      </c>
      <c r="U246" s="38">
        <f>IF(OR(S246="",S245=""),"",S246-S245)</f>
        <v/>
      </c>
      <c r="V246" s="38">
        <f>IF(OR(U246="",P246=""),"",U246+P246)</f>
        <v/>
      </c>
      <c r="W246" s="38">
        <f>IF(OR(T246="",O246="",P246=""),"",T246-O246+P246)</f>
        <v/>
      </c>
    </row>
    <row r="247">
      <c r="A247" s="30" t="n">
        <v>45901</v>
      </c>
      <c r="B247" s="36" t="n">
        <v>11587932833.88221</v>
      </c>
      <c r="C247" s="36" t="n"/>
      <c r="D247" s="36" t="n">
        <v>0</v>
      </c>
      <c r="E247" s="36" t="n">
        <v>3002689.84027</v>
      </c>
      <c r="F247" s="36" t="n">
        <v>0</v>
      </c>
      <c r="G247" s="36" t="n">
        <v>0</v>
      </c>
      <c r="H247" s="36" t="n">
        <v>186943</v>
      </c>
      <c r="I247" s="36" t="n">
        <v>297309</v>
      </c>
      <c r="J247" s="36" t="n">
        <v>18424.96866774532</v>
      </c>
      <c r="K247" s="36" t="n">
        <v>0</v>
      </c>
      <c r="L247" s="37" t="n">
        <v>68021.86</v>
      </c>
      <c r="M247" s="36" t="n">
        <v>3002689.84027</v>
      </c>
      <c r="N247" s="37" t="n">
        <v>30210338.75</v>
      </c>
      <c r="O247" s="37" t="n">
        <v>26680.4789</v>
      </c>
      <c r="P247" s="37" t="n">
        <v>996.2214</v>
      </c>
      <c r="Q247" s="36" t="n">
        <v>44034.98</v>
      </c>
      <c r="R247" s="37" t="n">
        <v>336433281.2701</v>
      </c>
      <c r="S247" s="37" t="n">
        <v>999615587.8156</v>
      </c>
      <c r="T247" s="38">
        <f>IF(OR(R247="",R246=""),"",R247-R246)</f>
        <v/>
      </c>
      <c r="U247" s="38">
        <f>IF(OR(S247="",S246=""),"",S247-S246)</f>
        <v/>
      </c>
      <c r="V247" s="38">
        <f>IF(OR(U247="",P247=""),"",U247+P247)</f>
        <v/>
      </c>
      <c r="W247" s="38">
        <f>IF(OR(T247="",O247="",P247=""),"",T247-O247+P247)</f>
        <v/>
      </c>
    </row>
    <row r="248">
      <c r="A248" s="30" t="n">
        <v>45902</v>
      </c>
      <c r="B248" s="36" t="n">
        <v>11422881300.32564</v>
      </c>
      <c r="C248" s="36" t="n"/>
      <c r="D248" s="36" t="n">
        <v>0</v>
      </c>
      <c r="E248" s="36" t="n">
        <v>3058785.56673</v>
      </c>
      <c r="F248" s="36" t="n">
        <v>0</v>
      </c>
      <c r="G248" s="36" t="n">
        <v>0</v>
      </c>
      <c r="H248" s="36" t="n">
        <v>97355</v>
      </c>
      <c r="I248" s="36" t="n">
        <v>138213</v>
      </c>
      <c r="J248" s="36" t="n">
        <v>17147.42827030919</v>
      </c>
      <c r="K248" s="36" t="n">
        <v>58325.55</v>
      </c>
      <c r="L248" s="37" t="n">
        <v>69292.78</v>
      </c>
      <c r="M248" s="36" t="n">
        <v>3058785.56673</v>
      </c>
      <c r="N248" s="37" t="n">
        <v>30279631.53</v>
      </c>
      <c r="O248" s="37" t="n">
        <v>26649.846</v>
      </c>
      <c r="P248" s="37" t="n">
        <v>470.2765</v>
      </c>
      <c r="Q248" s="36" t="n">
        <v>20214.84</v>
      </c>
      <c r="R248" s="37" t="n">
        <v>336444931.2984</v>
      </c>
      <c r="S248" s="37" t="n">
        <v>999615117.5391001</v>
      </c>
      <c r="T248" s="38">
        <f>IF(OR(R248="",R247=""),"",R248-R247)</f>
        <v/>
      </c>
      <c r="U248" s="38">
        <f>IF(OR(S248="",S247=""),"",S248-S247)</f>
        <v/>
      </c>
      <c r="V248" s="38">
        <f>IF(OR(U248="",P248=""),"",U248+P248)</f>
        <v/>
      </c>
      <c r="W248" s="38">
        <f>IF(OR(T248="",O248="",P248=""),"",T248-O248+P248)</f>
        <v/>
      </c>
    </row>
    <row r="249">
      <c r="A249" s="30" t="n">
        <v>45903</v>
      </c>
      <c r="B249" s="36" t="n">
        <v>8200160965.199457</v>
      </c>
      <c r="C249" s="36" t="n"/>
      <c r="D249" s="36" t="n">
        <v>0</v>
      </c>
      <c r="E249" s="36" t="n">
        <v>2259297.54066</v>
      </c>
      <c r="F249" s="36" t="n">
        <v>0</v>
      </c>
      <c r="G249" s="36" t="n">
        <v>0</v>
      </c>
      <c r="H249" s="36" t="n">
        <v>90595</v>
      </c>
      <c r="I249" s="36" t="n">
        <v>121295</v>
      </c>
      <c r="J249" s="36" t="n">
        <v>22000.40336266439</v>
      </c>
      <c r="K249" s="36" t="n">
        <v>0</v>
      </c>
      <c r="L249" s="37" t="n">
        <v>49663.71</v>
      </c>
      <c r="M249" s="36" t="n">
        <v>2259297.54066</v>
      </c>
      <c r="N249" s="37" t="n">
        <v>30329295.24</v>
      </c>
      <c r="O249" s="37" t="n">
        <v>26600.4145</v>
      </c>
      <c r="P249" s="37" t="n">
        <v>1849.0277</v>
      </c>
      <c r="Q249" s="36" t="n">
        <v>83187.75999999999</v>
      </c>
      <c r="R249" s="37" t="n">
        <v>336455172.6048</v>
      </c>
      <c r="S249" s="37" t="n">
        <v>999613268.5114</v>
      </c>
      <c r="T249" s="38">
        <f>IF(OR(R249="",R248=""),"",R249-R248)</f>
        <v/>
      </c>
      <c r="U249" s="38">
        <f>IF(OR(S249="",S248=""),"",S249-S248)</f>
        <v/>
      </c>
      <c r="V249" s="38">
        <f>IF(OR(U249="",P249=""),"",U249+P249)</f>
        <v/>
      </c>
      <c r="W249" s="38">
        <f>IF(OR(T249="",O249="",P249=""),"",T249-O249+P249)</f>
        <v/>
      </c>
    </row>
    <row r="250">
      <c r="A250" s="30" t="n">
        <v>45904</v>
      </c>
      <c r="B250" s="36" t="n">
        <v>9353334458.860628</v>
      </c>
      <c r="C250" s="36" t="n"/>
      <c r="D250" s="36" t="n">
        <v>0</v>
      </c>
      <c r="E250" s="36" t="n">
        <v>2588476.63511</v>
      </c>
      <c r="F250" s="36" t="n">
        <v>0</v>
      </c>
      <c r="G250" s="36" t="n">
        <v>0</v>
      </c>
      <c r="H250" s="36" t="n">
        <v>108106</v>
      </c>
      <c r="I250" s="36" t="n">
        <v>141848</v>
      </c>
      <c r="J250" s="36" t="n">
        <v>20973.83293150496</v>
      </c>
      <c r="K250" s="36" t="n">
        <v>23483.66</v>
      </c>
      <c r="L250" s="37" t="n">
        <v>56982.19</v>
      </c>
      <c r="M250" s="36" t="n">
        <v>2588476.63511</v>
      </c>
      <c r="N250" s="37" t="n">
        <v>30386453.73</v>
      </c>
      <c r="O250" s="37" t="n">
        <v>26579.8812</v>
      </c>
      <c r="P250" s="37" t="n">
        <v>500.6941</v>
      </c>
      <c r="Q250" s="36" t="n">
        <v>22924.03</v>
      </c>
      <c r="R250" s="37" t="n">
        <v>336466722.2326</v>
      </c>
      <c r="S250" s="37" t="n">
        <v>999612767.8173</v>
      </c>
      <c r="T250" s="38">
        <f>IF(OR(R250="",R249=""),"",R250-R249)</f>
        <v/>
      </c>
      <c r="U250" s="38">
        <f>IF(OR(S250="",S249=""),"",S250-S249)</f>
        <v/>
      </c>
      <c r="V250" s="38">
        <f>IF(OR(U250="",P250=""),"",U250+P250)</f>
        <v/>
      </c>
      <c r="W250" s="38">
        <f>IF(OR(T250="",O250="",P250=""),"",T250-O250+P250)</f>
        <v/>
      </c>
    </row>
    <row r="251">
      <c r="A251" s="30" t="n">
        <v>45905</v>
      </c>
      <c r="B251" s="36" t="n">
        <v>13297495996.65089</v>
      </c>
      <c r="C251" s="36" t="n"/>
      <c r="D251" s="36" t="n">
        <v>0</v>
      </c>
      <c r="E251" s="36" t="n">
        <v>3390576.2696</v>
      </c>
      <c r="F251" s="36" t="n">
        <v>0</v>
      </c>
      <c r="G251" s="36" t="n">
        <v>0</v>
      </c>
      <c r="H251" s="36" t="n">
        <v>152198</v>
      </c>
      <c r="I251" s="36" t="n">
        <v>202138</v>
      </c>
      <c r="J251" s="36" t="n">
        <v>33820.50239822755</v>
      </c>
      <c r="K251" s="36" t="n">
        <v>0</v>
      </c>
      <c r="L251" s="37" t="n">
        <v>72961.84</v>
      </c>
      <c r="M251" s="36" t="n">
        <v>3390576.2696</v>
      </c>
      <c r="N251" s="37" t="n">
        <v>30459239.27</v>
      </c>
      <c r="O251" s="37" t="n">
        <v>26477.5564</v>
      </c>
      <c r="P251" s="37" t="n">
        <v>922.0321</v>
      </c>
      <c r="Q251" s="36" t="n">
        <v>41829.37</v>
      </c>
      <c r="R251" s="37" t="n">
        <v>336477744.2731</v>
      </c>
      <c r="S251" s="37" t="n">
        <v>999611845.7852</v>
      </c>
      <c r="T251" s="38">
        <f>IF(OR(R251="",R250=""),"",R251-R250)</f>
        <v/>
      </c>
      <c r="U251" s="38">
        <f>IF(OR(S251="",S250=""),"",S251-S250)</f>
        <v/>
      </c>
      <c r="V251" s="38">
        <f>IF(OR(U251="",P251=""),"",U251+P251)</f>
        <v/>
      </c>
      <c r="W251" s="38">
        <f>IF(OR(T251="",O251="",P251=""),"",T251-O251+P251)</f>
        <v/>
      </c>
    </row>
    <row r="252">
      <c r="A252" s="30" t="n">
        <v>45906</v>
      </c>
      <c r="B252" s="36" t="n">
        <v>3331797735.063243</v>
      </c>
      <c r="C252" s="36" t="n"/>
      <c r="D252" s="36" t="n">
        <v>0</v>
      </c>
      <c r="E252" s="36" t="n">
        <v>996785.99767</v>
      </c>
      <c r="F252" s="36" t="n">
        <v>0</v>
      </c>
      <c r="G252" s="36" t="n">
        <v>0</v>
      </c>
      <c r="H252" s="36" t="n">
        <v>86566</v>
      </c>
      <c r="I252" s="36" t="n">
        <v>113097</v>
      </c>
      <c r="J252" s="36" t="n">
        <v>9924.966067739862</v>
      </c>
      <c r="K252" s="36" t="n">
        <v>26595.36</v>
      </c>
      <c r="L252" s="37" t="n">
        <v>21417.47</v>
      </c>
      <c r="M252" s="36" t="n">
        <v>996785.99767</v>
      </c>
      <c r="N252" s="37" t="n">
        <v>30480656.74</v>
      </c>
      <c r="O252" s="37" t="n">
        <v>26466.1282</v>
      </c>
      <c r="P252" s="37" t="n">
        <v>660.0802</v>
      </c>
      <c r="Q252" s="36" t="n">
        <v>31311.23</v>
      </c>
      <c r="R252" s="37" t="n">
        <v>336489014.1038</v>
      </c>
      <c r="S252" s="37" t="n">
        <v>999611185.705</v>
      </c>
      <c r="T252" s="38">
        <f>IF(OR(R252="",R251=""),"",R252-R251)</f>
        <v/>
      </c>
      <c r="U252" s="38">
        <f>IF(OR(S252="",S251=""),"",S252-S251)</f>
        <v/>
      </c>
      <c r="V252" s="38">
        <f>IF(OR(U252="",P252=""),"",U252+P252)</f>
        <v/>
      </c>
      <c r="W252" s="38">
        <f>IF(OR(T252="",O252="",P252=""),"",T252-O252+P252)</f>
        <v/>
      </c>
    </row>
    <row r="253">
      <c r="A253" s="30" t="n">
        <v>45907</v>
      </c>
      <c r="B253" s="36" t="n">
        <v>3844405859.281347</v>
      </c>
      <c r="C253" s="36" t="n">
        <v>228441598.2557046</v>
      </c>
      <c r="D253" s="36" t="n">
        <v>0</v>
      </c>
      <c r="E253" s="36" t="n">
        <v>1076047.8964</v>
      </c>
      <c r="F253" s="36" t="n">
        <v>0</v>
      </c>
      <c r="G253" s="36" t="n">
        <v>0</v>
      </c>
      <c r="H253" s="36" t="n">
        <v>107118</v>
      </c>
      <c r="I253" s="36" t="n">
        <v>140516</v>
      </c>
      <c r="J253" s="36" t="n">
        <v>10078.66332137399</v>
      </c>
      <c r="K253" s="36" t="n">
        <v>0</v>
      </c>
      <c r="L253" s="37" t="n">
        <v>22861.04</v>
      </c>
      <c r="M253" s="36" t="n">
        <v>1076047.8964</v>
      </c>
      <c r="N253" s="37" t="n">
        <v>30503517.78</v>
      </c>
      <c r="O253" s="37" t="n">
        <v>26495.0245</v>
      </c>
      <c r="P253" s="37" t="n">
        <v>869.383</v>
      </c>
      <c r="Q253" s="36" t="n">
        <v>40168.54</v>
      </c>
      <c r="R253" s="37" t="n">
        <v>336500096.3823</v>
      </c>
      <c r="S253" s="37" t="n">
        <v>999610316.322</v>
      </c>
      <c r="T253" s="38">
        <f>IF(OR(R253="",R252=""),"",R253-R252)</f>
        <v/>
      </c>
      <c r="U253" s="38">
        <f>IF(OR(S253="",S252=""),"",S253-S252)</f>
        <v/>
      </c>
      <c r="V253" s="38">
        <f>IF(OR(U253="",P253=""),"",U253+P253)</f>
        <v/>
      </c>
      <c r="W253" s="38">
        <f>IF(OR(T253="",O253="",P253=""),"",T253-O253+P253)</f>
        <v/>
      </c>
    </row>
    <row r="254">
      <c r="A254" s="30" t="n">
        <v>45908</v>
      </c>
      <c r="B254" s="36" t="n">
        <v>9243638471.371004</v>
      </c>
      <c r="C254" s="36" t="n">
        <v>560130865.134505</v>
      </c>
      <c r="D254" s="36" t="n">
        <v>0</v>
      </c>
      <c r="E254" s="36" t="n">
        <v>2646828.64244</v>
      </c>
      <c r="F254" s="36" t="n">
        <v>0</v>
      </c>
      <c r="G254" s="36" t="n">
        <v>0</v>
      </c>
      <c r="H254" s="36" t="n">
        <v>217527</v>
      </c>
      <c r="I254" s="36" t="n">
        <v>273056</v>
      </c>
      <c r="J254" s="36" t="n">
        <v>30522.43348773766</v>
      </c>
      <c r="K254" s="36" t="n">
        <v>23586.38</v>
      </c>
      <c r="L254" s="37" t="n">
        <v>52527.18</v>
      </c>
      <c r="M254" s="36" t="n">
        <v>2646828.64244</v>
      </c>
      <c r="N254" s="37" t="n">
        <v>30556044.96</v>
      </c>
      <c r="O254" s="37" t="n">
        <v>26585.8381</v>
      </c>
      <c r="P254" s="37" t="n">
        <v>393.8362</v>
      </c>
      <c r="Q254" s="36" t="n">
        <v>18541.02</v>
      </c>
      <c r="R254" s="37" t="n">
        <v>336511744.2139</v>
      </c>
      <c r="S254" s="37" t="n">
        <v>999609922.4858</v>
      </c>
      <c r="T254" s="38">
        <f>IF(OR(R254="",R253=""),"",R254-R253)</f>
        <v/>
      </c>
      <c r="U254" s="38">
        <f>IF(OR(S254="",S253=""),"",S254-S253)</f>
        <v/>
      </c>
      <c r="V254" s="38">
        <f>IF(OR(U254="",P254=""),"",U254+P254)</f>
        <v/>
      </c>
      <c r="W254" s="38">
        <f>IF(OR(T254="",O254="",P254=""),"",T254-O254+P254)</f>
        <v/>
      </c>
    </row>
    <row r="255">
      <c r="A255" s="30" t="n">
        <v>45909</v>
      </c>
      <c r="B255" s="36" t="n">
        <v>10021381731.79487</v>
      </c>
      <c r="C255" s="36" t="n">
        <v>699243944.8881996</v>
      </c>
      <c r="D255" s="36" t="n">
        <v>0</v>
      </c>
      <c r="E255" s="36" t="n">
        <v>2868805.13371</v>
      </c>
      <c r="F255" s="36" t="n">
        <v>0</v>
      </c>
      <c r="G255" s="36" t="n">
        <v>0</v>
      </c>
      <c r="H255" s="36" t="n">
        <v>342654</v>
      </c>
      <c r="I255" s="36" t="n">
        <v>413034</v>
      </c>
      <c r="J255" s="36" t="n">
        <v>44114.14466879103</v>
      </c>
      <c r="K255" s="36" t="n">
        <v>32581.41</v>
      </c>
      <c r="L255" s="37" t="n">
        <v>53818.18</v>
      </c>
      <c r="M255" s="36" t="n">
        <v>2868805.13371</v>
      </c>
      <c r="N255" s="37" t="n">
        <v>30609863.14</v>
      </c>
      <c r="O255" s="37" t="n">
        <v>26573.7835</v>
      </c>
      <c r="P255" s="37" t="n">
        <v>1758.4763</v>
      </c>
      <c r="Q255" s="36" t="n">
        <v>89376.32000000001</v>
      </c>
      <c r="R255" s="37" t="n">
        <v>336522020.0713</v>
      </c>
      <c r="S255" s="37" t="n">
        <v>999608164.0095</v>
      </c>
      <c r="T255" s="38">
        <f>IF(OR(R255="",R254=""),"",R255-R254)</f>
        <v/>
      </c>
      <c r="U255" s="38">
        <f>IF(OR(S255="",S254=""),"",S255-S254)</f>
        <v/>
      </c>
      <c r="V255" s="38">
        <f>IF(OR(U255="",P255=""),"",U255+P255)</f>
        <v/>
      </c>
      <c r="W255" s="38">
        <f>IF(OR(T255="",O255="",P255=""),"",T255-O255+P255)</f>
        <v/>
      </c>
    </row>
    <row r="256">
      <c r="A256" s="30" t="n">
        <v>45910</v>
      </c>
      <c r="B256" s="36" t="n">
        <v>10548513640.86533</v>
      </c>
      <c r="C256" s="36" t="n">
        <v>719104547.408921</v>
      </c>
      <c r="D256" s="36" t="n">
        <v>0</v>
      </c>
      <c r="E256" s="36" t="n">
        <v>3110976.397</v>
      </c>
      <c r="F256" s="36" t="n">
        <v>0</v>
      </c>
      <c r="G256" s="36" t="n">
        <v>0</v>
      </c>
      <c r="H256" s="36" t="n">
        <v>352169</v>
      </c>
      <c r="I256" s="36" t="n">
        <v>460271</v>
      </c>
      <c r="J256" s="36" t="n">
        <v>64920.65873867486</v>
      </c>
      <c r="K256" s="36" t="n">
        <v>0</v>
      </c>
      <c r="L256" s="37" t="n">
        <v>56960.36</v>
      </c>
      <c r="M256" s="36" t="n">
        <v>3110976.397</v>
      </c>
      <c r="N256" s="37" t="n">
        <v>30667003.89</v>
      </c>
      <c r="O256" s="37" t="n">
        <v>26497.9912</v>
      </c>
      <c r="P256" s="37" t="n">
        <v>1883.9013</v>
      </c>
      <c r="Q256" s="36" t="n">
        <v>99843</v>
      </c>
      <c r="R256" s="37" t="n">
        <v>336532181.8449</v>
      </c>
      <c r="S256" s="37" t="n">
        <v>999606280.1082</v>
      </c>
      <c r="T256" s="38">
        <f>IF(OR(R256="",R255=""),"",R256-R255)</f>
        <v/>
      </c>
      <c r="U256" s="38">
        <f>IF(OR(S256="",S255=""),"",S256-S255)</f>
        <v/>
      </c>
      <c r="V256" s="38">
        <f>IF(OR(U256="",P256=""),"",U256+P256)</f>
        <v/>
      </c>
      <c r="W256" s="38">
        <f>IF(OR(T256="",O256="",P256=""),"",T256-O256+P256)</f>
        <v/>
      </c>
    </row>
    <row r="257">
      <c r="A257" s="30" t="n">
        <v>45911</v>
      </c>
      <c r="B257" s="36" t="n">
        <v>10439854514.59675</v>
      </c>
      <c r="C257" s="36" t="n">
        <v>1094741476.282402</v>
      </c>
      <c r="D257" s="36" t="n">
        <v>0</v>
      </c>
      <c r="E257" s="36" t="n">
        <v>2776718.36674</v>
      </c>
      <c r="F257" s="36" t="n">
        <v>0</v>
      </c>
      <c r="G257" s="36" t="n">
        <v>0</v>
      </c>
      <c r="H257" s="36" t="n">
        <v>675011</v>
      </c>
      <c r="I257" s="36" t="n">
        <v>877218</v>
      </c>
      <c r="J257" s="36" t="n">
        <v>49875.71239998077</v>
      </c>
      <c r="K257" s="36" t="n">
        <v>38608.58</v>
      </c>
      <c r="L257" s="37" t="n">
        <v>50755.36</v>
      </c>
      <c r="M257" s="36" t="n">
        <v>2776718.36674</v>
      </c>
      <c r="N257" s="37" t="n">
        <v>30717578.86</v>
      </c>
      <c r="O257" s="37" t="n">
        <v>26585.6629</v>
      </c>
      <c r="P257" s="37" t="n">
        <v>962.3786</v>
      </c>
      <c r="Q257" s="36" t="n">
        <v>53594.86</v>
      </c>
      <c r="R257" s="37" t="n">
        <v>336543284.3194</v>
      </c>
      <c r="S257" s="37" t="n">
        <v>999605317.7296</v>
      </c>
      <c r="T257" s="38">
        <f>IF(OR(R257="",R256=""),"",R257-R256)</f>
        <v/>
      </c>
      <c r="U257" s="38">
        <f>IF(OR(S257="",S256=""),"",S257-S256)</f>
        <v/>
      </c>
      <c r="V257" s="38">
        <f>IF(OR(U257="",P257=""),"",U257+P257)</f>
        <v/>
      </c>
      <c r="W257" s="38">
        <f>IF(OR(T257="",O257="",P257=""),"",T257-O257+P257)</f>
        <v/>
      </c>
    </row>
    <row r="258">
      <c r="A258" s="30" t="n">
        <v>45912</v>
      </c>
      <c r="B258" s="36" t="n">
        <v>11233080580.32552</v>
      </c>
      <c r="C258" s="36" t="n">
        <v>1094479775.509347</v>
      </c>
      <c r="D258" s="36" t="n">
        <v>0</v>
      </c>
      <c r="E258" s="36" t="n">
        <v>3886527.32367</v>
      </c>
      <c r="F258" s="36" t="n">
        <v>0</v>
      </c>
      <c r="G258" s="36" t="n">
        <v>0</v>
      </c>
      <c r="H258" s="36" t="n">
        <v>719743</v>
      </c>
      <c r="I258" s="36" t="n">
        <v>932625</v>
      </c>
      <c r="J258" s="36" t="n">
        <v>27942.40777418236</v>
      </c>
      <c r="K258" s="36" t="n">
        <v>40234.03</v>
      </c>
      <c r="L258" s="37" t="n">
        <v>69085.89999999999</v>
      </c>
      <c r="M258" s="36" t="n">
        <v>3886527.32367</v>
      </c>
      <c r="N258" s="37" t="n">
        <v>30786664.76</v>
      </c>
      <c r="O258" s="37" t="n">
        <v>26596.9858</v>
      </c>
      <c r="P258" s="37" t="n">
        <v>1764.2211</v>
      </c>
      <c r="Q258" s="36" t="n">
        <v>100437.99</v>
      </c>
      <c r="R258" s="37" t="n">
        <v>336553589.8043</v>
      </c>
      <c r="S258" s="37" t="n">
        <v>999603553.5085</v>
      </c>
      <c r="T258" s="38">
        <f>IF(OR(R258="",R257=""),"",R258-R257)</f>
        <v/>
      </c>
      <c r="U258" s="38">
        <f>IF(OR(S258="",S257=""),"",S258-S257)</f>
        <v/>
      </c>
      <c r="V258" s="38">
        <f>IF(OR(U258="",P258=""),"",U258+P258)</f>
        <v/>
      </c>
      <c r="W258" s="38">
        <f>IF(OR(T258="",O258="",P258=""),"",T258-O258+P258)</f>
        <v/>
      </c>
    </row>
    <row r="259">
      <c r="A259" s="30" t="n">
        <v>45913</v>
      </c>
      <c r="B259" s="36" t="n">
        <v>7135097960.119803</v>
      </c>
      <c r="C259" s="36" t="n">
        <v>938167075.8207673</v>
      </c>
      <c r="D259" s="36" t="n">
        <v>0</v>
      </c>
      <c r="E259" s="36" t="n">
        <v>2341465.7437</v>
      </c>
      <c r="F259" s="36" t="n">
        <v>0</v>
      </c>
      <c r="G259" s="36" t="n">
        <v>0</v>
      </c>
      <c r="H259" s="36" t="n">
        <v>667731</v>
      </c>
      <c r="I259" s="36" t="n">
        <v>872004</v>
      </c>
      <c r="J259" s="36" t="n">
        <v>27236.93572255552</v>
      </c>
      <c r="K259" s="36" t="n">
        <v>35238.96</v>
      </c>
      <c r="L259" s="37" t="n">
        <v>42254.53</v>
      </c>
      <c r="M259" s="36" t="n">
        <v>2341465.7437</v>
      </c>
      <c r="N259" s="37" t="n">
        <v>30828919.29</v>
      </c>
      <c r="O259" s="37" t="n">
        <v>26610.6412</v>
      </c>
      <c r="P259" s="37" t="n">
        <v>1590.6385</v>
      </c>
      <c r="Q259" s="36" t="n">
        <v>87889.94</v>
      </c>
      <c r="R259" s="37" t="n">
        <v>336564086.7358</v>
      </c>
      <c r="S259" s="37" t="n">
        <v>999601962.8699</v>
      </c>
      <c r="T259" s="38">
        <f>IF(OR(R259="",R258=""),"",R259-R258)</f>
        <v/>
      </c>
      <c r="U259" s="38">
        <f>IF(OR(S259="",S258=""),"",S259-S258)</f>
        <v/>
      </c>
      <c r="V259" s="38">
        <f>IF(OR(U259="",P259=""),"",U259+P259)</f>
        <v/>
      </c>
      <c r="W259" s="38">
        <f>IF(OR(T259="",O259="",P259=""),"",T259-O259+P259)</f>
        <v/>
      </c>
    </row>
    <row r="260">
      <c r="A260" s="30" t="n">
        <v>45914</v>
      </c>
      <c r="B260" s="36" t="n">
        <v>7351240468.233036</v>
      </c>
      <c r="C260" s="36" t="n">
        <v>1437490568.857316</v>
      </c>
      <c r="D260" s="36" t="n">
        <v>0</v>
      </c>
      <c r="E260" s="36" t="n">
        <v>2440513.66345</v>
      </c>
      <c r="F260" s="36" t="n">
        <v>0</v>
      </c>
      <c r="G260" s="36" t="n">
        <v>0</v>
      </c>
      <c r="H260" s="36" t="n">
        <v>1177892</v>
      </c>
      <c r="I260" s="36" t="n">
        <v>1484929</v>
      </c>
      <c r="J260" s="36" t="n">
        <v>25193.24964935424</v>
      </c>
      <c r="K260" s="36" t="n">
        <v>69612.11</v>
      </c>
      <c r="L260" s="37" t="n">
        <v>44985.96</v>
      </c>
      <c r="M260" s="36" t="n">
        <v>2440513.66345</v>
      </c>
      <c r="N260" s="37" t="n">
        <v>30873905.25</v>
      </c>
      <c r="O260" s="37" t="n">
        <v>26575.8632</v>
      </c>
      <c r="P260" s="37" t="n">
        <v>1322.6154</v>
      </c>
      <c r="Q260" s="36" t="n">
        <v>72478.66</v>
      </c>
      <c r="R260" s="37" t="n">
        <v>336574841.2925</v>
      </c>
      <c r="S260" s="37" t="n">
        <v>999600640.2546</v>
      </c>
      <c r="T260" s="38">
        <f>IF(OR(R260="",R259=""),"",R260-R259)</f>
        <v/>
      </c>
      <c r="U260" s="38">
        <f>IF(OR(S260="",S259=""),"",S260-S259)</f>
        <v/>
      </c>
      <c r="V260" s="38">
        <f>IF(OR(U260="",P260=""),"",U260+P260)</f>
        <v/>
      </c>
      <c r="W260" s="38">
        <f>IF(OR(T260="",O260="",P260=""),"",T260-O260+P260)</f>
        <v/>
      </c>
    </row>
    <row r="261">
      <c r="A261" s="30" t="n">
        <v>45915</v>
      </c>
      <c r="B261" s="36" t="n">
        <v>10569922363.93654</v>
      </c>
      <c r="C261" s="36" t="n">
        <v>827742710.6427817</v>
      </c>
      <c r="D261" s="36" t="n">
        <v>0</v>
      </c>
      <c r="E261" s="36" t="n">
        <v>3082934.90493</v>
      </c>
      <c r="F261" s="36" t="n">
        <v>0</v>
      </c>
      <c r="G261" s="36" t="n">
        <v>0</v>
      </c>
      <c r="H261" s="36" t="n">
        <v>446016</v>
      </c>
      <c r="I261" s="36" t="n">
        <v>546177</v>
      </c>
      <c r="J261" s="36" t="n">
        <v>39378.1698267149</v>
      </c>
      <c r="K261" s="36" t="n">
        <v>137023.41</v>
      </c>
      <c r="L261" s="37" t="n">
        <v>57922.8</v>
      </c>
      <c r="M261" s="36" t="n">
        <v>3082934.90493</v>
      </c>
      <c r="N261" s="37" t="n">
        <v>30933107.91</v>
      </c>
      <c r="O261" s="37" t="n">
        <v>26579.8241</v>
      </c>
      <c r="P261" s="37" t="n">
        <v>2114.4975</v>
      </c>
      <c r="Q261" s="36" t="n">
        <v>114011.59</v>
      </c>
      <c r="R261" s="37" t="n">
        <v>336584772.8928</v>
      </c>
      <c r="S261" s="37" t="n">
        <v>999598525.757</v>
      </c>
      <c r="T261" s="38">
        <f>IF(OR(R261="",R260=""),"",R261-R260)</f>
        <v/>
      </c>
      <c r="U261" s="38">
        <f>IF(OR(S261="",S260=""),"",S261-S260)</f>
        <v/>
      </c>
      <c r="V261" s="38">
        <f>IF(OR(U261="",P261=""),"",U261+P261)</f>
        <v/>
      </c>
      <c r="W261" s="38">
        <f>IF(OR(T261="",O261="",P261=""),"",T261-O261+P261)</f>
        <v/>
      </c>
    </row>
    <row r="262">
      <c r="A262" s="30" t="n">
        <v>45916</v>
      </c>
      <c r="B262" s="36" t="n">
        <v>8683442695.782038</v>
      </c>
      <c r="C262" s="36" t="n">
        <v>683449994.073549</v>
      </c>
      <c r="D262" s="36" t="n">
        <v>0</v>
      </c>
      <c r="E262" s="36" t="n">
        <v>2594690.27346</v>
      </c>
      <c r="F262" s="36" t="n">
        <v>0</v>
      </c>
      <c r="G262" s="36" t="n">
        <v>0</v>
      </c>
      <c r="H262" s="36" t="n">
        <v>434995</v>
      </c>
      <c r="I262" s="36" t="n">
        <v>513550</v>
      </c>
      <c r="J262" s="36" t="n">
        <v>40156.33760806474</v>
      </c>
      <c r="K262" s="36" t="n">
        <v>0</v>
      </c>
      <c r="L262" s="37" t="n">
        <v>48484.79</v>
      </c>
      <c r="M262" s="36" t="n">
        <v>2594690.27346</v>
      </c>
      <c r="N262" s="37" t="n">
        <v>30980292.85</v>
      </c>
      <c r="O262" s="37" t="n">
        <v>26544.4866</v>
      </c>
      <c r="P262" s="37" t="n">
        <v>3313.2701</v>
      </c>
      <c r="Q262" s="36" t="n">
        <v>178404.68</v>
      </c>
      <c r="R262" s="37" t="n">
        <v>336593454.9461</v>
      </c>
      <c r="S262" s="37" t="n">
        <v>999595212.487</v>
      </c>
      <c r="T262" s="38">
        <f>IF(OR(R262="",R261=""),"",R262-R261)</f>
        <v/>
      </c>
      <c r="U262" s="38">
        <f>IF(OR(S262="",S261=""),"",S262-S261)</f>
        <v/>
      </c>
      <c r="V262" s="38">
        <f>IF(OR(U262="",P262=""),"",U262+P262)</f>
        <v/>
      </c>
      <c r="W262" s="38">
        <f>IF(OR(T262="",O262="",P262=""),"",T262-O262+P262)</f>
        <v/>
      </c>
    </row>
    <row r="263">
      <c r="A263" s="30" t="n">
        <v>45917</v>
      </c>
      <c r="B263" s="36" t="n">
        <v>12223979385.21501</v>
      </c>
      <c r="C263" s="36" t="n">
        <v>969217220.8807002</v>
      </c>
      <c r="D263" s="36" t="n">
        <v>0</v>
      </c>
      <c r="E263" s="36" t="n">
        <v>3503801.88959</v>
      </c>
      <c r="F263" s="36" t="n">
        <v>0</v>
      </c>
      <c r="G263" s="36" t="n">
        <v>0</v>
      </c>
      <c r="H263" s="36" t="n">
        <v>619267</v>
      </c>
      <c r="I263" s="36" t="n">
        <v>733442</v>
      </c>
      <c r="J263" s="36" t="n">
        <v>37998.55017001093</v>
      </c>
      <c r="K263" s="36" t="n">
        <v>40795.08</v>
      </c>
      <c r="L263" s="37" t="n">
        <v>63294.81</v>
      </c>
      <c r="M263" s="36" t="n">
        <v>3503801.88959</v>
      </c>
      <c r="N263" s="37" t="n">
        <v>31042329.24</v>
      </c>
      <c r="O263" s="37" t="n">
        <v>26519.9032</v>
      </c>
      <c r="P263" s="37" t="n">
        <v>697.1051</v>
      </c>
      <c r="Q263" s="36" t="n">
        <v>37697.7</v>
      </c>
      <c r="R263" s="37" t="n">
        <v>336604666.9719</v>
      </c>
      <c r="S263" s="37" t="n">
        <v>999594515.3819</v>
      </c>
      <c r="T263" s="38">
        <f>IF(OR(R263="",R262=""),"",R263-R262)</f>
        <v/>
      </c>
      <c r="U263" s="38">
        <f>IF(OR(S263="",S262=""),"",S263-S262)</f>
        <v/>
      </c>
      <c r="V263" s="38">
        <f>IF(OR(U263="",P263=""),"",U263+P263)</f>
        <v/>
      </c>
      <c r="W263" s="38">
        <f>IF(OR(T263="",O263="",P263=""),"",T263-O263+P263)</f>
        <v/>
      </c>
    </row>
    <row r="264">
      <c r="A264" s="30" t="n">
        <v>45918</v>
      </c>
      <c r="B264" s="36" t="n">
        <v>9613850551.592533</v>
      </c>
      <c r="C264" s="36" t="n">
        <v>850496679.2463367</v>
      </c>
      <c r="D264" s="36" t="n">
        <v>0</v>
      </c>
      <c r="E264" s="36" t="n">
        <v>2978630.80127</v>
      </c>
      <c r="F264" s="36" t="n">
        <v>0</v>
      </c>
      <c r="G264" s="36" t="n">
        <v>0</v>
      </c>
      <c r="H264" s="36" t="n">
        <v>512239</v>
      </c>
      <c r="I264" s="36" t="n">
        <v>590986</v>
      </c>
      <c r="J264" s="36" t="n">
        <v>40751.90259362284</v>
      </c>
      <c r="K264" s="36" t="n">
        <v>40354.24</v>
      </c>
      <c r="L264" s="37" t="n">
        <v>51082.94</v>
      </c>
      <c r="M264" s="36" t="n">
        <v>2978630.80127</v>
      </c>
      <c r="N264" s="37" t="n">
        <v>31094690.59</v>
      </c>
      <c r="O264" s="37" t="n">
        <v>26535.3939</v>
      </c>
      <c r="P264" s="37" t="n">
        <v>1522.8477</v>
      </c>
      <c r="Q264" s="36" t="n">
        <v>88170.60000000001</v>
      </c>
      <c r="R264" s="37" t="n">
        <v>336615136.9378</v>
      </c>
      <c r="S264" s="37" t="n">
        <v>999592992.5341001</v>
      </c>
      <c r="T264" s="38">
        <f>IF(OR(R264="",R263=""),"",R264-R263)</f>
        <v/>
      </c>
      <c r="U264" s="38">
        <f>IF(OR(S264="",S263=""),"",S264-S263)</f>
        <v/>
      </c>
      <c r="V264" s="38">
        <f>IF(OR(U264="",P264=""),"",U264+P264)</f>
        <v/>
      </c>
      <c r="W264" s="38">
        <f>IF(OR(T264="",O264="",P264=""),"",T264-O264+P264)</f>
        <v/>
      </c>
    </row>
    <row r="265">
      <c r="A265" s="30" t="n">
        <v>45919</v>
      </c>
      <c r="B265" s="36" t="n">
        <v>9088388320.053013</v>
      </c>
      <c r="C265" s="36" t="n">
        <v>595975324.2508047</v>
      </c>
      <c r="D265" s="36" t="n">
        <v>0</v>
      </c>
      <c r="E265" s="36" t="n">
        <v>2702384.64833</v>
      </c>
      <c r="F265" s="36" t="n">
        <v>0</v>
      </c>
      <c r="G265" s="36" t="n">
        <v>0</v>
      </c>
      <c r="H265" s="36" t="n">
        <v>314403</v>
      </c>
      <c r="I265" s="36" t="n">
        <v>380519</v>
      </c>
      <c r="J265" s="36" t="n">
        <v>38873.93532871857</v>
      </c>
      <c r="K265" s="36" t="n">
        <v>61834.55</v>
      </c>
      <c r="L265" s="37" t="n">
        <v>47875.75</v>
      </c>
      <c r="M265" s="36" t="n">
        <v>2702384.64833</v>
      </c>
      <c r="N265" s="37" t="n">
        <v>31142566.34</v>
      </c>
      <c r="O265" s="37" t="n">
        <v>26519.1483</v>
      </c>
      <c r="P265" s="37" t="n">
        <v>1422.2344</v>
      </c>
      <c r="Q265" s="36" t="n">
        <v>83616</v>
      </c>
      <c r="R265" s="37" t="n">
        <v>336625675.5579</v>
      </c>
      <c r="S265" s="37" t="n">
        <v>999591570.2998</v>
      </c>
      <c r="T265" s="38">
        <f>IF(OR(R265="",R264=""),"",R265-R264)</f>
        <v/>
      </c>
      <c r="U265" s="38">
        <f>IF(OR(S265="",S264=""),"",S265-S264)</f>
        <v/>
      </c>
      <c r="V265" s="38">
        <f>IF(OR(U265="",P265=""),"",U265+P265)</f>
        <v/>
      </c>
      <c r="W265" s="38">
        <f>IF(OR(T265="",O265="",P265=""),"",T265-O265+P265)</f>
        <v/>
      </c>
    </row>
    <row r="266">
      <c r="A266" s="30" t="n">
        <v>45920</v>
      </c>
      <c r="B266" s="36" t="n">
        <v>4219380098.346895</v>
      </c>
      <c r="C266" s="36" t="n">
        <v>462163180.4315408</v>
      </c>
      <c r="D266" s="36" t="n">
        <v>0</v>
      </c>
      <c r="E266" s="36" t="n">
        <v>1449428.03146</v>
      </c>
      <c r="F266" s="36" t="n">
        <v>0</v>
      </c>
      <c r="G266" s="36" t="n">
        <v>0</v>
      </c>
      <c r="H266" s="36" t="n">
        <v>278589</v>
      </c>
      <c r="I266" s="36" t="n">
        <v>334244</v>
      </c>
      <c r="J266" s="36" t="n">
        <v>20787.05471263842</v>
      </c>
      <c r="K266" s="36" t="n">
        <v>0</v>
      </c>
      <c r="L266" s="37" t="n">
        <v>26174.58</v>
      </c>
      <c r="M266" s="36" t="n">
        <v>1449428.03146</v>
      </c>
      <c r="N266" s="37" t="n">
        <v>31168740.92</v>
      </c>
      <c r="O266" s="37" t="n">
        <v>26520.645</v>
      </c>
      <c r="P266" s="37" t="n">
        <v>1487.1558</v>
      </c>
      <c r="Q266" s="36" t="n">
        <v>83413.82000000001</v>
      </c>
      <c r="R266" s="37" t="n">
        <v>336636118.7715</v>
      </c>
      <c r="S266" s="37" t="n">
        <v>999590083.1440001</v>
      </c>
      <c r="T266" s="38">
        <f>IF(OR(R266="",R265=""),"",R266-R265)</f>
        <v/>
      </c>
      <c r="U266" s="38">
        <f>IF(OR(S266="",S265=""),"",S266-S265)</f>
        <v/>
      </c>
      <c r="V266" s="38">
        <f>IF(OR(U266="",P266=""),"",U266+P266)</f>
        <v/>
      </c>
      <c r="W266" s="38">
        <f>IF(OR(T266="",O266="",P266=""),"",T266-O266+P266)</f>
        <v/>
      </c>
    </row>
    <row r="267">
      <c r="A267" s="30" t="n">
        <v>45921</v>
      </c>
      <c r="B267" s="36" t="n">
        <v>5311897299.167199</v>
      </c>
      <c r="C267" s="36" t="n">
        <v>486691901.0599771</v>
      </c>
      <c r="D267" s="36" t="n">
        <v>0</v>
      </c>
      <c r="E267" s="36" t="n">
        <v>1731316.00493</v>
      </c>
      <c r="F267" s="36" t="n">
        <v>0</v>
      </c>
      <c r="G267" s="36" t="n">
        <v>0</v>
      </c>
      <c r="H267" s="36" t="n">
        <v>227210</v>
      </c>
      <c r="I267" s="36" t="n">
        <v>269790</v>
      </c>
      <c r="J267" s="36" t="n">
        <v>24836.73302502789</v>
      </c>
      <c r="K267" s="36" t="n">
        <v>53372.92</v>
      </c>
      <c r="L267" s="37" t="n">
        <v>32969.48</v>
      </c>
      <c r="M267" s="36" t="n">
        <v>1731316.00493</v>
      </c>
      <c r="N267" s="37" t="n">
        <v>31202104.65</v>
      </c>
      <c r="O267" s="37" t="n">
        <v>26520.6144</v>
      </c>
      <c r="P267" s="37" t="n">
        <v>379.3241</v>
      </c>
      <c r="Q267" s="36" t="n">
        <v>20554.24</v>
      </c>
      <c r="R267" s="37" t="n">
        <v>336647662.2603</v>
      </c>
      <c r="S267" s="37" t="n">
        <v>999589703.8199</v>
      </c>
      <c r="T267" s="38">
        <f>IF(OR(R267="",R266=""),"",R267-R266)</f>
        <v/>
      </c>
      <c r="U267" s="38">
        <f>IF(OR(S267="",S266=""),"",S267-S266)</f>
        <v/>
      </c>
      <c r="V267" s="38">
        <f>IF(OR(U267="",P267=""),"",U267+P267)</f>
        <v/>
      </c>
      <c r="W267" s="38">
        <f>IF(OR(T267="",O267="",P267=""),"",T267-O267+P267)</f>
        <v/>
      </c>
    </row>
    <row r="268">
      <c r="A268" s="30" t="n">
        <v>45922</v>
      </c>
      <c r="B268" s="36" t="n">
        <v>16410899803.68904</v>
      </c>
      <c r="C268" s="36" t="n">
        <v>800897188.7099341</v>
      </c>
      <c r="D268" s="36" t="n">
        <v>0</v>
      </c>
      <c r="E268" s="36" t="n">
        <v>4825143.11409</v>
      </c>
      <c r="F268" s="36" t="n">
        <v>0</v>
      </c>
      <c r="G268" s="36" t="n">
        <v>0</v>
      </c>
      <c r="H268" s="36" t="n">
        <v>253053</v>
      </c>
      <c r="I268" s="36" t="n">
        <v>327310</v>
      </c>
      <c r="J268" s="36" t="n">
        <v>83905.02673487215</v>
      </c>
      <c r="K268" s="36" t="n">
        <v>31873.95</v>
      </c>
      <c r="L268" s="37" t="n">
        <v>99115.08</v>
      </c>
      <c r="M268" s="36" t="n">
        <v>4825143.11409</v>
      </c>
      <c r="N268" s="37" t="n">
        <v>31301565.54</v>
      </c>
      <c r="O268" s="37" t="n">
        <v>26481.2514</v>
      </c>
      <c r="P268" s="37" t="n">
        <v>1654.3808</v>
      </c>
      <c r="Q268" s="36" t="n">
        <v>84301.45</v>
      </c>
      <c r="R268" s="37" t="n">
        <v>336657935.7533</v>
      </c>
      <c r="S268" s="37" t="n">
        <v>999588049.4392</v>
      </c>
      <c r="T268" s="38">
        <f>IF(OR(R268="",R267=""),"",R268-R267)</f>
        <v/>
      </c>
      <c r="U268" s="38">
        <f>IF(OR(S268="",S267=""),"",S268-S267)</f>
        <v/>
      </c>
      <c r="V268" s="38">
        <f>IF(OR(U268="",P268=""),"",U268+P268)</f>
        <v/>
      </c>
      <c r="W268" s="38">
        <f>IF(OR(T268="",O268="",P268=""),"",T268-O268+P268)</f>
        <v/>
      </c>
    </row>
    <row r="269">
      <c r="A269" s="30" t="n">
        <v>45923</v>
      </c>
      <c r="B269" s="36" t="n">
        <v>9710818917.334631</v>
      </c>
      <c r="C269" s="36" t="n">
        <v>525141559.9408007</v>
      </c>
      <c r="D269" s="36" t="n">
        <v>0</v>
      </c>
      <c r="E269" s="36" t="n">
        <v>2814059.09028</v>
      </c>
      <c r="F269" s="36" t="n">
        <v>0</v>
      </c>
      <c r="G269" s="36" t="n">
        <v>0</v>
      </c>
      <c r="H269" s="36" t="n">
        <v>179008</v>
      </c>
      <c r="I269" s="36" t="n">
        <v>222638</v>
      </c>
      <c r="J269" s="36" t="n">
        <v>53833.42766994093</v>
      </c>
      <c r="K269" s="36" t="n">
        <v>0</v>
      </c>
      <c r="L269" s="37" t="n">
        <v>60343.93</v>
      </c>
      <c r="M269" s="36" t="n">
        <v>2814059.09028</v>
      </c>
      <c r="N269" s="37" t="n">
        <v>31361169.41</v>
      </c>
      <c r="O269" s="37" t="n">
        <v>26550.3898</v>
      </c>
      <c r="P269" s="37" t="n">
        <v>1779.5668</v>
      </c>
      <c r="Q269" s="36" t="n">
        <v>83417.19</v>
      </c>
      <c r="R269" s="37" t="n">
        <v>336668163.6611</v>
      </c>
      <c r="S269" s="37" t="n">
        <v>999586269.8724</v>
      </c>
      <c r="T269" s="38">
        <f>IF(OR(R269="",R268=""),"",R269-R268)</f>
        <v/>
      </c>
      <c r="U269" s="38">
        <f>IF(OR(S269="",S268=""),"",S269-S268)</f>
        <v/>
      </c>
      <c r="V269" s="38">
        <f>IF(OR(U269="",P269=""),"",U269+P269)</f>
        <v/>
      </c>
      <c r="W269" s="38">
        <f>IF(OR(T269="",O269="",P269=""),"",T269-O269+P269)</f>
        <v/>
      </c>
    </row>
    <row r="270">
      <c r="A270" s="30" t="n">
        <v>45924</v>
      </c>
      <c r="B270" s="36" t="n">
        <v>9364843437.613741</v>
      </c>
      <c r="C270" s="36" t="n">
        <v>548805474.7437638</v>
      </c>
      <c r="D270" s="36" t="n">
        <v>0</v>
      </c>
      <c r="E270" s="36" t="n">
        <v>2663425.83059</v>
      </c>
      <c r="F270" s="36" t="n">
        <v>0</v>
      </c>
      <c r="G270" s="36" t="n">
        <v>0</v>
      </c>
      <c r="H270" s="36" t="n">
        <v>173179</v>
      </c>
      <c r="I270" s="36" t="n">
        <v>211012</v>
      </c>
      <c r="J270" s="36" t="n">
        <v>145666.6182970873</v>
      </c>
      <c r="K270" s="36" t="n">
        <v>26322.72</v>
      </c>
      <c r="L270" s="37" t="n">
        <v>59159.16</v>
      </c>
      <c r="M270" s="36" t="n">
        <v>2663425.83059</v>
      </c>
      <c r="N270" s="37" t="n">
        <v>31420547.02</v>
      </c>
      <c r="O270" s="37" t="n">
        <v>26333.996</v>
      </c>
      <c r="P270" s="37" t="n">
        <v>1059.8152</v>
      </c>
      <c r="Q270" s="36" t="n">
        <v>47413.48</v>
      </c>
      <c r="R270" s="37" t="n">
        <v>336678806.3201</v>
      </c>
      <c r="S270" s="37" t="n">
        <v>999585210.0572</v>
      </c>
      <c r="T270" s="38">
        <f>IF(OR(R270="",R269=""),"",R270-R269)</f>
        <v/>
      </c>
      <c r="U270" s="38">
        <f>IF(OR(S270="",S269=""),"",S270-S269)</f>
        <v/>
      </c>
      <c r="V270" s="38">
        <f>IF(OR(U270="",P270=""),"",U270+P270)</f>
        <v/>
      </c>
      <c r="W270" s="38">
        <f>IF(OR(T270="",O270="",P270=""),"",T270-O270+P270)</f>
        <v/>
      </c>
    </row>
    <row r="271">
      <c r="A271" s="30" t="n">
        <v>45925</v>
      </c>
      <c r="B271" s="36" t="n">
        <v>17338409014.86723</v>
      </c>
      <c r="C271" s="36" t="n">
        <v>1272071931.26043</v>
      </c>
      <c r="D271" s="36" t="n">
        <v>0</v>
      </c>
      <c r="E271" s="36" t="n">
        <v>5027352.35541</v>
      </c>
      <c r="F271" s="36" t="n">
        <v>0</v>
      </c>
      <c r="G271" s="36" t="n">
        <v>0</v>
      </c>
      <c r="H271" s="36" t="n">
        <v>416147</v>
      </c>
      <c r="I271" s="36" t="n">
        <v>607352</v>
      </c>
      <c r="J271" s="36" t="n">
        <v>111412.3042617545</v>
      </c>
      <c r="K271" s="36" t="n">
        <v>32452.93</v>
      </c>
      <c r="L271" s="37" t="n">
        <v>119037.7</v>
      </c>
      <c r="M271" s="36" t="n">
        <v>5027352.35541</v>
      </c>
      <c r="N271" s="37" t="n">
        <v>31539671.17</v>
      </c>
      <c r="O271" s="37" t="n">
        <v>26490.2406</v>
      </c>
      <c r="P271" s="37" t="n">
        <v>1835.6658</v>
      </c>
      <c r="Q271" s="36" t="n">
        <v>84070.74000000001</v>
      </c>
      <c r="R271" s="37" t="n">
        <v>336688872.2694</v>
      </c>
      <c r="S271" s="37" t="n">
        <v>999583374.3914</v>
      </c>
      <c r="T271" s="38">
        <f>IF(OR(R271="",R270=""),"",R271-R270)</f>
        <v/>
      </c>
      <c r="U271" s="38">
        <f>IF(OR(S271="",S270=""),"",S271-S270)</f>
        <v/>
      </c>
      <c r="V271" s="38">
        <f>IF(OR(U271="",P271=""),"",U271+P271)</f>
        <v/>
      </c>
      <c r="W271" s="38">
        <f>IF(OR(T271="",O271="",P271=""),"",T271-O271+P271)</f>
        <v/>
      </c>
    </row>
    <row r="272">
      <c r="A272" s="30" t="n">
        <v>45926</v>
      </c>
      <c r="B272" s="36" t="n">
        <v>9099654714.808125</v>
      </c>
      <c r="C272" s="36" t="n">
        <v>1070183295.575557</v>
      </c>
      <c r="D272" s="36" t="n">
        <v>0</v>
      </c>
      <c r="E272" s="36" t="n">
        <v>2846935.39964</v>
      </c>
      <c r="F272" s="36" t="n">
        <v>0</v>
      </c>
      <c r="G272" s="36" t="n">
        <v>0</v>
      </c>
      <c r="H272" s="36" t="n">
        <v>318514</v>
      </c>
      <c r="I272" s="36" t="n">
        <v>497915</v>
      </c>
      <c r="J272" s="36" t="n">
        <v>95150.72465556856</v>
      </c>
      <c r="K272" s="36" t="n">
        <v>0</v>
      </c>
      <c r="L272" s="37" t="n">
        <v>65870.34</v>
      </c>
      <c r="M272" s="36" t="n">
        <v>2846935.39964</v>
      </c>
      <c r="N272" s="37" t="n">
        <v>31605236.61</v>
      </c>
      <c r="O272" s="37" t="n">
        <v>26434.0542</v>
      </c>
      <c r="P272" s="37" t="n">
        <v>2653.1531</v>
      </c>
      <c r="Q272" s="36" t="n">
        <v>109171.94</v>
      </c>
      <c r="R272" s="37" t="n">
        <v>336698052.4516</v>
      </c>
      <c r="S272" s="37" t="n">
        <v>999580721.2383</v>
      </c>
      <c r="T272" s="38">
        <f>IF(OR(R272="",R271=""),"",R272-R271)</f>
        <v/>
      </c>
      <c r="U272" s="38">
        <f>IF(OR(S272="",S271=""),"",S272-S271)</f>
        <v/>
      </c>
      <c r="V272" s="38">
        <f>IF(OR(U272="",P272=""),"",U272+P272)</f>
        <v/>
      </c>
      <c r="W272" s="38">
        <f>IF(OR(T272="",O272="",P272=""),"",T272-O272+P272)</f>
        <v/>
      </c>
    </row>
    <row r="273">
      <c r="A273" s="30" t="n">
        <v>45927</v>
      </c>
      <c r="B273" s="36" t="n">
        <v>4181427581.761502</v>
      </c>
      <c r="C273" s="36" t="n">
        <v>655504681.6789134</v>
      </c>
      <c r="D273" s="36" t="n">
        <v>0</v>
      </c>
      <c r="E273" s="36" t="n">
        <v>1460827.72403</v>
      </c>
      <c r="F273" s="36" t="n">
        <v>0</v>
      </c>
      <c r="G273" s="36" t="n">
        <v>0</v>
      </c>
      <c r="H273" s="36" t="n">
        <v>169956</v>
      </c>
      <c r="I273" s="36" t="n">
        <v>293605</v>
      </c>
      <c r="J273" s="36" t="n">
        <v>34516.32436584815</v>
      </c>
      <c r="K273" s="36" t="n">
        <v>22419.21</v>
      </c>
      <c r="L273" s="37" t="n">
        <v>32624.52</v>
      </c>
      <c r="M273" s="36" t="n">
        <v>1460827.72403</v>
      </c>
      <c r="N273" s="37" t="n">
        <v>31675614.22</v>
      </c>
      <c r="O273" s="37" t="n">
        <v>26395.275</v>
      </c>
      <c r="P273" s="37" t="n">
        <v>1489.1978</v>
      </c>
      <c r="Q273" s="36" t="n">
        <v>66844.88</v>
      </c>
      <c r="R273" s="37" t="n">
        <v>336708301.6659</v>
      </c>
      <c r="S273" s="37" t="n">
        <v>999579232.0404</v>
      </c>
      <c r="T273" s="38">
        <f>IF(OR(R273="",R272=""),"",R273-R272)</f>
        <v/>
      </c>
      <c r="U273" s="38">
        <f>IF(OR(S273="",S272=""),"",S273-S272)</f>
        <v/>
      </c>
      <c r="V273" s="38">
        <f>IF(OR(U273="",P273=""),"",U273+P273)</f>
        <v/>
      </c>
      <c r="W273" s="38">
        <f>IF(OR(T273="",O273="",P273=""),"",T273-O273+P273)</f>
        <v/>
      </c>
    </row>
    <row r="274">
      <c r="A274" s="30" t="n">
        <v>45928</v>
      </c>
      <c r="B274" s="36" t="n">
        <v>5697862969.067475</v>
      </c>
      <c r="C274" s="36" t="n">
        <v>529511395.4080792</v>
      </c>
      <c r="D274" s="36" t="n">
        <v>0</v>
      </c>
      <c r="E274" s="36" t="n">
        <v>1713778.62968</v>
      </c>
      <c r="F274" s="36" t="n">
        <v>0</v>
      </c>
      <c r="G274" s="36" t="n">
        <v>0</v>
      </c>
      <c r="H274" s="36" t="n">
        <v>147917</v>
      </c>
      <c r="I274" s="36" t="n">
        <v>212923</v>
      </c>
      <c r="J274" s="36" t="n">
        <v>42291.04119373473</v>
      </c>
      <c r="K274" s="36" t="n">
        <v>0</v>
      </c>
      <c r="L274" s="37" t="n">
        <v>37753.09</v>
      </c>
      <c r="M274" s="36" t="n">
        <v>1713778.62968</v>
      </c>
      <c r="N274" s="37" t="n">
        <v>31675614.22</v>
      </c>
      <c r="O274" s="37" t="n">
        <v>26313.7776</v>
      </c>
      <c r="P274" s="37" t="n">
        <v>1177.5401</v>
      </c>
      <c r="Q274" s="36" t="n">
        <v>53720.56</v>
      </c>
      <c r="R274" s="37" t="n">
        <v>336718806.4421</v>
      </c>
      <c r="S274" s="37" t="n">
        <v>999578054.5003</v>
      </c>
      <c r="T274" s="38">
        <f>IF(OR(R274="",R273=""),"",R274-R273)</f>
        <v/>
      </c>
      <c r="U274" s="38">
        <f>IF(OR(S274="",S273=""),"",S274-S273)</f>
        <v/>
      </c>
      <c r="V274" s="38">
        <f>IF(OR(U274="",P274=""),"",U274+P274)</f>
        <v/>
      </c>
      <c r="W274" s="38">
        <f>IF(OR(T274="",O274="",P274=""),"",T274-O274+P274)</f>
        <v/>
      </c>
    </row>
    <row r="275">
      <c r="A275" s="30" t="n">
        <v>45929</v>
      </c>
      <c r="B275" s="36" t="n">
        <v>7934780754.132312</v>
      </c>
      <c r="C275" s="36" t="n">
        <v>704831792.1384637</v>
      </c>
      <c r="D275" s="36" t="n">
        <v>0</v>
      </c>
      <c r="E275" s="36" t="n">
        <v>2482196.62762</v>
      </c>
      <c r="F275" s="36" t="n">
        <v>0</v>
      </c>
      <c r="G275" s="36" t="n">
        <v>0</v>
      </c>
      <c r="H275" s="36" t="n">
        <v>174982</v>
      </c>
      <c r="I275" s="36" t="n">
        <v>258840</v>
      </c>
      <c r="J275" s="36" t="n">
        <v>62226.71507096494</v>
      </c>
      <c r="K275" s="36" t="n">
        <v>31773.87</v>
      </c>
      <c r="L275" s="37" t="n">
        <v>53114.97</v>
      </c>
      <c r="M275" s="36" t="n">
        <v>2482196.62762</v>
      </c>
      <c r="N275" s="37" t="n">
        <v>31728729.19</v>
      </c>
      <c r="O275" s="37" t="n">
        <v>26353.2422</v>
      </c>
      <c r="P275" s="37" t="n">
        <v>1419.9657</v>
      </c>
      <c r="Q275" s="36" t="n">
        <v>66510.48</v>
      </c>
      <c r="R275" s="37" t="n">
        <v>336729084.8317</v>
      </c>
      <c r="S275" s="37" t="n">
        <v>999576634.5346</v>
      </c>
      <c r="T275" s="38">
        <f>IF(OR(R275="",R274=""),"",R275-R274)</f>
        <v/>
      </c>
      <c r="U275" s="38">
        <f>IF(OR(S275="",S274=""),"",S275-S274)</f>
        <v/>
      </c>
      <c r="V275" s="38">
        <f>IF(OR(U275="",P275=""),"",U275+P275)</f>
        <v/>
      </c>
      <c r="W275" s="38">
        <f>IF(OR(T275="",O275="",P275=""),"",T275-O275+P275)</f>
        <v/>
      </c>
    </row>
    <row r="276">
      <c r="A276" s="30" t="n">
        <v>45930</v>
      </c>
      <c r="B276" s="36" t="n">
        <v>8498007774.039121</v>
      </c>
      <c r="C276" s="36" t="n"/>
      <c r="D276" s="36" t="n">
        <v>0</v>
      </c>
      <c r="E276" s="36" t="n">
        <v>2530245.33311</v>
      </c>
      <c r="F276" s="36" t="n">
        <v>0</v>
      </c>
      <c r="G276" s="36" t="n">
        <v>0</v>
      </c>
      <c r="H276" s="36" t="n">
        <v>190907</v>
      </c>
      <c r="I276" s="36" t="n">
        <v>272745</v>
      </c>
      <c r="J276" s="36" t="n">
        <v>52354.82103129054</v>
      </c>
      <c r="K276" s="36" t="n">
        <v>36054.78</v>
      </c>
      <c r="L276" s="37" t="n">
        <v>56329.96</v>
      </c>
      <c r="M276" s="36" t="n">
        <v>2530245.33311</v>
      </c>
      <c r="N276" s="37" t="n">
        <v>31785059.15</v>
      </c>
      <c r="O276" s="37" t="n">
        <v>26353.0446</v>
      </c>
      <c r="P276" s="37" t="n">
        <v>1560.4482</v>
      </c>
      <c r="Q276" s="36" t="n">
        <v>71948.36</v>
      </c>
      <c r="R276" s="37" t="n">
        <v>336739221.0418</v>
      </c>
      <c r="S276" s="37" t="n">
        <v>999575074.0864</v>
      </c>
      <c r="T276" s="38">
        <f>IF(OR(R276="",R275=""),"",R276-R275)</f>
        <v/>
      </c>
      <c r="U276" s="38">
        <f>IF(OR(S276="",S275=""),"",S276-S275)</f>
        <v/>
      </c>
      <c r="V276" s="38">
        <f>IF(OR(U276="",P276=""),"",U276+P276)</f>
        <v/>
      </c>
      <c r="W276" s="38">
        <f>IF(OR(T276="",O276="",P276=""),"",T276-O276+P276)</f>
        <v/>
      </c>
    </row>
    <row r="277">
      <c r="A277" s="30" t="n">
        <v>45931</v>
      </c>
      <c r="B277" s="36" t="n">
        <v>9824233176.318731</v>
      </c>
      <c r="C277" s="36" t="n">
        <v>631435672.4214213</v>
      </c>
      <c r="D277" s="36" t="n">
        <v>0</v>
      </c>
      <c r="E277" s="36" t="n">
        <v>2829098.65173</v>
      </c>
      <c r="F277" s="36" t="n">
        <v>0</v>
      </c>
      <c r="G277" s="36" t="n">
        <v>0</v>
      </c>
      <c r="H277" s="36" t="n">
        <v>165450</v>
      </c>
      <c r="I277" s="36" t="n">
        <v>254301</v>
      </c>
      <c r="J277" s="36" t="n">
        <v>51778.88643826535</v>
      </c>
      <c r="K277" s="36" t="n">
        <v>40212.6</v>
      </c>
      <c r="L277" s="37" t="n">
        <v>60619.99</v>
      </c>
      <c r="M277" s="36" t="n">
        <v>2829098.65173</v>
      </c>
      <c r="N277" s="37" t="n">
        <v>31845679.14</v>
      </c>
      <c r="O277" s="37" t="n">
        <v>26351.695</v>
      </c>
      <c r="P277" s="37" t="n">
        <v>1559.708</v>
      </c>
      <c r="Q277" s="36" t="n">
        <v>70598.62</v>
      </c>
      <c r="R277" s="37" t="n">
        <v>336749355.2904</v>
      </c>
      <c r="S277" s="37" t="n">
        <v>999573514.3785</v>
      </c>
      <c r="T277" s="38">
        <f>IF(OR(R277="",R276=""),"",R277-R276)</f>
        <v/>
      </c>
      <c r="U277" s="38">
        <f>IF(OR(S277="",S276=""),"",S277-S276)</f>
        <v/>
      </c>
      <c r="V277" s="38">
        <f>IF(OR(U277="",P277=""),"",U277+P277)</f>
        <v/>
      </c>
      <c r="W277" s="38">
        <f>IF(OR(T277="",O277="",P277=""),"",T277-O277+P277)</f>
        <v/>
      </c>
    </row>
    <row r="278">
      <c r="A278" s="30" t="n">
        <v>45932</v>
      </c>
      <c r="B278" s="36" t="n">
        <v>10644493010.44195</v>
      </c>
      <c r="C278" s="36" t="n"/>
      <c r="D278" s="36" t="n">
        <v>0</v>
      </c>
      <c r="E278" s="36" t="n">
        <v>3179744.99493</v>
      </c>
      <c r="F278" s="36" t="n">
        <v>0</v>
      </c>
      <c r="G278" s="36" t="n">
        <v>0</v>
      </c>
      <c r="H278" s="36" t="n">
        <v>178645</v>
      </c>
      <c r="I278" s="36" t="n">
        <v>239666</v>
      </c>
      <c r="J278" s="36" t="n">
        <v>59032.67923597377</v>
      </c>
      <c r="K278" s="36" t="n">
        <v>0</v>
      </c>
      <c r="L278" s="37" t="n">
        <v>64602.58</v>
      </c>
      <c r="M278" s="36" t="n">
        <v>3179744.99493</v>
      </c>
      <c r="N278" s="37" t="n">
        <v>31910281.72</v>
      </c>
      <c r="O278" s="37" t="n">
        <v>26326.8913</v>
      </c>
      <c r="P278" s="37" t="n">
        <v>2228.7202</v>
      </c>
      <c r="Q278" s="36" t="n">
        <v>106803.62</v>
      </c>
      <c r="R278" s="37" t="n">
        <v>336758801.5002</v>
      </c>
      <c r="S278" s="37" t="n">
        <v>999571285.6582</v>
      </c>
      <c r="T278" s="38">
        <f>IF(OR(R278="",R277=""),"",R278-R277)</f>
        <v/>
      </c>
      <c r="U278" s="38">
        <f>IF(OR(S278="",S277=""),"",S278-S277)</f>
        <v/>
      </c>
      <c r="V278" s="38">
        <f>IF(OR(U278="",P278=""),"",U278+P278)</f>
        <v/>
      </c>
      <c r="W278" s="38">
        <f>IF(OR(T278="",O278="",P278=""),"",T278-O278+P278)</f>
        <v/>
      </c>
    </row>
    <row r="279">
      <c r="A279" s="30" t="n">
        <v>45933</v>
      </c>
      <c r="B279" s="36" t="n">
        <v>10408189865.90493</v>
      </c>
      <c r="C279" s="36" t="n"/>
      <c r="D279" s="36" t="n">
        <v>0</v>
      </c>
      <c r="E279" s="36" t="n">
        <v>3194278.76779</v>
      </c>
      <c r="F279" s="36" t="n">
        <v>0</v>
      </c>
      <c r="G279" s="36" t="n">
        <v>0</v>
      </c>
      <c r="H279" s="36" t="n">
        <v>155510</v>
      </c>
      <c r="I279" s="36" t="n">
        <v>219717</v>
      </c>
      <c r="J279" s="36" t="n">
        <v>37391.4250701302</v>
      </c>
      <c r="K279" s="36" t="n">
        <v>34634.9</v>
      </c>
      <c r="L279" s="37" t="n">
        <v>63968.63</v>
      </c>
      <c r="M279" s="36" t="n">
        <v>3194278.76779</v>
      </c>
      <c r="N279" s="37" t="n">
        <v>31974250.35</v>
      </c>
      <c r="O279" s="37" t="n">
        <v>26375.1157</v>
      </c>
      <c r="P279" s="37" t="n">
        <v>2052.1029</v>
      </c>
      <c r="Q279" s="36" t="n">
        <v>103520.38</v>
      </c>
      <c r="R279" s="37" t="n">
        <v>336768505.2656</v>
      </c>
      <c r="S279" s="37" t="n">
        <v>999569233.5553</v>
      </c>
      <c r="T279" s="38">
        <f>IF(OR(R279="",R278=""),"",R279-R278)</f>
        <v/>
      </c>
      <c r="U279" s="38">
        <f>IF(OR(S279="",S278=""),"",S279-S278)</f>
        <v/>
      </c>
      <c r="V279" s="38">
        <f>IF(OR(U279="",P279=""),"",U279+P279)</f>
        <v/>
      </c>
      <c r="W279" s="38">
        <f>IF(OR(T279="",O279="",P279=""),"",T279-O279+P279)</f>
        <v/>
      </c>
    </row>
    <row r="280">
      <c r="A280" s="30" t="n">
        <v>45934</v>
      </c>
      <c r="B280" s="36" t="n">
        <v>4766544219.283792</v>
      </c>
      <c r="C280" s="36" t="n"/>
      <c r="D280" s="36" t="n">
        <v>0</v>
      </c>
      <c r="E280" s="36" t="n">
        <v>1423501.12628</v>
      </c>
      <c r="F280" s="36" t="n">
        <v>0</v>
      </c>
      <c r="G280" s="36" t="n">
        <v>0</v>
      </c>
      <c r="H280" s="36" t="n">
        <v>133499</v>
      </c>
      <c r="I280" s="36" t="n">
        <v>174444</v>
      </c>
      <c r="J280" s="36" t="n">
        <v>18861.85493815149</v>
      </c>
      <c r="K280" s="36" t="n">
        <v>44298.54</v>
      </c>
      <c r="L280" s="37" t="n">
        <v>29332</v>
      </c>
      <c r="M280" s="36" t="n">
        <v>1423501.12628</v>
      </c>
      <c r="N280" s="37" t="n">
        <v>32003582.35</v>
      </c>
      <c r="O280" s="37" t="n">
        <v>26401.1862</v>
      </c>
      <c r="P280" s="37" t="n">
        <v>1300.9188</v>
      </c>
      <c r="Q280" s="36" t="n">
        <v>64111.23</v>
      </c>
      <c r="R280" s="37" t="n">
        <v>336778968.8591</v>
      </c>
      <c r="S280" s="37" t="n">
        <v>999567932.6365</v>
      </c>
      <c r="T280" s="38">
        <f>IF(OR(R280="",R279=""),"",R280-R279)</f>
        <v/>
      </c>
      <c r="U280" s="38">
        <f>IF(OR(S280="",S279=""),"",S280-S279)</f>
        <v/>
      </c>
      <c r="V280" s="38">
        <f>IF(OR(U280="",P280=""),"",U280+P280)</f>
        <v/>
      </c>
      <c r="W280" s="38">
        <f>IF(OR(T280="",O280="",P280=""),"",T280-O280+P280)</f>
        <v/>
      </c>
    </row>
    <row r="281">
      <c r="A281" s="30" t="n">
        <v>45935</v>
      </c>
      <c r="B281" s="36" t="n">
        <v>9544080331.339458</v>
      </c>
      <c r="C281" s="36" t="n"/>
      <c r="D281" s="36" t="n">
        <v>0</v>
      </c>
      <c r="E281" s="36" t="n">
        <v>2806654.38617</v>
      </c>
      <c r="F281" s="36" t="n">
        <v>0</v>
      </c>
      <c r="G281" s="36" t="n">
        <v>0</v>
      </c>
      <c r="H281" s="36" t="n">
        <v>130885</v>
      </c>
      <c r="I281" s="36" t="n">
        <v>194451</v>
      </c>
      <c r="J281" s="36" t="n">
        <v>26824.58424227849</v>
      </c>
      <c r="K281" s="36" t="n">
        <v>40225.12</v>
      </c>
      <c r="L281" s="37" t="n">
        <v>56599.12</v>
      </c>
      <c r="M281" s="36" t="n">
        <v>2806654.38617</v>
      </c>
      <c r="N281" s="37" t="n">
        <v>32060736.7</v>
      </c>
      <c r="O281" s="37" t="n">
        <v>26408.6283</v>
      </c>
      <c r="P281" s="37" t="n">
        <v>1245.0727</v>
      </c>
      <c r="Q281" s="36" t="n">
        <v>61583.16</v>
      </c>
      <c r="R281" s="37" t="n">
        <v>336789534.0484</v>
      </c>
      <c r="S281" s="37" t="n">
        <v>999566687.5639</v>
      </c>
      <c r="T281" s="38">
        <f>IF(OR(R281="",R280=""),"",R281-R280)</f>
        <v/>
      </c>
      <c r="U281" s="38">
        <f>IF(OR(S281="",S280=""),"",S281-S280)</f>
        <v/>
      </c>
      <c r="V281" s="38">
        <f>IF(OR(U281="",P281=""),"",U281+P281)</f>
        <v/>
      </c>
      <c r="W281" s="38">
        <f>IF(OR(T281="",O281="",P281=""),"",T281-O281+P281)</f>
        <v/>
      </c>
    </row>
    <row r="282">
      <c r="A282" s="30" t="n">
        <v>45936</v>
      </c>
      <c r="B282" s="36" t="n">
        <v>10603772427.07632</v>
      </c>
      <c r="C282" s="36" t="n"/>
      <c r="D282" s="36" t="n">
        <v>0</v>
      </c>
      <c r="E282" s="36" t="n">
        <v>3123698.85575</v>
      </c>
      <c r="F282" s="36" t="n">
        <v>0</v>
      </c>
      <c r="G282" s="36" t="n">
        <v>0</v>
      </c>
      <c r="H282" s="36" t="n">
        <v>264204</v>
      </c>
      <c r="I282" s="36" t="n">
        <v>350589</v>
      </c>
      <c r="J282" s="36" t="n">
        <v>25002.13914833654</v>
      </c>
      <c r="K282" s="36" t="n">
        <v>0</v>
      </c>
      <c r="L282" s="37" t="n">
        <v>64194.16</v>
      </c>
      <c r="M282" s="36" t="n">
        <v>3123698.85575</v>
      </c>
      <c r="N282" s="37" t="n">
        <v>32124587.41</v>
      </c>
      <c r="O282" s="37" t="n">
        <v>26412.4511</v>
      </c>
      <c r="P282" s="37" t="n">
        <v>1265.7452</v>
      </c>
      <c r="Q282" s="36" t="n">
        <v>61016.51</v>
      </c>
      <c r="R282" s="37" t="n">
        <v>336800048.0853</v>
      </c>
      <c r="S282" s="37" t="n">
        <v>999565421.8186001</v>
      </c>
      <c r="T282" s="38">
        <f>IF(OR(R282="",R281=""),"",R282-R281)</f>
        <v/>
      </c>
      <c r="U282" s="38">
        <f>IF(OR(S282="",S281=""),"",S282-S281)</f>
        <v/>
      </c>
      <c r="V282" s="38">
        <f>IF(OR(U282="",P282=""),"",U282+P282)</f>
        <v/>
      </c>
      <c r="W282" s="38">
        <f>IF(OR(T282="",O282="",P282=""),"",T282-O282+P282)</f>
        <v/>
      </c>
    </row>
    <row r="283">
      <c r="A283" s="30" t="n">
        <v>45937</v>
      </c>
      <c r="B283" s="36" t="n">
        <v>14676247652.04393</v>
      </c>
      <c r="C283" s="36" t="n"/>
      <c r="D283" s="36" t="n">
        <v>0</v>
      </c>
      <c r="E283" s="36" t="n">
        <v>4300251.97199</v>
      </c>
      <c r="F283" s="36" t="n">
        <v>0</v>
      </c>
      <c r="G283" s="36" t="n">
        <v>0</v>
      </c>
      <c r="H283" s="36" t="n">
        <v>312019</v>
      </c>
      <c r="I283" s="36" t="n">
        <v>400627</v>
      </c>
      <c r="J283" s="36" t="n">
        <v>36955.93164683354</v>
      </c>
      <c r="K283" s="36" t="n">
        <v>23733.55</v>
      </c>
      <c r="L283" s="37" t="n">
        <v>94377.52</v>
      </c>
      <c r="M283" s="36" t="n">
        <v>4300251.97199</v>
      </c>
      <c r="N283" s="37" t="n">
        <v>32218974.67</v>
      </c>
      <c r="O283" s="37" t="n">
        <v>26417.4115</v>
      </c>
      <c r="P283" s="37" t="n">
        <v>488.5721</v>
      </c>
      <c r="Q283" s="36" t="n">
        <v>23251.63</v>
      </c>
      <c r="R283" s="37" t="n">
        <v>336811349.4266</v>
      </c>
      <c r="S283" s="37" t="n">
        <v>999564933.2465</v>
      </c>
      <c r="T283" s="38">
        <f>IF(OR(R283="",R282=""),"",R283-R282)</f>
        <v/>
      </c>
      <c r="U283" s="38">
        <f>IF(OR(S283="",S282=""),"",S283-S282)</f>
        <v/>
      </c>
      <c r="V283" s="38">
        <f>IF(OR(U283="",P283=""),"",U283+P283)</f>
        <v/>
      </c>
      <c r="W283" s="38">
        <f>IF(OR(T283="",O283="",P283=""),"",T283-O283+P283)</f>
        <v/>
      </c>
    </row>
    <row r="284">
      <c r="A284" s="30" t="n">
        <v>45938</v>
      </c>
      <c r="B284" s="36" t="n">
        <v>8887739221.497124</v>
      </c>
      <c r="C284" s="36" t="n"/>
      <c r="D284" s="36" t="n">
        <v>0</v>
      </c>
      <c r="E284" s="36" t="n">
        <v>2673956.65827</v>
      </c>
      <c r="F284" s="36" t="n">
        <v>0</v>
      </c>
      <c r="G284" s="36" t="n">
        <v>0</v>
      </c>
      <c r="H284" s="36" t="n">
        <v>245503</v>
      </c>
      <c r="I284" s="36" t="n">
        <v>316234</v>
      </c>
      <c r="J284" s="36" t="n">
        <v>23104.13737393815</v>
      </c>
      <c r="K284" s="36" t="n">
        <v>0</v>
      </c>
      <c r="L284" s="37" t="n">
        <v>57969.57</v>
      </c>
      <c r="M284" s="36" t="n">
        <v>2673956.65827</v>
      </c>
      <c r="N284" s="37" t="n">
        <v>32235953.87</v>
      </c>
      <c r="O284" s="37" t="n">
        <v>26421.9418</v>
      </c>
      <c r="P284" s="37" t="n">
        <v>1239.5163</v>
      </c>
      <c r="Q284" s="36" t="n">
        <v>55737.95</v>
      </c>
      <c r="R284" s="37" t="n">
        <v>336821917.3302</v>
      </c>
      <c r="S284" s="37" t="n">
        <v>999563693.7302001</v>
      </c>
      <c r="T284" s="38">
        <f>IF(OR(R284="",R283=""),"",R284-R283)</f>
        <v/>
      </c>
      <c r="U284" s="38">
        <f>IF(OR(S284="",S283=""),"",S284-S283)</f>
        <v/>
      </c>
      <c r="V284" s="38">
        <f>IF(OR(U284="",P284=""),"",U284+P284)</f>
        <v/>
      </c>
      <c r="W284" s="38">
        <f>IF(OR(T284="",O284="",P284=""),"",T284-O284+P284)</f>
        <v/>
      </c>
    </row>
    <row r="285">
      <c r="A285" s="30" t="n">
        <v>45939</v>
      </c>
      <c r="B285" s="36" t="n">
        <v>12273094486.69183</v>
      </c>
      <c r="C285" s="36" t="n"/>
      <c r="D285" s="36" t="n">
        <v>0</v>
      </c>
      <c r="E285" s="36" t="n">
        <v>3500214.9785</v>
      </c>
      <c r="F285" s="36" t="n">
        <v>0</v>
      </c>
      <c r="G285" s="36" t="n">
        <v>0</v>
      </c>
      <c r="H285" s="36" t="n">
        <v>186876</v>
      </c>
      <c r="I285" s="36" t="n">
        <v>253750</v>
      </c>
      <c r="J285" s="36" t="n">
        <v>37636.68705437952</v>
      </c>
      <c r="K285" s="36" t="n">
        <v>23191.89</v>
      </c>
      <c r="L285" s="37" t="n">
        <v>79211.56</v>
      </c>
      <c r="M285" s="36" t="n">
        <v>3500214.9785</v>
      </c>
      <c r="N285" s="37" t="n">
        <v>32294369.12</v>
      </c>
      <c r="O285" s="37" t="n">
        <v>26430.8063</v>
      </c>
      <c r="P285" s="37" t="n">
        <v>400.0284</v>
      </c>
      <c r="Q285" s="36" t="n">
        <v>18640.72</v>
      </c>
      <c r="R285" s="37" t="n">
        <v>336833323.0214</v>
      </c>
      <c r="S285" s="37" t="n">
        <v>999563293.7018</v>
      </c>
      <c r="T285" s="38">
        <f>IF(OR(R285="",R284=""),"",R285-R284)</f>
        <v/>
      </c>
      <c r="U285" s="38">
        <f>IF(OR(S285="",S284=""),"",S285-S284)</f>
        <v/>
      </c>
      <c r="V285" s="38">
        <f>IF(OR(U285="",P285=""),"",U285+P285)</f>
        <v/>
      </c>
      <c r="W285" s="38">
        <f>IF(OR(T285="",O285="",P285=""),"",T285-O285+P285)</f>
        <v/>
      </c>
    </row>
    <row r="286">
      <c r="A286" s="30" t="n">
        <v>45940</v>
      </c>
      <c r="B286" s="36" t="n">
        <v>28724586156.57698</v>
      </c>
      <c r="C286" s="36" t="n"/>
      <c r="D286" s="36" t="n">
        <v>0</v>
      </c>
      <c r="E286" s="36" t="n">
        <v>20134654.76808</v>
      </c>
      <c r="F286" s="36" t="n">
        <v>0</v>
      </c>
      <c r="G286" s="36" t="n">
        <v>0</v>
      </c>
      <c r="H286" s="36" t="n">
        <v>353674</v>
      </c>
      <c r="I286" s="36" t="n">
        <v>510401</v>
      </c>
      <c r="J286" s="36" t="n">
        <v>391730.1730758381</v>
      </c>
      <c r="K286" s="36" t="n">
        <v>0</v>
      </c>
      <c r="L286" s="37" t="n">
        <v>507262.99</v>
      </c>
      <c r="M286" s="36" t="n">
        <v>20134654.76808</v>
      </c>
      <c r="N286" s="37" t="n">
        <v>32371984.13</v>
      </c>
      <c r="O286" s="37" t="n">
        <v>26390.5465</v>
      </c>
      <c r="P286" s="37" t="n">
        <v>1105.4204</v>
      </c>
      <c r="Q286" s="36" t="n">
        <v>48722.51</v>
      </c>
      <c r="R286" s="37" t="n">
        <v>336843953.0266</v>
      </c>
      <c r="S286" s="37" t="n">
        <v>999562188.2814</v>
      </c>
      <c r="T286" s="38">
        <f>IF(OR(R286="",R285=""),"",R286-R285)</f>
        <v/>
      </c>
      <c r="U286" s="38">
        <f>IF(OR(S286="",S285=""),"",S286-S285)</f>
        <v/>
      </c>
      <c r="V286" s="38">
        <f>IF(OR(U286="",P286=""),"",U286+P286)</f>
        <v/>
      </c>
      <c r="W286" s="38">
        <f>IF(OR(T286="",O286="",P286=""),"",T286-O286+P286)</f>
        <v/>
      </c>
    </row>
    <row r="287">
      <c r="A287" s="30" t="n">
        <v>45941</v>
      </c>
      <c r="B287" s="36" t="n">
        <v>10333348903.63861</v>
      </c>
      <c r="C287" s="36" t="n"/>
      <c r="D287" s="36" t="n">
        <v>0</v>
      </c>
      <c r="E287" s="36" t="n">
        <v>2999479.48806</v>
      </c>
      <c r="F287" s="36" t="n">
        <v>0</v>
      </c>
      <c r="G287" s="36" t="n">
        <v>0</v>
      </c>
      <c r="H287" s="36" t="n">
        <v>247275</v>
      </c>
      <c r="I287" s="36" t="n">
        <v>323696</v>
      </c>
      <c r="J287" s="36" t="n">
        <v>105794.8433546484</v>
      </c>
      <c r="K287" s="36" t="n">
        <v>29062.12</v>
      </c>
      <c r="L287" s="37" t="n">
        <v>78616.25</v>
      </c>
      <c r="M287" s="36" t="n">
        <v>2999479.48806</v>
      </c>
      <c r="N287" s="37" t="n">
        <v>32894296</v>
      </c>
      <c r="O287" s="37" t="n">
        <v>26366.7242</v>
      </c>
      <c r="P287" s="37" t="n">
        <v>1896.0689</v>
      </c>
      <c r="Q287" s="36" t="n">
        <v>72481.97</v>
      </c>
      <c r="R287" s="37" t="n">
        <v>336853750.8481</v>
      </c>
      <c r="S287" s="37" t="n">
        <v>999560292.2125</v>
      </c>
      <c r="T287" s="38">
        <f>IF(OR(R287="",R286=""),"",R287-R286)</f>
        <v/>
      </c>
      <c r="U287" s="38">
        <f>IF(OR(S287="",S286=""),"",S287-S286)</f>
        <v/>
      </c>
      <c r="V287" s="38">
        <f>IF(OR(U287="",P287=""),"",U287+P287)</f>
        <v/>
      </c>
      <c r="W287" s="38">
        <f>IF(OR(T287="",O287="",P287=""),"",T287-O287+P287)</f>
        <v/>
      </c>
    </row>
    <row r="288">
      <c r="A288" s="30" t="n">
        <v>45942</v>
      </c>
      <c r="B288" s="36" t="n">
        <v>11787564657.259</v>
      </c>
      <c r="C288" s="36" t="n"/>
      <c r="D288" s="36" t="n">
        <v>0</v>
      </c>
      <c r="E288" s="36" t="n">
        <v>3279132.39735</v>
      </c>
      <c r="F288" s="36" t="n">
        <v>0</v>
      </c>
      <c r="G288" s="36" t="n">
        <v>0</v>
      </c>
      <c r="H288" s="36" t="n">
        <v>176358</v>
      </c>
      <c r="I288" s="36" t="n">
        <v>257362</v>
      </c>
      <c r="J288" s="36" t="n">
        <v>49128.07455342344</v>
      </c>
      <c r="K288" s="36" t="n">
        <v>0</v>
      </c>
      <c r="L288" s="37" t="n">
        <v>84192.56</v>
      </c>
      <c r="M288" s="36" t="n">
        <v>3279132.39735</v>
      </c>
      <c r="N288" s="37" t="n">
        <v>32964950.57</v>
      </c>
      <c r="O288" s="37" t="n">
        <v>26327.2198</v>
      </c>
      <c r="P288" s="37" t="n">
        <v>2730.5779</v>
      </c>
      <c r="Q288" s="36" t="n">
        <v>100266.82</v>
      </c>
      <c r="R288" s="37" t="n">
        <v>336862648.7853</v>
      </c>
      <c r="S288" s="37" t="n">
        <v>999557561.6346</v>
      </c>
      <c r="T288" s="38">
        <f>IF(OR(R288="",R287=""),"",R288-R287)</f>
        <v/>
      </c>
      <c r="U288" s="38">
        <f>IF(OR(S288="",S287=""),"",S288-S287)</f>
        <v/>
      </c>
      <c r="V288" s="38">
        <f>IF(OR(U288="",P288=""),"",U288+P288)</f>
        <v/>
      </c>
      <c r="W288" s="38">
        <f>IF(OR(T288="",O288="",P288=""),"",T288-O288+P288)</f>
        <v/>
      </c>
    </row>
    <row r="289">
      <c r="A289" s="30" t="n">
        <v>45943</v>
      </c>
      <c r="B289" s="36" t="n">
        <v>9594655311.160784</v>
      </c>
      <c r="C289" s="36" t="n"/>
      <c r="D289" s="36" t="n">
        <v>24047820</v>
      </c>
      <c r="E289" s="36" t="n">
        <v>2737513.05481</v>
      </c>
      <c r="F289" s="36" t="n">
        <v>15821</v>
      </c>
      <c r="G289" s="36" t="n">
        <v>0</v>
      </c>
      <c r="H289" s="36" t="n">
        <v>162992</v>
      </c>
      <c r="I289" s="36" t="n">
        <v>217963</v>
      </c>
      <c r="J289" s="36" t="n">
        <v>54909.7571754914</v>
      </c>
      <c r="K289" s="36" t="n">
        <v>0</v>
      </c>
      <c r="L289" s="37" t="n">
        <v>66844.14</v>
      </c>
      <c r="M289" s="36" t="n">
        <v>2737513.05481</v>
      </c>
      <c r="N289" s="37" t="n">
        <v>33052999.62</v>
      </c>
      <c r="O289" s="37" t="n">
        <v>26292.3723</v>
      </c>
      <c r="P289" s="37" t="n">
        <v>1146.203</v>
      </c>
      <c r="Q289" s="36" t="n">
        <v>45436.06</v>
      </c>
      <c r="R289" s="37" t="n">
        <v>336873089.9901</v>
      </c>
      <c r="S289" s="37" t="n">
        <v>999556415.4316</v>
      </c>
      <c r="T289" s="38">
        <f>IF(OR(R289="",R288=""),"",R289-R288)</f>
        <v/>
      </c>
      <c r="U289" s="38">
        <f>IF(OR(S289="",S288=""),"",S289-S288)</f>
        <v/>
      </c>
      <c r="V289" s="38">
        <f>IF(OR(U289="",P289=""),"",U289+P289)</f>
        <v/>
      </c>
      <c r="W289" s="38">
        <f>IF(OR(T289="",O289="",P289=""),"",T289-O289+P289)</f>
        <v/>
      </c>
    </row>
    <row r="290">
      <c r="A290" s="30" t="n">
        <v>45944</v>
      </c>
      <c r="B290" s="36" t="n">
        <v>16153886831.19667</v>
      </c>
      <c r="C290" s="36" t="n"/>
      <c r="D290" s="36" t="n">
        <v>21857347</v>
      </c>
      <c r="E290" s="36" t="n">
        <v>4368313.10851</v>
      </c>
      <c r="F290" s="36" t="n">
        <v>12707</v>
      </c>
      <c r="G290" s="36" t="n">
        <v>0</v>
      </c>
      <c r="H290" s="36" t="n">
        <v>150967</v>
      </c>
      <c r="I290" s="36" t="n">
        <v>198310</v>
      </c>
      <c r="J290" s="36" t="n">
        <v>50001.73301025721</v>
      </c>
      <c r="K290" s="36" t="n">
        <v>0</v>
      </c>
      <c r="L290" s="37" t="n">
        <v>110239.28</v>
      </c>
      <c r="M290" s="36" t="n">
        <v>4368313.10851</v>
      </c>
      <c r="N290" s="37" t="n">
        <v>33139257.46</v>
      </c>
      <c r="O290" s="37" t="n">
        <v>26269.2748</v>
      </c>
      <c r="P290" s="37" t="n">
        <v>1747.98</v>
      </c>
      <c r="Q290" s="36" t="n">
        <v>74415.00999999999</v>
      </c>
      <c r="R290" s="37" t="n">
        <v>336882896.8473</v>
      </c>
      <c r="S290" s="37" t="n">
        <v>999554667.4516</v>
      </c>
      <c r="T290" s="38">
        <f>IF(OR(R290="",R289=""),"",R290-R289)</f>
        <v/>
      </c>
      <c r="U290" s="38">
        <f>IF(OR(S290="",S289=""),"",S290-S289)</f>
        <v/>
      </c>
      <c r="V290" s="38">
        <f>IF(OR(U290="",P290=""),"",U290+P290)</f>
        <v/>
      </c>
      <c r="W290" s="38">
        <f>IF(OR(T290="",O290="",P290=""),"",T290-O290+P290)</f>
        <v/>
      </c>
    </row>
    <row r="291">
      <c r="A291" s="30" t="n">
        <v>45945</v>
      </c>
      <c r="B291" s="36" t="n">
        <v>10747314915.5199</v>
      </c>
      <c r="C291" s="36" t="n"/>
      <c r="D291" s="36" t="n">
        <v>20629520</v>
      </c>
      <c r="E291" s="36" t="n">
        <v>2972554.26511</v>
      </c>
      <c r="F291" s="36" t="n">
        <v>12145</v>
      </c>
      <c r="G291" s="36" t="n">
        <v>0</v>
      </c>
      <c r="H291" s="36" t="n">
        <v>120242</v>
      </c>
      <c r="I291" s="36" t="n">
        <v>154768</v>
      </c>
      <c r="J291" s="36" t="n">
        <v>32231.03163678108</v>
      </c>
      <c r="K291" s="36" t="n">
        <v>19765.09</v>
      </c>
      <c r="L291" s="37" t="n">
        <v>75913.64999999999</v>
      </c>
      <c r="M291" s="36" t="n">
        <v>2972554.26511</v>
      </c>
      <c r="N291" s="37" t="n">
        <v>33225824.74</v>
      </c>
      <c r="O291" s="37" t="n">
        <v>32330.6166</v>
      </c>
      <c r="P291" s="37" t="n">
        <v>1658.0976</v>
      </c>
      <c r="Q291" s="36" t="n">
        <v>64804.26</v>
      </c>
      <c r="R291" s="37" t="n">
        <v>336898848.1335</v>
      </c>
      <c r="S291" s="37" t="n">
        <v>999553009.354</v>
      </c>
      <c r="T291" s="38">
        <f>IF(OR(R291="",R290=""),"",R291-R290)</f>
        <v/>
      </c>
      <c r="U291" s="38">
        <f>IF(OR(S291="",S290=""),"",S291-S290)</f>
        <v/>
      </c>
      <c r="V291" s="38">
        <f>IF(OR(U291="",P291=""),"",U291+P291)</f>
        <v/>
      </c>
      <c r="W291" s="38">
        <f>IF(OR(T291="",O291="",P291=""),"",T291-O291+P291)</f>
        <v/>
      </c>
    </row>
    <row r="292">
      <c r="A292" s="30" t="n">
        <v>45946</v>
      </c>
      <c r="B292" s="36" t="n">
        <v>11475520240.2455</v>
      </c>
      <c r="C292" s="36" t="n"/>
      <c r="D292" s="36" t="n">
        <v>19168299</v>
      </c>
      <c r="E292" s="36" t="n">
        <v>3135849.89117</v>
      </c>
      <c r="F292" s="36" t="n">
        <v>11499</v>
      </c>
      <c r="G292" s="36" t="n">
        <v>0</v>
      </c>
      <c r="H292" s="36" t="n">
        <v>137248</v>
      </c>
      <c r="I292" s="36" t="n">
        <v>184541</v>
      </c>
      <c r="J292" s="36" t="n">
        <v>33093.78849591841</v>
      </c>
      <c r="K292" s="36" t="n">
        <v>28035.79</v>
      </c>
      <c r="L292" s="37" t="n">
        <v>83220.56</v>
      </c>
      <c r="M292" s="36" t="n">
        <v>3135849.89117</v>
      </c>
      <c r="N292" s="37" t="n">
        <v>33297567.25</v>
      </c>
      <c r="O292" s="37" t="n">
        <v>30483.492</v>
      </c>
      <c r="P292" s="37" t="n">
        <v>869.1431</v>
      </c>
      <c r="Q292" s="36" t="n">
        <v>32419.91</v>
      </c>
      <c r="R292" s="37" t="n">
        <v>336913723.5428</v>
      </c>
      <c r="S292" s="37" t="n">
        <v>999552140.2108999</v>
      </c>
      <c r="T292" s="38">
        <f>IF(OR(R292="",R291=""),"",R292-R291)</f>
        <v/>
      </c>
      <c r="U292" s="38">
        <f>IF(OR(S292="",S291=""),"",S292-S291)</f>
        <v/>
      </c>
      <c r="V292" s="38">
        <f>IF(OR(U292="",P292=""),"",U292+P292)</f>
        <v/>
      </c>
      <c r="W292" s="38">
        <f>IF(OR(T292="",O292="",P292=""),"",T292-O292+P292)</f>
        <v/>
      </c>
    </row>
    <row r="293">
      <c r="A293" s="30" t="n">
        <v>45947</v>
      </c>
      <c r="B293" s="36" t="n">
        <v>11953817621.32452</v>
      </c>
      <c r="C293" s="36" t="n"/>
      <c r="D293" s="36" t="n">
        <v>15072187</v>
      </c>
      <c r="E293" s="36" t="n">
        <v>3355088.34083</v>
      </c>
      <c r="F293" s="36" t="n">
        <v>8904</v>
      </c>
      <c r="G293" s="36" t="n">
        <v>0</v>
      </c>
      <c r="H293" s="36" t="n">
        <v>172445</v>
      </c>
      <c r="I293" s="36" t="n">
        <v>235326</v>
      </c>
      <c r="J293" s="36" t="n">
        <v>60611.98977499302</v>
      </c>
      <c r="K293" s="36" t="n">
        <v>0</v>
      </c>
      <c r="L293" s="37" t="n">
        <v>95672.62</v>
      </c>
      <c r="M293" s="36" t="n">
        <v>3355088.34083</v>
      </c>
      <c r="N293" s="37" t="n">
        <v>33399150.81</v>
      </c>
      <c r="O293" s="37" t="n">
        <v>24464.4903</v>
      </c>
      <c r="P293" s="37" t="n">
        <v>1905.645</v>
      </c>
      <c r="Q293" s="36" t="n">
        <v>64938.67</v>
      </c>
      <c r="R293" s="37" t="n">
        <v>336921489.8739</v>
      </c>
      <c r="S293" s="37" t="n">
        <v>999550234.5658</v>
      </c>
      <c r="T293" s="38">
        <f>IF(OR(R293="",R292=""),"",R293-R292)</f>
        <v/>
      </c>
      <c r="U293" s="38">
        <f>IF(OR(S293="",S292=""),"",S293-S292)</f>
        <v/>
      </c>
      <c r="V293" s="38">
        <f>IF(OR(U293="",P293=""),"",U293+P293)</f>
        <v/>
      </c>
      <c r="W293" s="38">
        <f>IF(OR(T293="",O293="",P293=""),"",T293-O293+P293)</f>
        <v/>
      </c>
    </row>
    <row r="294">
      <c r="A294" s="30" t="n">
        <v>45948</v>
      </c>
      <c r="B294" s="36" t="n">
        <v>3467672712.489694</v>
      </c>
      <c r="C294" s="36" t="n"/>
      <c r="D294" s="36" t="n">
        <v>6244622</v>
      </c>
      <c r="E294" s="36" t="n">
        <v>993444.0729</v>
      </c>
      <c r="F294" s="36" t="n">
        <v>3769</v>
      </c>
      <c r="G294" s="36" t="n">
        <v>0</v>
      </c>
      <c r="H294" s="36" t="n">
        <v>91488</v>
      </c>
      <c r="I294" s="36" t="n">
        <v>121569</v>
      </c>
      <c r="J294" s="36" t="n">
        <v>15340.98794640204</v>
      </c>
      <c r="K294" s="36" t="n">
        <v>23233.38</v>
      </c>
      <c r="L294" s="37" t="n">
        <v>27890.23</v>
      </c>
      <c r="M294" s="36" t="n">
        <v>993444.0729</v>
      </c>
      <c r="N294" s="37" t="n">
        <v>33470022.26</v>
      </c>
      <c r="O294" s="37" t="n">
        <v>18294.0242</v>
      </c>
      <c r="P294" s="37" t="n">
        <v>715.6541999999999</v>
      </c>
      <c r="Q294" s="36" t="n">
        <v>25194.97</v>
      </c>
      <c r="R294" s="37" t="n">
        <v>336924322.5921</v>
      </c>
      <c r="S294" s="37" t="n">
        <v>999549518.9116</v>
      </c>
      <c r="T294" s="38">
        <f>IF(OR(R294="",R293=""),"",R294-R293)</f>
        <v/>
      </c>
      <c r="U294" s="38">
        <f>IF(OR(S294="",S293=""),"",S294-S293)</f>
        <v/>
      </c>
      <c r="V294" s="38">
        <f>IF(OR(U294="",P294=""),"",U294+P294)</f>
        <v/>
      </c>
      <c r="W294" s="38">
        <f>IF(OR(T294="",O294="",P294=""),"",T294-O294+P294)</f>
        <v/>
      </c>
    </row>
    <row r="295">
      <c r="A295" s="30" t="n">
        <v>45949</v>
      </c>
      <c r="B295" s="36" t="n">
        <v>5254604469.742279</v>
      </c>
      <c r="C295" s="36" t="n"/>
      <c r="D295" s="36" t="n">
        <v>7839092</v>
      </c>
      <c r="E295" s="36" t="n">
        <v>1540345.58896</v>
      </c>
      <c r="F295" s="36" t="n">
        <v>5523</v>
      </c>
      <c r="G295" s="36" t="n">
        <v>0</v>
      </c>
      <c r="H295" s="36" t="n">
        <v>92346</v>
      </c>
      <c r="I295" s="36" t="n">
        <v>121130</v>
      </c>
      <c r="J295" s="36" t="n">
        <v>13247.19389161772</v>
      </c>
      <c r="K295" s="36" t="n">
        <v>0</v>
      </c>
      <c r="L295" s="37" t="n">
        <v>41256.26</v>
      </c>
      <c r="M295" s="36" t="n">
        <v>1540345.58896</v>
      </c>
      <c r="N295" s="37" t="n">
        <v>33495735.45</v>
      </c>
      <c r="O295" s="37" t="n">
        <v>26082.6342</v>
      </c>
      <c r="P295" s="37" t="n">
        <v>1077.1714</v>
      </c>
      <c r="Q295" s="36" t="n">
        <v>39293.6</v>
      </c>
      <c r="R295" s="37" t="n">
        <v>336934537.1599</v>
      </c>
      <c r="S295" s="37" t="n">
        <v>999548441.7402</v>
      </c>
      <c r="T295" s="38">
        <f>IF(OR(R295="",R294=""),"",R295-R294)</f>
        <v/>
      </c>
      <c r="U295" s="38">
        <f>IF(OR(S295="",S294=""),"",S295-S294)</f>
        <v/>
      </c>
      <c r="V295" s="38">
        <f>IF(OR(U295="",P295=""),"",U295+P295)</f>
        <v/>
      </c>
      <c r="W295" s="38">
        <f>IF(OR(T295="",O295="",P295=""),"",T295-O295+P295)</f>
        <v/>
      </c>
    </row>
    <row r="296">
      <c r="A296" s="30" t="n">
        <v>45950</v>
      </c>
      <c r="B296" s="36" t="n">
        <v>8373540528.993366</v>
      </c>
      <c r="C296" s="36" t="n"/>
      <c r="D296" s="36" t="n">
        <v>10611401</v>
      </c>
      <c r="E296" s="36" t="n">
        <v>2356209.44585</v>
      </c>
      <c r="F296" s="36" t="n">
        <v>6963</v>
      </c>
      <c r="G296" s="36" t="n">
        <v>0</v>
      </c>
      <c r="H296" s="36" t="n">
        <v>114214</v>
      </c>
      <c r="I296" s="36" t="n">
        <v>148185</v>
      </c>
      <c r="J296" s="36" t="n">
        <v>31866.8255208179</v>
      </c>
      <c r="K296" s="36" t="n">
        <v>0</v>
      </c>
      <c r="L296" s="37" t="n">
        <v>61726.58</v>
      </c>
      <c r="M296" s="36" t="n">
        <v>2356209.44585</v>
      </c>
      <c r="N296" s="37" t="n">
        <v>33552212.8</v>
      </c>
      <c r="O296" s="37" t="n">
        <v>26081.3967</v>
      </c>
      <c r="P296" s="37" t="n">
        <v>412.6558</v>
      </c>
      <c r="Q296" s="36" t="n">
        <v>15361.73</v>
      </c>
      <c r="R296" s="37" t="n">
        <v>336945398.6793</v>
      </c>
      <c r="S296" s="37" t="n">
        <v>999548029.0844001</v>
      </c>
      <c r="T296" s="38">
        <f>IF(OR(R296="",R295=""),"",R296-R295)</f>
        <v/>
      </c>
      <c r="U296" s="38">
        <f>IF(OR(S296="",S295=""),"",S296-S295)</f>
        <v/>
      </c>
      <c r="V296" s="38">
        <f>IF(OR(U296="",P296=""),"",U296+P296)</f>
        <v/>
      </c>
      <c r="W296" s="38">
        <f>IF(OR(T296="",O296="",P296=""),"",T296-O296+P296)</f>
        <v/>
      </c>
    </row>
    <row r="297">
      <c r="A297" s="30" t="n">
        <v>45951</v>
      </c>
      <c r="B297" s="36" t="n">
        <v>14652836608.95355</v>
      </c>
      <c r="C297" s="36" t="n"/>
      <c r="D297" s="36" t="n">
        <v>23310245</v>
      </c>
      <c r="E297" s="36" t="n">
        <v>3988911.60609</v>
      </c>
      <c r="F297" s="36" t="n">
        <v>14477</v>
      </c>
      <c r="G297" s="36" t="n">
        <v>0</v>
      </c>
      <c r="H297" s="36" t="n">
        <v>156162</v>
      </c>
      <c r="I297" s="36" t="n">
        <v>201314</v>
      </c>
      <c r="J297" s="36" t="n">
        <v>28143.9850891633</v>
      </c>
      <c r="K297" s="36" t="n">
        <v>0</v>
      </c>
      <c r="L297" s="37" t="n">
        <v>108263.5</v>
      </c>
      <c r="M297" s="36" t="n">
        <v>3988911.60609</v>
      </c>
      <c r="N297" s="37" t="n">
        <v>33610247.32</v>
      </c>
      <c r="O297" s="37" t="n">
        <v>26075.5151</v>
      </c>
      <c r="P297" s="37" t="n">
        <v>1955.7853</v>
      </c>
      <c r="Q297" s="36" t="n">
        <v>74332.56</v>
      </c>
      <c r="R297" s="37" t="n">
        <v>336954725.0596</v>
      </c>
      <c r="S297" s="37" t="n">
        <v>999546073.2991</v>
      </c>
      <c r="T297" s="38">
        <f>IF(OR(R297="",R296=""),"",R297-R296)</f>
        <v/>
      </c>
      <c r="U297" s="38">
        <f>IF(OR(S297="",S296=""),"",S297-S296)</f>
        <v/>
      </c>
      <c r="V297" s="38">
        <f>IF(OR(U297="",P297=""),"",U297+P297)</f>
        <v/>
      </c>
      <c r="W297" s="38">
        <f>IF(OR(T297="",O297="",P297=""),"",T297-O297+P297)</f>
        <v/>
      </c>
    </row>
    <row r="298">
      <c r="A298" s="30" t="n">
        <v>45952</v>
      </c>
      <c r="B298" s="36" t="n">
        <v>11769029272.26644</v>
      </c>
      <c r="C298" s="36" t="n"/>
      <c r="D298" s="36" t="n">
        <v>36699372</v>
      </c>
      <c r="E298" s="36" t="n">
        <v>3088332.67687</v>
      </c>
      <c r="F298" s="36" t="n">
        <v>21272</v>
      </c>
      <c r="G298" s="36" t="n">
        <v>0</v>
      </c>
      <c r="H298" s="36" t="n">
        <v>123392</v>
      </c>
      <c r="I298" s="36" t="n">
        <v>159923</v>
      </c>
      <c r="J298" s="36" t="n">
        <v>34572.35843598907</v>
      </c>
      <c r="K298" s="36" t="n">
        <v>0</v>
      </c>
      <c r="L298" s="37" t="n">
        <v>86754.64999999999</v>
      </c>
      <c r="M298" s="36" t="n">
        <v>3088332.67687</v>
      </c>
      <c r="N298" s="37" t="n">
        <v>33714407.27</v>
      </c>
      <c r="O298" s="37" t="n">
        <v>26042.0374</v>
      </c>
      <c r="P298" s="37" t="n">
        <v>852.7009</v>
      </c>
      <c r="Q298" s="36" t="n">
        <v>29756.28</v>
      </c>
      <c r="R298" s="37" t="n">
        <v>336965097.2515</v>
      </c>
      <c r="S298" s="37" t="n">
        <v>999545220.5980999</v>
      </c>
      <c r="T298" s="38">
        <f>IF(OR(R298="",R297=""),"",R298-R297)</f>
        <v/>
      </c>
      <c r="U298" s="38">
        <f>IF(OR(S298="",S297=""),"",S298-S297)</f>
        <v/>
      </c>
      <c r="V298" s="38">
        <f>IF(OR(U298="",P298=""),"",U298+P298)</f>
        <v/>
      </c>
      <c r="W298" s="38">
        <f>IF(OR(T298="",O298="",P298=""),"",T298-O298+P298)</f>
        <v/>
      </c>
    </row>
    <row r="299">
      <c r="A299" s="30" t="n">
        <v>45953</v>
      </c>
      <c r="B299" s="36" t="n">
        <v>8799210965.3256</v>
      </c>
      <c r="C299" s="36" t="n"/>
      <c r="D299" s="36" t="n">
        <v>30172562</v>
      </c>
      <c r="E299" s="36" t="n">
        <v>2477734.27137</v>
      </c>
      <c r="F299" s="36" t="n">
        <v>18275</v>
      </c>
      <c r="G299" s="36" t="n">
        <v>0</v>
      </c>
      <c r="H299" s="36" t="n">
        <v>125618</v>
      </c>
      <c r="I299" s="36" t="n">
        <v>159178</v>
      </c>
      <c r="J299" s="36" t="n">
        <v>119622.5094301594</v>
      </c>
      <c r="K299" s="36" t="n">
        <v>23638.23</v>
      </c>
      <c r="L299" s="37" t="n">
        <v>63430.91</v>
      </c>
      <c r="M299" s="36" t="n">
        <v>2477734.27137</v>
      </c>
      <c r="N299" s="37" t="n">
        <v>33798678.78</v>
      </c>
      <c r="O299" s="37" t="n">
        <v>26080.1532</v>
      </c>
      <c r="P299" s="37" t="n">
        <v>2114.4851</v>
      </c>
      <c r="Q299" s="36" t="n">
        <v>77801.42</v>
      </c>
      <c r="R299" s="37" t="n">
        <v>336974240.035</v>
      </c>
      <c r="S299" s="37" t="n">
        <v>999543106.113</v>
      </c>
      <c r="T299" s="38">
        <f>IF(OR(R299="",R298=""),"",R299-R298)</f>
        <v/>
      </c>
      <c r="U299" s="38">
        <f>IF(OR(S299="",S298=""),"",S299-S298)</f>
        <v/>
      </c>
      <c r="V299" s="38">
        <f>IF(OR(U299="",P299=""),"",U299+P299)</f>
        <v/>
      </c>
      <c r="W299" s="38">
        <f>IF(OR(T299="",O299="",P299=""),"",T299-O299+P299)</f>
        <v/>
      </c>
    </row>
    <row r="300">
      <c r="A300" s="30" t="n">
        <v>45954</v>
      </c>
      <c r="B300" s="36" t="n">
        <v>6800341602.026008</v>
      </c>
      <c r="C300" s="36" t="n"/>
      <c r="D300" s="36" t="n">
        <v>27345918</v>
      </c>
      <c r="E300" s="36" t="n">
        <v>2006758.3182</v>
      </c>
      <c r="F300" s="36" t="n">
        <v>15456</v>
      </c>
      <c r="G300" s="36" t="n">
        <v>0</v>
      </c>
      <c r="H300" s="36" t="n">
        <v>81020</v>
      </c>
      <c r="I300" s="36" t="n">
        <v>110772</v>
      </c>
      <c r="J300" s="36" t="n">
        <v>16159.27581826643</v>
      </c>
      <c r="K300" s="36" t="n">
        <v>0</v>
      </c>
      <c r="L300" s="37" t="n">
        <v>50463.82</v>
      </c>
      <c r="M300" s="36" t="n">
        <v>2006758.3182</v>
      </c>
      <c r="N300" s="37" t="n">
        <v>33858352.09</v>
      </c>
      <c r="O300" s="37" t="n">
        <v>26111.7184</v>
      </c>
      <c r="P300" s="37" t="n">
        <v>1712.4665</v>
      </c>
      <c r="Q300" s="36" t="n">
        <v>68970.44</v>
      </c>
      <c r="R300" s="37" t="n">
        <v>336983831.2874</v>
      </c>
      <c r="S300" s="37" t="n">
        <v>999541393.6465</v>
      </c>
      <c r="T300" s="38">
        <f>IF(OR(R300="",R299=""),"",R300-R299)</f>
        <v/>
      </c>
      <c r="U300" s="38">
        <f>IF(OR(S300="",S299=""),"",S300-S299)</f>
        <v/>
      </c>
      <c r="V300" s="38">
        <f>IF(OR(U300="",P300=""),"",U300+P300)</f>
        <v/>
      </c>
      <c r="W300" s="38">
        <f>IF(OR(T300="",O300="",P300=""),"",T300-O300+P300)</f>
        <v/>
      </c>
    </row>
    <row r="301">
      <c r="A301" s="30" t="n">
        <v>45955</v>
      </c>
      <c r="B301" s="36" t="n">
        <v>3249386503.241645</v>
      </c>
      <c r="C301" s="36" t="n"/>
      <c r="D301" s="36" t="n">
        <v>48997606</v>
      </c>
      <c r="E301" s="36" t="n">
        <v>989708.01429</v>
      </c>
      <c r="F301" s="36" t="n">
        <v>26955</v>
      </c>
      <c r="G301" s="36" t="n">
        <v>0</v>
      </c>
      <c r="H301" s="36" t="n">
        <v>87107</v>
      </c>
      <c r="I301" s="36" t="n">
        <v>110935</v>
      </c>
      <c r="J301" s="36" t="n">
        <v>18716.72102899492</v>
      </c>
      <c r="K301" s="36" t="n">
        <v>28825.64</v>
      </c>
      <c r="L301" s="37" t="n">
        <v>23900.16</v>
      </c>
      <c r="M301" s="36" t="n">
        <v>989708.01429</v>
      </c>
      <c r="N301" s="37" t="n">
        <v>33906947.56</v>
      </c>
      <c r="O301" s="37" t="n">
        <v>26119.6365</v>
      </c>
      <c r="P301" s="37" t="n">
        <v>1123.6321</v>
      </c>
      <c r="Q301" s="36" t="n">
        <v>43804.24</v>
      </c>
      <c r="R301" s="37" t="n">
        <v>336994009.3587</v>
      </c>
      <c r="S301" s="37" t="n">
        <v>999540270.0144</v>
      </c>
      <c r="T301" s="38">
        <f>IF(OR(R301="",R300=""),"",R301-R300)</f>
        <v/>
      </c>
      <c r="U301" s="38">
        <f>IF(OR(S301="",S300=""),"",S301-S300)</f>
        <v/>
      </c>
      <c r="V301" s="38">
        <f>IF(OR(U301="",P301=""),"",U301+P301)</f>
        <v/>
      </c>
      <c r="W301" s="38">
        <f>IF(OR(T301="",O301="",P301=""),"",T301-O301+P301)</f>
        <v/>
      </c>
    </row>
    <row r="302">
      <c r="A302" s="30" t="n">
        <v>45956</v>
      </c>
      <c r="B302" s="36" t="n">
        <v>6198381579.219498</v>
      </c>
      <c r="C302" s="36" t="n"/>
      <c r="D302" s="36" t="n">
        <v>47016155</v>
      </c>
      <c r="E302" s="36" t="n">
        <v>1881476.25411</v>
      </c>
      <c r="F302" s="36" t="n">
        <v>28262</v>
      </c>
      <c r="G302" s="36" t="n">
        <v>0</v>
      </c>
      <c r="H302" s="36" t="n">
        <v>125584</v>
      </c>
      <c r="I302" s="36" t="n">
        <v>153309</v>
      </c>
      <c r="J302" s="36" t="n">
        <v>34682.1036159077</v>
      </c>
      <c r="K302" s="36" t="n">
        <v>42619.88</v>
      </c>
      <c r="L302" s="37" t="n">
        <v>40200.85</v>
      </c>
      <c r="M302" s="36" t="n">
        <v>1881476.25411</v>
      </c>
      <c r="N302" s="37" t="n">
        <v>33930325.96</v>
      </c>
      <c r="O302" s="37" t="n">
        <v>26119.244</v>
      </c>
      <c r="P302" s="37" t="n">
        <v>1153.0696</v>
      </c>
      <c r="Q302" s="36" t="n">
        <v>50976.05</v>
      </c>
      <c r="R302" s="37" t="n">
        <v>337004162.4541</v>
      </c>
      <c r="S302" s="37" t="n">
        <v>999539116.9448</v>
      </c>
      <c r="T302" s="38">
        <f>IF(OR(R302="",R301=""),"",R302-R301)</f>
        <v/>
      </c>
      <c r="U302" s="38">
        <f>IF(OR(S302="",S301=""),"",S302-S301)</f>
        <v/>
      </c>
      <c r="V302" s="38">
        <f>IF(OR(U302="",P302=""),"",U302+P302)</f>
        <v/>
      </c>
      <c r="W302" s="38">
        <f>IF(OR(T302="",O302="",P302=""),"",T302-O302+P302)</f>
        <v/>
      </c>
    </row>
    <row r="303">
      <c r="A303" s="30" t="n">
        <v>45957</v>
      </c>
      <c r="B303" s="36" t="n">
        <v>8411267596.114157</v>
      </c>
      <c r="C303" s="36" t="n"/>
      <c r="D303" s="36" t="n">
        <v>65446643</v>
      </c>
      <c r="E303" s="36" t="n">
        <v>2485119.65814</v>
      </c>
      <c r="F303" s="36" t="n">
        <v>36623</v>
      </c>
      <c r="G303" s="36" t="n">
        <v>0</v>
      </c>
      <c r="H303" s="36" t="n">
        <v>141883</v>
      </c>
      <c r="I303" s="36" t="n">
        <v>180324</v>
      </c>
      <c r="J303" s="36" t="n">
        <v>53328.08633295985</v>
      </c>
      <c r="K303" s="36" t="n">
        <v>0</v>
      </c>
      <c r="L303" s="37" t="n">
        <v>52411.15</v>
      </c>
      <c r="M303" s="36" t="n">
        <v>2485119.65814</v>
      </c>
      <c r="N303" s="37" t="n">
        <v>33981239.81</v>
      </c>
      <c r="O303" s="37" t="n">
        <v>30771.3676</v>
      </c>
      <c r="P303" s="37" t="n">
        <v>1937.3233</v>
      </c>
      <c r="Q303" s="36" t="n">
        <v>95241.72</v>
      </c>
      <c r="R303" s="37" t="n">
        <v>337018189.5669</v>
      </c>
      <c r="S303" s="37" t="n">
        <v>999537179.6215</v>
      </c>
      <c r="T303" s="38">
        <f>IF(OR(R303="",R302=""),"",R303-R302)</f>
        <v/>
      </c>
      <c r="U303" s="38">
        <f>IF(OR(S303="",S302=""),"",S303-S302)</f>
        <v/>
      </c>
      <c r="V303" s="38">
        <f>IF(OR(U303="",P303=""),"",U303+P303)</f>
        <v/>
      </c>
      <c r="W303" s="38">
        <f>IF(OR(T303="",O303="",P303=""),"",T303-O303+P303)</f>
        <v/>
      </c>
    </row>
    <row r="304">
      <c r="A304" s="30" t="n">
        <v>45958</v>
      </c>
      <c r="B304" s="36" t="n">
        <v>9800694354.673594</v>
      </c>
      <c r="C304" s="36" t="n"/>
      <c r="D304" s="36" t="n">
        <v>80478854</v>
      </c>
      <c r="E304" s="36" t="n">
        <v>2746596.55191</v>
      </c>
      <c r="F304" s="36" t="n">
        <v>43462</v>
      </c>
      <c r="G304" s="36" t="n">
        <v>0</v>
      </c>
      <c r="H304" s="36" t="n">
        <v>147331</v>
      </c>
      <c r="I304" s="36" t="n">
        <v>195777</v>
      </c>
      <c r="J304" s="36" t="n">
        <v>41219.04381132711</v>
      </c>
      <c r="K304" s="36" t="n">
        <v>0</v>
      </c>
      <c r="L304" s="37" t="n">
        <v>57848.3</v>
      </c>
      <c r="M304" s="36" t="n">
        <v>2746596.55191</v>
      </c>
      <c r="N304" s="37" t="n">
        <v>34026899.08</v>
      </c>
      <c r="O304" s="37" t="n">
        <v>21505.2152</v>
      </c>
      <c r="P304" s="37" t="n">
        <v>2987.1464</v>
      </c>
      <c r="Q304" s="36" t="n">
        <v>139826.83</v>
      </c>
      <c r="R304" s="37" t="n">
        <v>337021892.0603</v>
      </c>
      <c r="S304" s="37" t="n">
        <v>999534192.4751</v>
      </c>
      <c r="T304" s="38">
        <f>IF(OR(R304="",R303=""),"",R304-R303)</f>
        <v/>
      </c>
      <c r="U304" s="38">
        <f>IF(OR(S304="",S303=""),"",S304-S303)</f>
        <v/>
      </c>
      <c r="V304" s="38">
        <f>IF(OR(U304="",P304=""),"",U304+P304)</f>
        <v/>
      </c>
      <c r="W304" s="38">
        <f>IF(OR(T304="",O304="",P304=""),"",T304-O304+P304)</f>
        <v/>
      </c>
    </row>
    <row r="305">
      <c r="A305" s="30" t="n">
        <v>45959</v>
      </c>
      <c r="B305" s="36" t="n">
        <v>11021600474.10319</v>
      </c>
      <c r="C305" s="36" t="n"/>
      <c r="D305" s="36" t="n">
        <v>94293418</v>
      </c>
      <c r="E305" s="36" t="n">
        <v>3030139.75</v>
      </c>
      <c r="F305" s="36" t="n">
        <v>49570</v>
      </c>
      <c r="G305" s="36" t="n">
        <v>0</v>
      </c>
      <c r="H305" s="36" t="n">
        <v>142583</v>
      </c>
      <c r="I305" s="36" t="n">
        <v>180724</v>
      </c>
      <c r="J305" s="36" t="n">
        <v>64687.93868420767</v>
      </c>
      <c r="K305" s="36" t="n">
        <v>0</v>
      </c>
      <c r="L305" s="37" t="n">
        <v>63421.84</v>
      </c>
      <c r="M305" s="36" t="n">
        <v>3030139.75</v>
      </c>
      <c r="N305" s="37" t="n">
        <v>34136793.69</v>
      </c>
      <c r="O305" s="37" t="n">
        <v>26132.4928</v>
      </c>
      <c r="P305" s="37" t="n">
        <v>643.3239</v>
      </c>
      <c r="Q305" s="36" t="n">
        <v>30583.3</v>
      </c>
      <c r="R305" s="37" t="n">
        <v>337032568.2019</v>
      </c>
      <c r="S305" s="37" t="n">
        <v>999533549.1512001</v>
      </c>
      <c r="T305" s="38">
        <f>IF(OR(R305="",R304=""),"",R305-R304)</f>
        <v/>
      </c>
      <c r="U305" s="38">
        <f>IF(OR(S305="",S304=""),"",S305-S304)</f>
        <v/>
      </c>
      <c r="V305" s="38">
        <f>IF(OR(U305="",P305=""),"",U305+P305)</f>
        <v/>
      </c>
      <c r="W305" s="38">
        <f>IF(OR(T305="",O305="",P305=""),"",T305-O305+P305)</f>
        <v/>
      </c>
    </row>
    <row r="306">
      <c r="A306" s="30" t="n">
        <v>45960</v>
      </c>
      <c r="B306" s="36" t="n">
        <v>12251475489.92371</v>
      </c>
      <c r="C306" s="36" t="n"/>
      <c r="D306" s="36" t="n">
        <v>116073044</v>
      </c>
      <c r="E306" s="36" t="n">
        <v>3350689.9</v>
      </c>
      <c r="F306" s="36" t="n">
        <v>53747</v>
      </c>
      <c r="G306" s="36" t="n">
        <v>0</v>
      </c>
      <c r="H306" s="36" t="n">
        <v>203424</v>
      </c>
      <c r="I306" s="36" t="n">
        <v>249350</v>
      </c>
      <c r="J306" s="36" t="n">
        <v>77902.03054013163</v>
      </c>
      <c r="K306" s="36" t="n">
        <v>49040.85</v>
      </c>
      <c r="L306" s="37" t="n">
        <v>72418.74000000001</v>
      </c>
      <c r="M306" s="36" t="n">
        <v>3350689.9</v>
      </c>
      <c r="N306" s="37" t="n">
        <v>34207883.32</v>
      </c>
      <c r="O306" s="37" t="n">
        <v>25584.5234</v>
      </c>
      <c r="P306" s="37" t="n">
        <v>777.1475</v>
      </c>
      <c r="Q306" s="36" t="n">
        <v>37119.67</v>
      </c>
      <c r="R306" s="37" t="n">
        <v>337042570.3133</v>
      </c>
      <c r="S306" s="37" t="n">
        <v>999532772.0037</v>
      </c>
      <c r="T306" s="38">
        <f>IF(OR(R306="",R305=""),"",R306-R305)</f>
        <v/>
      </c>
      <c r="U306" s="38">
        <f>IF(OR(S306="",S305=""),"",S306-S305)</f>
        <v/>
      </c>
      <c r="V306" s="38">
        <f>IF(OR(U306="",P306=""),"",U306+P306)</f>
        <v/>
      </c>
      <c r="W306" s="38">
        <f>IF(OR(T306="",O306="",P306=""),"",T306-O306+P306)</f>
        <v/>
      </c>
    </row>
    <row r="307">
      <c r="A307" s="30" t="n">
        <v>45961</v>
      </c>
      <c r="B307" s="36" t="n">
        <v>7199511723.580703</v>
      </c>
      <c r="C307" s="36" t="n"/>
      <c r="D307" s="36" t="n">
        <v>60260348</v>
      </c>
      <c r="E307" s="36" t="n">
        <v>2259013.3</v>
      </c>
      <c r="F307" s="36" t="n">
        <v>30785</v>
      </c>
      <c r="G307" s="36" t="n">
        <v>0</v>
      </c>
      <c r="H307" s="36" t="n">
        <v>123962</v>
      </c>
      <c r="I307" s="36" t="n">
        <v>153519</v>
      </c>
      <c r="J307" s="36" t="n">
        <v>40723.51198512119</v>
      </c>
      <c r="K307" s="36" t="n">
        <v>29694.07</v>
      </c>
      <c r="L307" s="37" t="n">
        <v>50976.52</v>
      </c>
      <c r="M307" s="36" t="n">
        <v>2259013.3</v>
      </c>
      <c r="N307" s="37" t="n">
        <v>34259513.44</v>
      </c>
      <c r="O307" s="37" t="n">
        <v>26132.0917</v>
      </c>
      <c r="P307" s="37" t="n">
        <v>2710.6255</v>
      </c>
      <c r="Q307" s="36" t="n">
        <v>123413.43</v>
      </c>
      <c r="R307" s="37" t="n">
        <v>337051167.524</v>
      </c>
      <c r="S307" s="37" t="n">
        <v>999530061.3782001</v>
      </c>
      <c r="T307" s="38">
        <f>IF(OR(R307="",R306=""),"",R307-R306)</f>
        <v/>
      </c>
      <c r="U307" s="38">
        <f>IF(OR(S307="",S306=""),"",S307-S306)</f>
        <v/>
      </c>
      <c r="V307" s="38">
        <f>IF(OR(U307="",P307=""),"",U307+P307)</f>
        <v/>
      </c>
      <c r="W307" s="38">
        <f>IF(OR(T307="",O307="",P307=""),"",T307-O307+P307)</f>
        <v/>
      </c>
    </row>
    <row r="308">
      <c r="A308" s="30" t="n">
        <v>45962</v>
      </c>
      <c r="B308" s="36" t="n">
        <v>2965686251.470873</v>
      </c>
      <c r="C308" s="36" t="n"/>
      <c r="D308" s="36" t="n">
        <v>44942141</v>
      </c>
      <c r="E308" s="36" t="n">
        <v>905975.09</v>
      </c>
      <c r="F308" s="36" t="n">
        <v>24402</v>
      </c>
      <c r="G308" s="36" t="n">
        <v>0</v>
      </c>
      <c r="H308" s="36" t="n">
        <v>79034</v>
      </c>
      <c r="I308" s="36" t="n">
        <v>97376</v>
      </c>
      <c r="J308" s="36" t="n">
        <v>20884.86685340288</v>
      </c>
      <c r="K308" s="36" t="n">
        <v>27250.43</v>
      </c>
      <c r="L308" s="37" t="n">
        <v>20798.35</v>
      </c>
      <c r="M308" s="36" t="n">
        <v>905975.09</v>
      </c>
      <c r="N308" s="37" t="n">
        <v>34280139.13</v>
      </c>
      <c r="O308" s="37" t="n">
        <v>26112.4247</v>
      </c>
      <c r="P308" s="37" t="n">
        <v>1407.0012</v>
      </c>
      <c r="Q308" s="36" t="n">
        <v>61106.76</v>
      </c>
      <c r="R308" s="37" t="n">
        <v>337061070.3308</v>
      </c>
      <c r="S308" s="37" t="n">
        <v>999528654.377</v>
      </c>
      <c r="T308" s="38">
        <f>IF(OR(R308="",R307=""),"",R308-R307)</f>
        <v/>
      </c>
      <c r="U308" s="38">
        <f>IF(OR(S308="",S307=""),"",S308-S307)</f>
        <v/>
      </c>
      <c r="V308" s="38">
        <f>IF(OR(U308="",P308=""),"",U308+P308)</f>
        <v/>
      </c>
      <c r="W308" s="38">
        <f>IF(OR(T308="",O308="",P308=""),"",T308-O308+P308)</f>
        <v/>
      </c>
    </row>
    <row r="309">
      <c r="A309" s="30" t="n">
        <v>45963</v>
      </c>
      <c r="B309" s="36" t="n">
        <v>4109923136.259565</v>
      </c>
      <c r="C309" s="36" t="n"/>
      <c r="D309" s="36" t="n">
        <v>32898300</v>
      </c>
      <c r="E309" s="36" t="n">
        <v>1131973.02</v>
      </c>
      <c r="F309" s="36" t="n">
        <v>18560</v>
      </c>
      <c r="G309" s="36" t="n">
        <v>0</v>
      </c>
      <c r="H309" s="36" t="n">
        <v>90793</v>
      </c>
      <c r="I309" s="36" t="n">
        <v>117319</v>
      </c>
      <c r="J309" s="36" t="n">
        <v>21561.40035412544</v>
      </c>
      <c r="K309" s="36" t="n">
        <v>0</v>
      </c>
      <c r="L309" s="37" t="n">
        <v>26840.13</v>
      </c>
      <c r="M309" s="36" t="n">
        <v>1131973.02</v>
      </c>
      <c r="N309" s="37" t="n">
        <v>34310312.42</v>
      </c>
      <c r="O309" s="37" t="n">
        <v>26085.2116</v>
      </c>
      <c r="P309" s="37" t="n">
        <v>1000.5355</v>
      </c>
      <c r="Q309" s="36" t="n">
        <v>42616.31</v>
      </c>
      <c r="R309" s="37" t="n">
        <v>337071356.5747</v>
      </c>
      <c r="S309" s="37" t="n">
        <v>999527653.8415</v>
      </c>
      <c r="T309" s="38">
        <f>IF(OR(R309="",R308=""),"",R309-R308)</f>
        <v/>
      </c>
      <c r="U309" s="38">
        <f>IF(OR(S309="",S308=""),"",S309-S308)</f>
        <v/>
      </c>
      <c r="V309" s="38">
        <f>IF(OR(U309="",P309=""),"",U309+P309)</f>
        <v/>
      </c>
      <c r="W309" s="38">
        <f>IF(OR(T309="",O309="",P309=""),"",T309-O309+P309)</f>
        <v/>
      </c>
    </row>
    <row r="310">
      <c r="A310" s="30" t="n">
        <v>45964</v>
      </c>
      <c r="B310" s="36" t="n">
        <v>12395113798.28667</v>
      </c>
      <c r="C310" s="36" t="n"/>
      <c r="D310" s="36" t="n">
        <v>76786337</v>
      </c>
      <c r="E310" s="36" t="n">
        <v>3442991.47</v>
      </c>
      <c r="F310" s="36" t="n">
        <v>34561</v>
      </c>
      <c r="G310" s="36" t="n">
        <v>0</v>
      </c>
      <c r="H310" s="36" t="n">
        <v>152770</v>
      </c>
      <c r="I310" s="36" t="n">
        <v>205746</v>
      </c>
      <c r="J310" s="36" t="n">
        <v>45857.57870453568</v>
      </c>
      <c r="K310" s="36" t="n">
        <v>23979.5</v>
      </c>
      <c r="L310" s="37" t="n">
        <v>84946.33</v>
      </c>
      <c r="M310" s="36" t="n">
        <v>3442991.47</v>
      </c>
      <c r="N310" s="37" t="n">
        <v>34393309.46</v>
      </c>
      <c r="O310" s="37" t="n">
        <v>26120.7791</v>
      </c>
      <c r="P310" s="37" t="n">
        <v>838.5616</v>
      </c>
      <c r="Q310" s="36" t="n">
        <v>35472.41</v>
      </c>
      <c r="R310" s="37" t="n">
        <v>337081825.5118</v>
      </c>
      <c r="S310" s="37" t="n">
        <v>999526815.2799</v>
      </c>
      <c r="T310" s="38">
        <f>IF(OR(R310="",R309=""),"",R310-R309)</f>
        <v/>
      </c>
      <c r="U310" s="38">
        <f>IF(OR(S310="",S309=""),"",S310-S309)</f>
        <v/>
      </c>
      <c r="V310" s="38">
        <f>IF(OR(U310="",P310=""),"",U310+P310)</f>
        <v/>
      </c>
      <c r="W310" s="38">
        <f>IF(OR(T310="",O310="",P310=""),"",T310-O310+P310)</f>
        <v/>
      </c>
    </row>
    <row r="311">
      <c r="A311" s="30" t="n">
        <v>45965</v>
      </c>
      <c r="B311" s="36" t="n">
        <v>18754986134.89375</v>
      </c>
      <c r="C311" s="36" t="n"/>
      <c r="D311" s="36" t="n">
        <v>76973279</v>
      </c>
      <c r="E311" s="36" t="n">
        <v>4842096.4</v>
      </c>
      <c r="F311" s="36" t="n">
        <v>30207</v>
      </c>
      <c r="G311" s="36" t="n">
        <v>0</v>
      </c>
      <c r="H311" s="36" t="n">
        <v>250277</v>
      </c>
      <c r="I311" s="36" t="n">
        <v>327482</v>
      </c>
      <c r="J311" s="36" t="n">
        <v>86012.91274979358</v>
      </c>
      <c r="K311" s="36" t="n">
        <v>22271.87</v>
      </c>
      <c r="L311" s="37" t="n">
        <v>128295.39</v>
      </c>
      <c r="M311" s="36" t="n">
        <v>4842096.4</v>
      </c>
      <c r="N311" s="37" t="n">
        <v>34530179.1</v>
      </c>
      <c r="O311" s="37" t="n">
        <v>26102.2179</v>
      </c>
      <c r="P311" s="37" t="n">
        <v>1420.4197</v>
      </c>
      <c r="Q311" s="36" t="n">
        <v>55752.18</v>
      </c>
      <c r="R311" s="37" t="n">
        <v>337091670.0507</v>
      </c>
      <c r="S311" s="37" t="n">
        <v>999525394.8602</v>
      </c>
      <c r="T311" s="38">
        <f>IF(OR(R311="",R310=""),"",R311-R310)</f>
        <v/>
      </c>
      <c r="U311" s="38">
        <f>IF(OR(S311="",S310=""),"",S311-S310)</f>
        <v/>
      </c>
      <c r="V311" s="38">
        <f>IF(OR(U311="",P311=""),"",U311+P311)</f>
        <v/>
      </c>
      <c r="W311" s="38">
        <f>IF(OR(T311="",O311="",P311=""),"",T311-O311+P311)</f>
        <v/>
      </c>
    </row>
    <row r="312">
      <c r="A312" s="30" t="n">
        <v>45966</v>
      </c>
      <c r="B312" s="36" t="n">
        <v>9049643782.87299</v>
      </c>
      <c r="C312" s="36" t="n"/>
      <c r="D312" s="36" t="n">
        <v>74172106</v>
      </c>
      <c r="E312" s="36" t="n">
        <v>3095161.4</v>
      </c>
      <c r="F312" s="36" t="n">
        <v>33812</v>
      </c>
      <c r="G312" s="36" t="n">
        <v>0</v>
      </c>
      <c r="H312" s="36" t="n">
        <v>119430</v>
      </c>
      <c r="I312" s="36" t="n">
        <v>162518</v>
      </c>
      <c r="J312" s="36" t="n">
        <v>36274.73347561946</v>
      </c>
      <c r="K312" s="36" t="n">
        <v>37178.92</v>
      </c>
      <c r="L312" s="37" t="n">
        <v>76813.03</v>
      </c>
      <c r="M312" s="36" t="n">
        <v>3095161.4</v>
      </c>
      <c r="N312" s="37" t="n">
        <v>34598550</v>
      </c>
      <c r="O312" s="37" t="n">
        <v>25985.3347</v>
      </c>
      <c r="P312" s="37" t="n">
        <v>2903.9061</v>
      </c>
      <c r="Q312" s="36" t="n">
        <v>113503.53</v>
      </c>
      <c r="R312" s="37" t="n">
        <v>337099854.8585</v>
      </c>
      <c r="S312" s="37" t="n">
        <v>999522490.9541</v>
      </c>
      <c r="T312" s="38">
        <f>IF(OR(R312="",R311=""),"",R312-R311)</f>
        <v/>
      </c>
      <c r="U312" s="38">
        <f>IF(OR(S312="",S311=""),"",S312-S311)</f>
        <v/>
      </c>
      <c r="V312" s="38">
        <f>IF(OR(U312="",P312=""),"",U312+P312)</f>
        <v/>
      </c>
      <c r="W312" s="38">
        <f>IF(OR(T312="",O312="",P312=""),"",T312-O312+P312)</f>
        <v/>
      </c>
    </row>
    <row r="313">
      <c r="A313" s="30" t="n">
        <v>45967</v>
      </c>
      <c r="B313" s="36" t="n">
        <v>10025511124.26234</v>
      </c>
      <c r="C313" s="36" t="n"/>
      <c r="D313" s="36" t="n">
        <v>72408906</v>
      </c>
      <c r="E313" s="36" t="n">
        <v>2820403.43</v>
      </c>
      <c r="F313" s="36" t="n">
        <v>32091</v>
      </c>
      <c r="G313" s="36" t="n">
        <v>0</v>
      </c>
      <c r="H313" s="36" t="n">
        <v>133394</v>
      </c>
      <c r="I313" s="36" t="n">
        <v>179457</v>
      </c>
      <c r="J313" s="36" t="n">
        <v>28589.39459381691</v>
      </c>
      <c r="K313" s="36" t="n">
        <v>0</v>
      </c>
      <c r="L313" s="37" t="n">
        <v>71839.50999999999</v>
      </c>
      <c r="M313" s="36" t="n">
        <v>2820403.43</v>
      </c>
      <c r="N313" s="37" t="n">
        <v>34669690.21</v>
      </c>
      <c r="O313" s="37" t="n">
        <v>25961.9492</v>
      </c>
      <c r="P313" s="37" t="n">
        <v>1791.5839</v>
      </c>
      <c r="Q313" s="36" t="n">
        <v>73526.60000000001</v>
      </c>
      <c r="R313" s="37" t="n">
        <v>337109109.1968</v>
      </c>
      <c r="S313" s="37" t="n">
        <v>999520699.3702</v>
      </c>
      <c r="T313" s="38">
        <f>IF(OR(R313="",R312=""),"",R313-R312)</f>
        <v/>
      </c>
      <c r="U313" s="38">
        <f>IF(OR(S313="",S312=""),"",S313-S312)</f>
        <v/>
      </c>
      <c r="V313" s="38">
        <f>IF(OR(U313="",P313=""),"",U313+P313)</f>
        <v/>
      </c>
      <c r="W313" s="38">
        <f>IF(OR(T313="",O313="",P313=""),"",T313-O313+P313)</f>
        <v/>
      </c>
    </row>
    <row r="314">
      <c r="A314" s="30" t="n">
        <v>45968</v>
      </c>
      <c r="B314" s="36" t="n">
        <v>11452867117.06297</v>
      </c>
      <c r="C314" s="36" t="n"/>
      <c r="D314" s="36" t="n">
        <v>86339593</v>
      </c>
      <c r="E314" s="36" t="n">
        <v>3221804.45</v>
      </c>
      <c r="F314" s="36" t="n">
        <v>36941</v>
      </c>
      <c r="G314" s="36" t="n">
        <v>0</v>
      </c>
      <c r="H314" s="36" t="n">
        <v>117559</v>
      </c>
      <c r="I314" s="36" t="n">
        <v>158063</v>
      </c>
      <c r="J314" s="36" t="n">
        <v>44091.6878996825</v>
      </c>
      <c r="K314" s="36" t="n">
        <v>23132.01</v>
      </c>
      <c r="L314" s="37" t="n">
        <v>79550.84</v>
      </c>
      <c r="M314" s="36" t="n">
        <v>3221804.45</v>
      </c>
      <c r="N314" s="37" t="n">
        <v>34749096.65</v>
      </c>
      <c r="O314" s="37" t="n">
        <v>25933.0357</v>
      </c>
      <c r="P314" s="37" t="n">
        <v>769.2206</v>
      </c>
      <c r="Q314" s="36" t="n">
        <v>29566.53</v>
      </c>
      <c r="R314" s="37" t="n">
        <v>337119353.0779</v>
      </c>
      <c r="S314" s="37" t="n">
        <v>999519930.1496</v>
      </c>
      <c r="T314" s="38">
        <f>IF(OR(R314="",R313=""),"",R314-R313)</f>
        <v/>
      </c>
      <c r="U314" s="38">
        <f>IF(OR(S314="",S313=""),"",S314-S313)</f>
        <v/>
      </c>
      <c r="V314" s="38">
        <f>IF(OR(U314="",P314=""),"",U314+P314)</f>
        <v/>
      </c>
      <c r="W314" s="38">
        <f>IF(OR(T314="",O314="",P314=""),"",T314-O314+P314)</f>
        <v/>
      </c>
    </row>
    <row r="315">
      <c r="A315" s="30" t="n">
        <v>45969</v>
      </c>
      <c r="B315" s="36" t="n">
        <v>5598834970.480749</v>
      </c>
      <c r="C315" s="36" t="n"/>
      <c r="D315" s="36" t="n">
        <v>17353200</v>
      </c>
      <c r="E315" s="36" t="n">
        <v>1626720.04</v>
      </c>
      <c r="F315" s="36" t="n">
        <v>9415</v>
      </c>
      <c r="G315" s="36" t="n">
        <v>0</v>
      </c>
      <c r="H315" s="36" t="n">
        <v>146952</v>
      </c>
      <c r="I315" s="36" t="n">
        <v>192732</v>
      </c>
      <c r="J315" s="36" t="n">
        <v>17413.29662651659</v>
      </c>
      <c r="K315" s="36" t="n">
        <v>21168.53</v>
      </c>
      <c r="L315" s="37" t="n">
        <v>39496.34</v>
      </c>
      <c r="M315" s="36" t="n">
        <v>1626720.04</v>
      </c>
      <c r="N315" s="37" t="n">
        <v>34788699.69</v>
      </c>
      <c r="O315" s="37" t="n">
        <v>25923.3665</v>
      </c>
      <c r="P315" s="37" t="n">
        <v>2190.7271</v>
      </c>
      <c r="Q315" s="36" t="n">
        <v>92204.42</v>
      </c>
      <c r="R315" s="37" t="n">
        <v>337128160.3025</v>
      </c>
      <c r="S315" s="37" t="n">
        <v>999517739.4225</v>
      </c>
      <c r="T315" s="38">
        <f>IF(OR(R315="",R314=""),"",R315-R314)</f>
        <v/>
      </c>
      <c r="U315" s="38">
        <f>IF(OR(S315="",S314=""),"",S315-S314)</f>
        <v/>
      </c>
      <c r="V315" s="38">
        <f>IF(OR(U315="",P315=""),"",U315+P315)</f>
        <v/>
      </c>
      <c r="W315" s="38">
        <f>IF(OR(T315="",O315="",P315=""),"",T315-O315+P315)</f>
        <v/>
      </c>
    </row>
    <row r="316">
      <c r="A316" s="30" t="n">
        <v>45970</v>
      </c>
      <c r="B316" s="36" t="n">
        <v>6118478811.771244</v>
      </c>
      <c r="C316" s="36" t="n"/>
      <c r="D316" s="36" t="n">
        <v>35940775</v>
      </c>
      <c r="E316" s="36" t="n">
        <v>1728449.96</v>
      </c>
      <c r="F316" s="36" t="n">
        <v>18794</v>
      </c>
      <c r="G316" s="36" t="n">
        <v>0</v>
      </c>
      <c r="H316" s="36" t="n">
        <v>81398</v>
      </c>
      <c r="I316" s="36" t="n">
        <v>109079</v>
      </c>
      <c r="J316" s="36" t="n">
        <v>17823.69843861972</v>
      </c>
      <c r="K316" s="36" t="n">
        <v>0</v>
      </c>
      <c r="L316" s="37" t="n">
        <v>42278.57</v>
      </c>
      <c r="M316" s="36" t="n">
        <v>1728449.96</v>
      </c>
      <c r="N316" s="37" t="n">
        <v>34831432.51</v>
      </c>
      <c r="O316" s="37" t="n">
        <v>25894.7721</v>
      </c>
      <c r="P316" s="37" t="n">
        <v>972.6213</v>
      </c>
      <c r="Q316" s="36" t="n">
        <v>38961.75</v>
      </c>
      <c r="R316" s="37" t="n">
        <v>337138133.2539</v>
      </c>
      <c r="S316" s="37" t="n">
        <v>999516766.8012</v>
      </c>
      <c r="T316" s="38">
        <f>IF(OR(R316="",R315=""),"",R316-R315)</f>
        <v/>
      </c>
      <c r="U316" s="38">
        <f>IF(OR(S316="",S315=""),"",S316-S315)</f>
        <v/>
      </c>
      <c r="V316" s="38">
        <f>IF(OR(U316="",P316=""),"",U316+P316)</f>
        <v/>
      </c>
      <c r="W316" s="38">
        <f>IF(OR(T316="",O316="",P316=""),"",T316-O316+P316)</f>
        <v/>
      </c>
    </row>
    <row r="317">
      <c r="A317" s="30" t="n">
        <v>45971</v>
      </c>
      <c r="B317" s="36" t="n">
        <v>8805762772.054436</v>
      </c>
      <c r="C317" s="36" t="n">
        <v>294063499.4635271</v>
      </c>
      <c r="D317" s="36" t="n">
        <v>48277276</v>
      </c>
      <c r="E317" s="36" t="n">
        <v>2462236.88</v>
      </c>
      <c r="F317" s="36" t="n">
        <v>22200</v>
      </c>
      <c r="G317" s="36" t="n">
        <v>0</v>
      </c>
      <c r="H317" s="36" t="n">
        <v>101237</v>
      </c>
      <c r="I317" s="36" t="n">
        <v>138356</v>
      </c>
      <c r="J317" s="36" t="n">
        <v>21912.36709961436</v>
      </c>
      <c r="K317" s="36" t="n">
        <v>28674.71</v>
      </c>
      <c r="L317" s="37" t="n">
        <v>58760.44</v>
      </c>
      <c r="M317" s="36" t="n">
        <v>2462236.88</v>
      </c>
      <c r="N317" s="37" t="n">
        <v>34889688.91</v>
      </c>
      <c r="O317" s="37" t="n">
        <v>25893.8588</v>
      </c>
      <c r="P317" s="37" t="n">
        <v>1115.504</v>
      </c>
      <c r="Q317" s="36" t="n">
        <v>46825.51</v>
      </c>
      <c r="R317" s="37" t="n">
        <v>337147972.8439</v>
      </c>
      <c r="S317" s="37" t="n">
        <v>999515651.2972</v>
      </c>
      <c r="T317" s="38">
        <f>IF(OR(R317="",R316=""),"",R317-R316)</f>
        <v/>
      </c>
      <c r="U317" s="38">
        <f>IF(OR(S317="",S316=""),"",S317-S316)</f>
        <v/>
      </c>
      <c r="V317" s="38">
        <f>IF(OR(U317="",P317=""),"",U317+P317)</f>
        <v/>
      </c>
      <c r="W317" s="38">
        <f>IF(OR(T317="",O317="",P317=""),"",T317-O317+P317)</f>
        <v/>
      </c>
    </row>
    <row r="318">
      <c r="A318" s="30" t="n">
        <v>45972</v>
      </c>
      <c r="B318" s="36" t="n">
        <v>9377492721.86141</v>
      </c>
      <c r="C318" s="36" t="n">
        <v>336158013.1535773</v>
      </c>
      <c r="D318" s="36" t="n">
        <v>51882733</v>
      </c>
      <c r="E318" s="36" t="n">
        <v>2630949.04</v>
      </c>
      <c r="F318" s="36" t="n">
        <v>21096</v>
      </c>
      <c r="G318" s="36" t="n">
        <v>0</v>
      </c>
      <c r="H318" s="36" t="n">
        <v>139663</v>
      </c>
      <c r="I318" s="36" t="n">
        <v>176605</v>
      </c>
      <c r="J318" s="36" t="n">
        <v>21951.803370227</v>
      </c>
      <c r="K318" s="36" t="n">
        <v>0</v>
      </c>
      <c r="L318" s="37" t="n">
        <v>65665.92999999999</v>
      </c>
      <c r="M318" s="36" t="n">
        <v>2630949.04</v>
      </c>
      <c r="N318" s="37" t="n">
        <v>34955480.73</v>
      </c>
      <c r="O318" s="37" t="n">
        <v>25897.845</v>
      </c>
      <c r="P318" s="37" t="n">
        <v>1227.8531</v>
      </c>
      <c r="Q318" s="36" t="n">
        <v>50324.18</v>
      </c>
      <c r="R318" s="37" t="n">
        <v>337157726.7135</v>
      </c>
      <c r="S318" s="37" t="n">
        <v>999514423.4441</v>
      </c>
      <c r="T318" s="38">
        <f>IF(OR(R318="",R317=""),"",R318-R317)</f>
        <v/>
      </c>
      <c r="U318" s="38">
        <f>IF(OR(S318="",S317=""),"",S318-S317)</f>
        <v/>
      </c>
      <c r="V318" s="38">
        <f>IF(OR(U318="",P318=""),"",U318+P318)</f>
        <v/>
      </c>
      <c r="W318" s="38">
        <f>IF(OR(T318="",O318="",P318=""),"",T318-O318+P318)</f>
        <v/>
      </c>
    </row>
    <row r="319">
      <c r="A319" s="30" t="n">
        <v>45973</v>
      </c>
      <c r="B319" s="36" t="n">
        <v>7870620922.088922</v>
      </c>
      <c r="C319" s="36" t="n">
        <v>262212552.193934</v>
      </c>
      <c r="D319" s="36" t="n">
        <v>55323533</v>
      </c>
      <c r="E319" s="36" t="n">
        <v>2222071.34</v>
      </c>
      <c r="F319" s="36" t="n">
        <v>25160</v>
      </c>
      <c r="G319" s="36" t="n">
        <v>0</v>
      </c>
      <c r="H319" s="36" t="n">
        <v>106685</v>
      </c>
      <c r="I319" s="36" t="n">
        <v>140400</v>
      </c>
      <c r="J319" s="36" t="n">
        <v>23955.71629433637</v>
      </c>
      <c r="K319" s="36" t="n">
        <v>19345.2</v>
      </c>
      <c r="L319" s="37" t="n">
        <v>57050.12</v>
      </c>
      <c r="M319" s="36" t="n">
        <v>2222071.34</v>
      </c>
      <c r="N319" s="37" t="n">
        <v>35011836.54</v>
      </c>
      <c r="O319" s="37" t="n">
        <v>25950.145</v>
      </c>
      <c r="P319" s="37" t="n">
        <v>1130.4074</v>
      </c>
      <c r="Q319" s="36" t="n">
        <v>43810.64</v>
      </c>
      <c r="R319" s="37" t="n">
        <v>337167638.6458</v>
      </c>
      <c r="S319" s="37" t="n">
        <v>999513293.0366</v>
      </c>
      <c r="T319" s="38">
        <f>IF(OR(R319="",R318=""),"",R319-R318)</f>
        <v/>
      </c>
      <c r="U319" s="38">
        <f>IF(OR(S319="",S318=""),"",S319-S318)</f>
        <v/>
      </c>
      <c r="V319" s="38">
        <f>IF(OR(U319="",P319=""),"",U319+P319)</f>
        <v/>
      </c>
      <c r="W319" s="38">
        <f>IF(OR(T319="",O319="",P319=""),"",T319-O319+P319)</f>
        <v/>
      </c>
    </row>
    <row r="320">
      <c r="A320" s="30" t="n">
        <v>45974</v>
      </c>
      <c r="B320" s="36" t="n">
        <v>13169557696.45143</v>
      </c>
      <c r="C320" s="36" t="n">
        <v>296326625.6829592</v>
      </c>
      <c r="D320" s="36" t="n">
        <v>77882780</v>
      </c>
      <c r="E320" s="36" t="n">
        <v>3637329.07</v>
      </c>
      <c r="F320" s="36" t="n">
        <v>34595</v>
      </c>
      <c r="G320" s="36" t="n">
        <v>0</v>
      </c>
      <c r="H320" s="36" t="n">
        <v>107158</v>
      </c>
      <c r="I320" s="36" t="n">
        <v>143873</v>
      </c>
      <c r="J320" s="36" t="n">
        <v>24421.98486641538</v>
      </c>
      <c r="K320" s="36" t="n">
        <v>0</v>
      </c>
      <c r="L320" s="37" t="n">
        <v>95270.13</v>
      </c>
      <c r="M320" s="36" t="n">
        <v>3637329.07</v>
      </c>
      <c r="N320" s="37" t="n">
        <v>35109691.56</v>
      </c>
      <c r="O320" s="37" t="n">
        <v>25638.1525</v>
      </c>
      <c r="P320" s="37" t="n">
        <v>1508.7648</v>
      </c>
      <c r="Q320" s="36" t="n">
        <v>57591.06</v>
      </c>
      <c r="R320" s="37" t="n">
        <v>337176996.989</v>
      </c>
      <c r="S320" s="37" t="n">
        <v>999511784.2719001</v>
      </c>
      <c r="T320" s="38">
        <f>IF(OR(R320="",R319=""),"",R320-R319)</f>
        <v/>
      </c>
      <c r="U320" s="38">
        <f>IF(OR(S320="",S319=""),"",S320-S319)</f>
        <v/>
      </c>
      <c r="V320" s="38">
        <f>IF(OR(U320="",P320=""),"",U320+P320)</f>
        <v/>
      </c>
      <c r="W320" s="38">
        <f>IF(OR(T320="",O320="",P320=""),"",T320-O320+P320)</f>
        <v/>
      </c>
    </row>
    <row r="321">
      <c r="A321" s="30" t="n">
        <v>45975</v>
      </c>
      <c r="B321" s="36" t="n">
        <v>13613954644.48285</v>
      </c>
      <c r="C321" s="36" t="n"/>
      <c r="D321" s="36" t="n">
        <v>82876659</v>
      </c>
      <c r="E321" s="36" t="n">
        <v>3778626.52</v>
      </c>
      <c r="F321" s="36" t="n">
        <v>35410</v>
      </c>
      <c r="G321" s="36" t="n">
        <v>0</v>
      </c>
      <c r="H321" s="36" t="n">
        <v>150195</v>
      </c>
      <c r="I321" s="36" t="n">
        <v>195412</v>
      </c>
      <c r="J321" s="36" t="n">
        <v>27479.26514730756</v>
      </c>
      <c r="K321" s="36" t="n">
        <v>20142.14</v>
      </c>
      <c r="L321" s="37" t="n">
        <v>101425.41</v>
      </c>
      <c r="M321" s="36" t="n">
        <v>3778626.52</v>
      </c>
      <c r="N321" s="37" t="n">
        <v>35207988.45</v>
      </c>
      <c r="O321" s="37" t="n">
        <v>25446.1864</v>
      </c>
      <c r="P321" s="37" t="n">
        <v>705.1372</v>
      </c>
      <c r="Q321" s="36" t="n">
        <v>26966.21</v>
      </c>
      <c r="R321" s="37" t="n">
        <v>337187046.1995</v>
      </c>
      <c r="S321" s="37" t="n">
        <v>999511079.1346</v>
      </c>
      <c r="T321" s="38">
        <f>IF(OR(R321="",R320=""),"",R321-R320)</f>
        <v/>
      </c>
      <c r="U321" s="38">
        <f>IF(OR(S321="",S320=""),"",S321-S320)</f>
        <v/>
      </c>
      <c r="V321" s="38">
        <f>IF(OR(U321="",P321=""),"",U321+P321)</f>
        <v/>
      </c>
      <c r="W321" s="38">
        <f>IF(OR(T321="",O321="",P321=""),"",T321-O321+P321)</f>
        <v/>
      </c>
    </row>
    <row r="322">
      <c r="A322" s="30" t="n">
        <v>45976</v>
      </c>
      <c r="B322" s="36" t="n">
        <v>4625959537.415768</v>
      </c>
      <c r="C322" s="36" t="n"/>
      <c r="D322" s="36" t="n">
        <v>28938455</v>
      </c>
      <c r="E322" s="36" t="n">
        <v>1346765.12</v>
      </c>
      <c r="F322" s="36" t="n">
        <v>18495</v>
      </c>
      <c r="G322" s="36" t="n">
        <v>0</v>
      </c>
      <c r="H322" s="36" t="n">
        <v>76492</v>
      </c>
      <c r="I322" s="36" t="n">
        <v>101061</v>
      </c>
      <c r="J322" s="36" t="n">
        <v>9172.038954276788</v>
      </c>
      <c r="K322" s="36" t="n">
        <v>0</v>
      </c>
      <c r="L322" s="37" t="n">
        <v>34839.66</v>
      </c>
      <c r="M322" s="36" t="n">
        <v>1346765.12</v>
      </c>
      <c r="N322" s="37" t="n">
        <v>35243905.51</v>
      </c>
      <c r="O322" s="37" t="n">
        <v>25324.6023</v>
      </c>
      <c r="P322" s="37" t="n">
        <v>2028.2638</v>
      </c>
      <c r="Q322" s="36" t="n">
        <v>76401.64999999999</v>
      </c>
      <c r="R322" s="37" t="n">
        <v>337195576.277</v>
      </c>
      <c r="S322" s="37" t="n">
        <v>999509050.8708</v>
      </c>
      <c r="T322" s="38">
        <f>IF(OR(R322="",R321=""),"",R322-R321)</f>
        <v/>
      </c>
      <c r="U322" s="38">
        <f>IF(OR(S322="",S321=""),"",S322-S321)</f>
        <v/>
      </c>
      <c r="V322" s="38">
        <f>IF(OR(U322="",P322=""),"",U322+P322)</f>
        <v/>
      </c>
      <c r="W322" s="38">
        <f>IF(OR(T322="",O322="",P322=""),"",T322-O322+P322)</f>
        <v/>
      </c>
    </row>
    <row r="323">
      <c r="A323" s="30" t="n">
        <v>45977</v>
      </c>
      <c r="B323" s="36" t="n">
        <v>7048418408.604944</v>
      </c>
      <c r="C323" s="36" t="n"/>
      <c r="D323" s="36" t="n">
        <v>39021394</v>
      </c>
      <c r="E323" s="36" t="n">
        <v>1936066.5</v>
      </c>
      <c r="F323" s="36" t="n">
        <v>22747</v>
      </c>
      <c r="G323" s="36" t="n">
        <v>0</v>
      </c>
      <c r="H323" s="36" t="n">
        <v>98423</v>
      </c>
      <c r="I323" s="36" t="n">
        <v>127467</v>
      </c>
      <c r="J323" s="36" t="n">
        <v>17703.58209622724</v>
      </c>
      <c r="K323" s="36" t="n">
        <v>0</v>
      </c>
      <c r="L323" s="37" t="n">
        <v>50364.81</v>
      </c>
      <c r="M323" s="36" t="n">
        <v>1936066.5</v>
      </c>
      <c r="N323" s="37" t="n">
        <v>35296567.11</v>
      </c>
      <c r="O323" s="37" t="n">
        <v>25348.0065</v>
      </c>
      <c r="P323" s="37" t="n">
        <v>368.3821</v>
      </c>
      <c r="Q323" s="36" t="n">
        <v>14143.85</v>
      </c>
      <c r="R323" s="37" t="n">
        <v>337205807.951</v>
      </c>
      <c r="S323" s="37" t="n">
        <v>999508682.4887</v>
      </c>
      <c r="T323" s="38">
        <f>IF(OR(R323="",R322=""),"",R323-R322)</f>
        <v/>
      </c>
      <c r="U323" s="38">
        <f>IF(OR(S323="",S322=""),"",S323-S322)</f>
        <v/>
      </c>
      <c r="V323" s="38">
        <f>IF(OR(U323="",P323=""),"",U323+P323)</f>
        <v/>
      </c>
      <c r="W323" s="38">
        <f>IF(OR(T323="",O323="",P323=""),"",T323-O323+P323)</f>
        <v/>
      </c>
    </row>
    <row r="324">
      <c r="A324" s="30" t="n">
        <v>45978</v>
      </c>
      <c r="B324" s="36" t="n">
        <v>9790644279.56209</v>
      </c>
      <c r="C324" s="36" t="n"/>
      <c r="D324" s="36" t="n">
        <v>124865202</v>
      </c>
      <c r="E324" s="36" t="n">
        <v>2814222.59</v>
      </c>
      <c r="F324" s="36" t="n">
        <v>55479</v>
      </c>
      <c r="G324" s="36" t="n">
        <v>0</v>
      </c>
      <c r="H324" s="36" t="n">
        <v>114541</v>
      </c>
      <c r="I324" s="36" t="n">
        <v>153294</v>
      </c>
      <c r="J324" s="36" t="n">
        <v>25585.71163847729</v>
      </c>
      <c r="K324" s="36" t="n">
        <v>0</v>
      </c>
      <c r="L324" s="37" t="n">
        <v>73999.24000000001</v>
      </c>
      <c r="M324" s="36" t="n">
        <v>2814222.59</v>
      </c>
      <c r="N324" s="37" t="n">
        <v>35367094.07</v>
      </c>
      <c r="O324" s="37" t="n">
        <v>25332.2468</v>
      </c>
      <c r="P324" s="37" t="n">
        <v>1015.1872</v>
      </c>
      <c r="Q324" s="36" t="n">
        <v>39279.62</v>
      </c>
      <c r="R324" s="37" t="n">
        <v>337215360.1284</v>
      </c>
      <c r="S324" s="37" t="n">
        <v>999507667.3015</v>
      </c>
      <c r="T324" s="38">
        <f>IF(OR(R324="",R323=""),"",R324-R323)</f>
        <v/>
      </c>
      <c r="U324" s="38">
        <f>IF(OR(S324="",S323=""),"",S324-S323)</f>
        <v/>
      </c>
      <c r="V324" s="38">
        <f>IF(OR(U324="",P324=""),"",U324+P324)</f>
        <v/>
      </c>
      <c r="W324" s="38">
        <f>IF(OR(T324="",O324="",P324=""),"",T324-O324+P324)</f>
        <v/>
      </c>
    </row>
    <row r="325">
      <c r="A325" s="30" t="n">
        <v>45979</v>
      </c>
      <c r="B325" s="36" t="n">
        <v>9827374789.107634</v>
      </c>
      <c r="C325" s="36" t="n"/>
      <c r="D325" s="36" t="n">
        <v>143664862</v>
      </c>
      <c r="E325" s="36" t="n">
        <v>2891591.59</v>
      </c>
      <c r="F325" s="36" t="n">
        <v>63228</v>
      </c>
      <c r="G325" s="36" t="n">
        <v>0</v>
      </c>
      <c r="H325" s="36" t="n">
        <v>102009</v>
      </c>
      <c r="I325" s="36" t="n">
        <v>134082</v>
      </c>
      <c r="J325" s="36" t="n">
        <v>48591.65624382608</v>
      </c>
      <c r="K325" s="36" t="n">
        <v>19431.37</v>
      </c>
      <c r="L325" s="37" t="n">
        <v>73038.41</v>
      </c>
      <c r="M325" s="36" t="n">
        <v>2891591.59</v>
      </c>
      <c r="N325" s="37" t="n">
        <v>35441466.6</v>
      </c>
      <c r="O325" s="37" t="n">
        <v>25303.9953</v>
      </c>
      <c r="P325" s="37" t="n">
        <v>689.8976</v>
      </c>
      <c r="Q325" s="36" t="n">
        <v>26951.54</v>
      </c>
      <c r="R325" s="37" t="n">
        <v>337225142.5523</v>
      </c>
      <c r="S325" s="37" t="n">
        <v>999506977.4039</v>
      </c>
      <c r="T325" s="38">
        <f>IF(OR(R325="",R324=""),"",R325-R324)</f>
        <v/>
      </c>
      <c r="U325" s="38">
        <f>IF(OR(S325="",S324=""),"",S325-S324)</f>
        <v/>
      </c>
      <c r="V325" s="38">
        <f>IF(OR(U325="",P325=""),"",U325+P325)</f>
        <v/>
      </c>
      <c r="W325" s="38">
        <f>IF(OR(T325="",O325="",P325=""),"",T325-O325+P325)</f>
        <v/>
      </c>
    </row>
    <row r="326">
      <c r="A326" s="30" t="n">
        <v>45980</v>
      </c>
      <c r="B326" s="36" t="n">
        <v>9741184862.591455</v>
      </c>
      <c r="C326" s="36" t="n"/>
      <c r="D326" s="36" t="n">
        <v>230705185</v>
      </c>
      <c r="E326" s="36" t="n">
        <v>2713751.03</v>
      </c>
      <c r="F326" s="36" t="n">
        <v>110543</v>
      </c>
      <c r="G326" s="36" t="n">
        <v>0</v>
      </c>
      <c r="H326" s="36" t="n">
        <v>107102</v>
      </c>
      <c r="I326" s="36" t="n">
        <v>152868</v>
      </c>
      <c r="J326" s="36" t="n">
        <v>26710.85823632487</v>
      </c>
      <c r="K326" s="36" t="n">
        <v>0</v>
      </c>
      <c r="L326" s="37" t="n">
        <v>71425.92999999999</v>
      </c>
      <c r="M326" s="36" t="n">
        <v>2713751.03</v>
      </c>
      <c r="N326" s="37" t="n">
        <v>35515086.06</v>
      </c>
      <c r="O326" s="37" t="n">
        <v>25266.5099</v>
      </c>
      <c r="P326" s="37" t="n">
        <v>1970.3837</v>
      </c>
      <c r="Q326" s="36" t="n">
        <v>75773.07000000001</v>
      </c>
      <c r="R326" s="37" t="n">
        <v>337233673.3417</v>
      </c>
      <c r="S326" s="37" t="n">
        <v>999505007.0202</v>
      </c>
      <c r="T326" s="38">
        <f>IF(OR(R326="",R325=""),"",R326-R325)</f>
        <v/>
      </c>
      <c r="U326" s="38">
        <f>IF(OR(S326="",S325=""),"",S326-S325)</f>
        <v/>
      </c>
      <c r="V326" s="38">
        <f>IF(OR(U326="",P326=""),"",U326+P326)</f>
        <v/>
      </c>
      <c r="W326" s="38">
        <f>IF(OR(T326="",O326="",P326=""),"",T326-O326+P326)</f>
        <v/>
      </c>
    </row>
    <row r="327">
      <c r="A327" s="30" t="n">
        <v>45981</v>
      </c>
      <c r="B327" s="36" t="n">
        <v>10905595007.32093</v>
      </c>
      <c r="C327" s="36" t="n"/>
      <c r="D327" s="36" t="n">
        <v>316335677</v>
      </c>
      <c r="E327" s="36" t="n">
        <v>3297836.79</v>
      </c>
      <c r="F327" s="36" t="n">
        <v>140567</v>
      </c>
      <c r="G327" s="36" t="n">
        <v>0</v>
      </c>
      <c r="H327" s="36" t="n">
        <v>138245</v>
      </c>
      <c r="I327" s="36" t="n">
        <v>191643</v>
      </c>
      <c r="J327" s="36" t="n">
        <v>21755.97247248714</v>
      </c>
      <c r="K327" s="36" t="n">
        <v>19301.42</v>
      </c>
      <c r="L327" s="37" t="n">
        <v>86002.89</v>
      </c>
      <c r="M327" s="36" t="n">
        <v>3297836.79</v>
      </c>
      <c r="N327" s="37" t="n">
        <v>35598549</v>
      </c>
      <c r="O327" s="37" t="n">
        <v>25302.0351</v>
      </c>
      <c r="P327" s="37" t="n">
        <v>746.9853000000001</v>
      </c>
      <c r="Q327" s="36" t="n">
        <v>28953.9</v>
      </c>
      <c r="R327" s="37" t="n">
        <v>337243423.9183</v>
      </c>
      <c r="S327" s="37" t="n">
        <v>999504260.0349</v>
      </c>
      <c r="T327" s="38">
        <f>IF(OR(R327="",R326=""),"",R327-R326)</f>
        <v/>
      </c>
      <c r="U327" s="38">
        <f>IF(OR(S327="",S326=""),"",S327-S326)</f>
        <v/>
      </c>
      <c r="V327" s="38">
        <f>IF(OR(U327="",P327=""),"",U327+P327)</f>
        <v/>
      </c>
      <c r="W327" s="38">
        <f>IF(OR(T327="",O327="",P327=""),"",T327-O327+P327)</f>
        <v/>
      </c>
    </row>
    <row r="328">
      <c r="A328" s="30" t="n">
        <v>45982</v>
      </c>
      <c r="B328" s="36" t="n">
        <v>15870077046.09589</v>
      </c>
      <c r="C328" s="36" t="n"/>
      <c r="D328" s="36" t="n">
        <v>320977745</v>
      </c>
      <c r="E328" s="36" t="n">
        <v>4477366.02</v>
      </c>
      <c r="F328" s="36" t="n">
        <v>127981</v>
      </c>
      <c r="G328" s="36" t="n">
        <v>0</v>
      </c>
      <c r="H328" s="36" t="n">
        <v>170154</v>
      </c>
      <c r="I328" s="36" t="n">
        <v>220169</v>
      </c>
      <c r="J328" s="36" t="n">
        <v>139853.1428343788</v>
      </c>
      <c r="K328" s="36" t="n">
        <v>0</v>
      </c>
      <c r="L328" s="37" t="n">
        <v>131495.54</v>
      </c>
      <c r="M328" s="36" t="n">
        <v>4477366.02</v>
      </c>
      <c r="N328" s="37" t="n">
        <v>35732484.14</v>
      </c>
      <c r="O328" s="37" t="n">
        <v>25458.281</v>
      </c>
      <c r="P328" s="37" t="n">
        <v>1603.7265</v>
      </c>
      <c r="Q328" s="36" t="n">
        <v>61201.41</v>
      </c>
      <c r="R328" s="37" t="n">
        <v>337252474.386</v>
      </c>
      <c r="S328" s="37" t="n">
        <v>999502656.3083</v>
      </c>
      <c r="T328" s="38">
        <f>IF(OR(R328="",R327=""),"",R328-R327)</f>
        <v/>
      </c>
      <c r="U328" s="38">
        <f>IF(OR(S328="",S327=""),"",S328-S327)</f>
        <v/>
      </c>
      <c r="V328" s="38">
        <f>IF(OR(U328="",P328=""),"",U328+P328)</f>
        <v/>
      </c>
      <c r="W328" s="38">
        <f>IF(OR(T328="",O328="",P328=""),"",T328-O328+P328)</f>
        <v/>
      </c>
    </row>
    <row r="329">
      <c r="A329" s="30" t="n">
        <v>45983</v>
      </c>
      <c r="B329" s="36" t="n">
        <v>4616700091.780627</v>
      </c>
      <c r="C329" s="36" t="n"/>
      <c r="D329" s="36" t="n">
        <v>56501925</v>
      </c>
      <c r="E329" s="36" t="n">
        <v>1463002.28</v>
      </c>
      <c r="F329" s="36" t="n">
        <v>33202</v>
      </c>
      <c r="G329" s="36" t="n">
        <v>0</v>
      </c>
      <c r="H329" s="36" t="n">
        <v>99253</v>
      </c>
      <c r="I329" s="36" t="n">
        <v>118691</v>
      </c>
      <c r="J329" s="36" t="n">
        <v>61625.82517037715</v>
      </c>
      <c r="K329" s="36" t="n">
        <v>0</v>
      </c>
      <c r="L329" s="37" t="n">
        <v>45248.9</v>
      </c>
      <c r="M329" s="36" t="n">
        <v>1463002.28</v>
      </c>
      <c r="N329" s="37" t="n">
        <v>35775635.35</v>
      </c>
      <c r="O329" s="37" t="n">
        <v>26093.2751</v>
      </c>
      <c r="P329" s="37" t="n">
        <v>1923.115</v>
      </c>
      <c r="Q329" s="36" t="n">
        <v>64474.35</v>
      </c>
      <c r="R329" s="37" t="n">
        <v>337261854.4014</v>
      </c>
      <c r="S329" s="37" t="n">
        <v>999500733.1934</v>
      </c>
      <c r="T329" s="38">
        <f>IF(OR(R329="",R328=""),"",R329-R328)</f>
        <v/>
      </c>
      <c r="U329" s="38">
        <f>IF(OR(S329="",S328=""),"",S329-S328)</f>
        <v/>
      </c>
      <c r="V329" s="38">
        <f>IF(OR(U329="",P329=""),"",U329+P329)</f>
        <v/>
      </c>
      <c r="W329" s="38">
        <f>IF(OR(T329="",O329="",P329=""),"",T329-O329+P329)</f>
        <v/>
      </c>
    </row>
    <row r="330">
      <c r="A330" s="30" t="n">
        <v>45984</v>
      </c>
      <c r="B330" s="36" t="n">
        <v>6272448068.159555</v>
      </c>
      <c r="C330" s="36" t="n"/>
      <c r="D330" s="36" t="n">
        <v>54397552</v>
      </c>
      <c r="E330" s="36" t="n">
        <v>1788087.04</v>
      </c>
      <c r="F330" s="36" t="n">
        <v>19317</v>
      </c>
      <c r="G330" s="36" t="n">
        <v>0</v>
      </c>
      <c r="H330" s="36" t="n">
        <v>90553</v>
      </c>
      <c r="I330" s="36" t="n">
        <v>116277</v>
      </c>
      <c r="J330" s="36" t="n">
        <v>32712.50387890688</v>
      </c>
      <c r="K330" s="36" t="n">
        <v>0</v>
      </c>
      <c r="L330" s="37" t="n">
        <v>57272.67</v>
      </c>
      <c r="M330" s="36" t="n">
        <v>1788087.04</v>
      </c>
      <c r="N330" s="37" t="n">
        <v>35834603.26</v>
      </c>
      <c r="O330" s="37" t="n">
        <v>25985.4196</v>
      </c>
      <c r="P330" s="37" t="n">
        <v>996.9057</v>
      </c>
      <c r="Q330" s="36" t="n">
        <v>29721.25</v>
      </c>
      <c r="R330" s="37" t="n">
        <v>337272061.1235</v>
      </c>
      <c r="S330" s="37" t="n">
        <v>999499736.2876</v>
      </c>
      <c r="T330" s="38">
        <f>IF(OR(R330="",R329=""),"",R330-R329)</f>
        <v/>
      </c>
      <c r="U330" s="38">
        <f>IF(OR(S330="",S329=""),"",S330-S329)</f>
        <v/>
      </c>
      <c r="V330" s="38">
        <f>IF(OR(U330="",P330=""),"",U330+P330)</f>
        <v/>
      </c>
      <c r="W330" s="38">
        <f>IF(OR(T330="",O330="",P330=""),"",T330-O330+P330)</f>
        <v/>
      </c>
    </row>
    <row r="331">
      <c r="A331" s="30" t="n">
        <v>45985</v>
      </c>
      <c r="B331" s="36" t="n">
        <v>9833081075.962315</v>
      </c>
      <c r="C331" s="36" t="n"/>
      <c r="D331" s="36" t="n">
        <v>446733399</v>
      </c>
      <c r="E331" s="36" t="n">
        <v>2548486.51</v>
      </c>
      <c r="F331" s="36" t="n">
        <v>31678</v>
      </c>
      <c r="G331" s="36" t="n">
        <v>0</v>
      </c>
      <c r="H331" s="36" t="n">
        <v>101913</v>
      </c>
      <c r="I331" s="36" t="n">
        <v>128678</v>
      </c>
      <c r="J331" s="36" t="n">
        <v>29059.74762739233</v>
      </c>
      <c r="K331" s="36" t="n">
        <v>0</v>
      </c>
      <c r="L331" s="37" t="n">
        <v>79513.28</v>
      </c>
      <c r="M331" s="36" t="n">
        <v>2548486.51</v>
      </c>
      <c r="N331" s="37" t="n">
        <v>35912351.16</v>
      </c>
      <c r="O331" s="37" t="n">
        <v>25930.868</v>
      </c>
      <c r="P331" s="37" t="n">
        <v>781.6647</v>
      </c>
      <c r="Q331" s="36" t="n">
        <v>24897.97</v>
      </c>
      <c r="R331" s="37" t="n">
        <v>337282446.9887</v>
      </c>
      <c r="S331" s="37" t="n">
        <v>999498954.623</v>
      </c>
      <c r="T331" s="38">
        <f>IF(OR(R331="",R330=""),"",R331-R330)</f>
        <v/>
      </c>
      <c r="U331" s="38">
        <f>IF(OR(S331="",S330=""),"",S331-S330)</f>
        <v/>
      </c>
      <c r="V331" s="38">
        <f>IF(OR(U331="",P331=""),"",U331+P331)</f>
        <v/>
      </c>
      <c r="W331" s="38">
        <f>IF(OR(T331="",O331="",P331=""),"",T331-O331+P331)</f>
        <v/>
      </c>
    </row>
    <row r="332">
      <c r="A332" s="30" t="n">
        <v>45986</v>
      </c>
      <c r="B332" s="36" t="n">
        <v>8046994888.655939</v>
      </c>
      <c r="C332" s="36" t="n"/>
      <c r="D332" s="36" t="n">
        <v>525535455</v>
      </c>
      <c r="E332" s="36" t="n">
        <v>1965765.79</v>
      </c>
      <c r="F332" s="36" t="n">
        <v>36924</v>
      </c>
      <c r="G332" s="36" t="n">
        <v>0</v>
      </c>
      <c r="H332" s="36" t="n">
        <v>99165</v>
      </c>
      <c r="I332" s="36" t="n">
        <v>125607</v>
      </c>
      <c r="J332" s="36" t="n">
        <v>40906.31853622154</v>
      </c>
      <c r="K332" s="36" t="n">
        <v>0</v>
      </c>
      <c r="L332" s="37" t="n">
        <v>60402.47</v>
      </c>
      <c r="M332" s="36" t="n">
        <v>1965765.79</v>
      </c>
      <c r="N332" s="37" t="n">
        <v>35971494.16</v>
      </c>
      <c r="O332" s="37" t="n">
        <v>25908.1004</v>
      </c>
      <c r="P332" s="37" t="n">
        <v>1412.2144</v>
      </c>
      <c r="Q332" s="36" t="n">
        <v>46821.26</v>
      </c>
      <c r="R332" s="37" t="n">
        <v>337292218.7532</v>
      </c>
      <c r="S332" s="37" t="n">
        <v>999497542.4085</v>
      </c>
      <c r="T332" s="38">
        <f>IF(OR(R332="",R331=""),"",R332-R331)</f>
        <v/>
      </c>
      <c r="U332" s="38">
        <f>IF(OR(S332="",S331=""),"",S332-S331)</f>
        <v/>
      </c>
      <c r="V332" s="38">
        <f>IF(OR(U332="",P332=""),"",U332+P332)</f>
        <v/>
      </c>
      <c r="W332" s="38">
        <f>IF(OR(T332="",O332="",P332=""),"",T332-O332+P332)</f>
        <v/>
      </c>
    </row>
    <row r="333">
      <c r="A333" s="30" t="n">
        <v>45987</v>
      </c>
      <c r="B333" s="36" t="n">
        <v>7216393409.867259</v>
      </c>
      <c r="C333" s="36" t="n"/>
      <c r="D333" s="36" t="n">
        <v>398953790</v>
      </c>
      <c r="E333" s="36" t="n">
        <v>2161625.93</v>
      </c>
      <c r="F333" s="36" t="n">
        <v>31209</v>
      </c>
      <c r="G333" s="36" t="n">
        <v>0</v>
      </c>
      <c r="H333" s="36" t="n">
        <v>98810</v>
      </c>
      <c r="I333" s="36" t="n">
        <v>129077</v>
      </c>
      <c r="J333" s="36" t="n">
        <v>23744.54884645989</v>
      </c>
      <c r="K333" s="36" t="n">
        <v>0</v>
      </c>
      <c r="L333" s="37" t="n">
        <v>62475.15</v>
      </c>
      <c r="M333" s="36" t="n">
        <v>2161625.93</v>
      </c>
      <c r="N333" s="37" t="n">
        <v>36035251.03</v>
      </c>
      <c r="O333" s="37" t="n">
        <v>25927.2734</v>
      </c>
      <c r="P333" s="37" t="n">
        <v>1074.1511</v>
      </c>
      <c r="Q333" s="36" t="n">
        <v>36459.91</v>
      </c>
      <c r="R333" s="37" t="n">
        <v>337302323.9331</v>
      </c>
      <c r="S333" s="37" t="n">
        <v>999496468.2574</v>
      </c>
      <c r="T333" s="38">
        <f>IF(OR(R333="",R332=""),"",R333-R332)</f>
        <v/>
      </c>
      <c r="U333" s="38">
        <f>IF(OR(S333="",S332=""),"",S333-S332)</f>
        <v/>
      </c>
      <c r="V333" s="38">
        <f>IF(OR(U333="",P333=""),"",U333+P333)</f>
        <v/>
      </c>
      <c r="W333" s="38">
        <f>IF(OR(T333="",O333="",P333=""),"",T333-O333+P333)</f>
        <v/>
      </c>
    </row>
    <row r="334">
      <c r="A334" s="30" t="n">
        <v>45988</v>
      </c>
      <c r="B334" s="36" t="n">
        <v>4726145072.597501</v>
      </c>
      <c r="C334" s="36" t="n">
        <v>292702229.7850219</v>
      </c>
      <c r="D334" s="36" t="n">
        <v>188922825</v>
      </c>
      <c r="E334" s="36" t="n">
        <v>1351706.04</v>
      </c>
      <c r="F334" s="36" t="n">
        <v>24745</v>
      </c>
      <c r="G334" s="36" t="n">
        <v>0</v>
      </c>
      <c r="H334" s="36" t="n">
        <v>102079</v>
      </c>
      <c r="I334" s="36" t="n">
        <v>125247</v>
      </c>
      <c r="J334" s="36" t="n">
        <v>15709.05536838143</v>
      </c>
      <c r="K334" s="36" t="n">
        <v>0</v>
      </c>
      <c r="L334" s="37" t="n">
        <v>38174.87</v>
      </c>
      <c r="M334" s="36" t="n">
        <v>1351706.04</v>
      </c>
      <c r="N334" s="37" t="n">
        <v>36078643.78</v>
      </c>
      <c r="O334" s="37" t="n">
        <v>25939.7711</v>
      </c>
      <c r="P334" s="37" t="n">
        <v>1501.4621</v>
      </c>
      <c r="Q334" s="36" t="n">
        <v>53847.69</v>
      </c>
      <c r="R334" s="37" t="n">
        <v>337312073.692</v>
      </c>
      <c r="S334" s="37" t="n">
        <v>999494966.7953</v>
      </c>
      <c r="T334" s="38">
        <f>IF(OR(R334="",R333=""),"",R334-R333)</f>
        <v/>
      </c>
      <c r="U334" s="38">
        <f>IF(OR(S334="",S333=""),"",S334-S333)</f>
        <v/>
      </c>
      <c r="V334" s="38">
        <f>IF(OR(U334="",P334=""),"",U334+P334)</f>
        <v/>
      </c>
      <c r="W334" s="38">
        <f>IF(OR(T334="",O334="",P334=""),"",T334-O334+P334)</f>
        <v/>
      </c>
    </row>
    <row r="335">
      <c r="A335" s="30" t="n">
        <v>45989</v>
      </c>
      <c r="B335" s="36" t="n">
        <v>5513852972.516263</v>
      </c>
      <c r="C335" s="36" t="n">
        <v>255721445.4562827</v>
      </c>
      <c r="D335" s="36" t="n">
        <v>258786551</v>
      </c>
      <c r="E335" s="36" t="n">
        <v>1510697.17</v>
      </c>
      <c r="F335" s="36" t="n">
        <v>29576</v>
      </c>
      <c r="G335" s="36" t="n">
        <v>0</v>
      </c>
      <c r="H335" s="36" t="n">
        <v>106451</v>
      </c>
      <c r="I335" s="36" t="n">
        <v>135613</v>
      </c>
      <c r="J335" s="36" t="n">
        <v>26450.57931753064</v>
      </c>
      <c r="K335" s="36" t="n">
        <v>0</v>
      </c>
      <c r="L335" s="37" t="n">
        <v>42843.73</v>
      </c>
      <c r="M335" s="36" t="n">
        <v>1510697.17</v>
      </c>
      <c r="N335" s="37" t="n">
        <v>36115330.7</v>
      </c>
      <c r="O335" s="37" t="n">
        <v>31338.8428</v>
      </c>
      <c r="P335" s="37" t="n">
        <v>1305.9098</v>
      </c>
      <c r="Q335" s="36" t="n">
        <v>45898.16</v>
      </c>
      <c r="R335" s="37" t="n">
        <v>337327395.763</v>
      </c>
      <c r="S335" s="37" t="n">
        <v>999493660.8855</v>
      </c>
      <c r="T335" s="38">
        <f>IF(OR(R335="",R334=""),"",R335-R334)</f>
        <v/>
      </c>
      <c r="U335" s="38">
        <f>IF(OR(S335="",S334=""),"",S335-S334)</f>
        <v/>
      </c>
      <c r="V335" s="38">
        <f>IF(OR(U335="",P335=""),"",U335+P335)</f>
        <v/>
      </c>
      <c r="W335" s="38">
        <f>IF(OR(T335="",O335="",P335=""),"",T335-O335+P335)</f>
        <v/>
      </c>
    </row>
    <row r="336">
      <c r="A336" s="30" t="n">
        <v>45990</v>
      </c>
      <c r="B336" s="36" t="n">
        <v>2890069826.238156</v>
      </c>
      <c r="C336" s="36" t="n">
        <v>265118910.7790964</v>
      </c>
      <c r="D336" s="36" t="n">
        <v>138182239</v>
      </c>
      <c r="E336" s="36" t="n">
        <v>804884.51</v>
      </c>
      <c r="F336" s="36" t="n">
        <v>16359</v>
      </c>
      <c r="G336" s="36" t="n">
        <v>0</v>
      </c>
      <c r="H336" s="36" t="n">
        <v>77510</v>
      </c>
      <c r="I336" s="36" t="n">
        <v>101164</v>
      </c>
      <c r="J336" s="36" t="n">
        <v>29658.64427759313</v>
      </c>
      <c r="K336" s="36" t="n">
        <v>0</v>
      </c>
      <c r="L336" s="37" t="n">
        <v>23024.51</v>
      </c>
      <c r="M336" s="36" t="n">
        <v>804884.51</v>
      </c>
      <c r="N336" s="37" t="n">
        <v>36138304.14</v>
      </c>
      <c r="O336" s="37" t="n">
        <v>20590.3069</v>
      </c>
      <c r="P336" s="37" t="n">
        <v>1064.5581</v>
      </c>
      <c r="Q336" s="36" t="n">
        <v>37366.52</v>
      </c>
      <c r="R336" s="37" t="n">
        <v>337332211.5247</v>
      </c>
      <c r="S336" s="37" t="n">
        <v>999492596.3274</v>
      </c>
      <c r="T336" s="38">
        <f>IF(OR(R336="",R335=""),"",R336-R335)</f>
        <v/>
      </c>
      <c r="U336" s="38">
        <f>IF(OR(S336="",S335=""),"",S336-S335)</f>
        <v/>
      </c>
      <c r="V336" s="38">
        <f>IF(OR(U336="",P336=""),"",U336+P336)</f>
        <v/>
      </c>
      <c r="W336" s="38">
        <f>IF(OR(T336="",O336="",P336=""),"",T336-O336+P336)</f>
        <v/>
      </c>
    </row>
    <row r="337">
      <c r="A337" s="30" t="n">
        <v>45991</v>
      </c>
      <c r="B337" s="36" t="n">
        <v>2720048465.834409</v>
      </c>
      <c r="C337" s="36" t="n">
        <v>180198119.4724098</v>
      </c>
      <c r="D337" s="36" t="n">
        <v>103667471</v>
      </c>
      <c r="E337" s="36" t="n">
        <v>791553.71</v>
      </c>
      <c r="F337" s="36" t="n">
        <v>11867</v>
      </c>
      <c r="G337" s="36" t="n">
        <v>0</v>
      </c>
      <c r="H337" s="36" t="n">
        <v>66269</v>
      </c>
      <c r="I337" s="36" t="n">
        <v>82329</v>
      </c>
      <c r="J337" s="36" t="n">
        <v>11668.06729438829</v>
      </c>
      <c r="K337" s="36" t="n">
        <v>0</v>
      </c>
      <c r="L337" s="37" t="n">
        <v>23691.4</v>
      </c>
      <c r="M337" s="36" t="n">
        <v>791553.71</v>
      </c>
      <c r="N337" s="37" t="n">
        <v>36170343.66</v>
      </c>
      <c r="O337" s="37" t="n">
        <v>25920.7845</v>
      </c>
      <c r="P337" s="37" t="n">
        <v>407.8315</v>
      </c>
      <c r="Q337" s="36" t="n">
        <v>14024.31</v>
      </c>
      <c r="R337" s="37" t="n">
        <v>339088736.4976</v>
      </c>
      <c r="S337" s="37" t="n">
        <v>999492188.4959</v>
      </c>
      <c r="T337" s="38">
        <f>IF(OR(R337="",R336=""),"",R337-R336)</f>
        <v/>
      </c>
      <c r="U337" s="38">
        <f>IF(OR(S337="",S336=""),"",S337-S336)</f>
        <v/>
      </c>
      <c r="V337" s="38">
        <f>IF(OR(U337="",P337=""),"",U337+P337)</f>
        <v/>
      </c>
      <c r="W337" s="38">
        <f>IF(OR(T337="",O337="",P337=""),"",T337-O337+P337)</f>
        <v/>
      </c>
    </row>
    <row r="338">
      <c r="A338" s="30" t="n">
        <v>45992</v>
      </c>
      <c r="B338" s="36" t="n">
        <v>10418462236.78198</v>
      </c>
      <c r="C338" s="36" t="n">
        <v>189426713.2568978</v>
      </c>
      <c r="D338" s="36" t="n">
        <v>397070365</v>
      </c>
      <c r="E338" s="36" t="n">
        <v>2849206.8</v>
      </c>
      <c r="F338" s="36" t="n">
        <v>29169</v>
      </c>
      <c r="G338" s="36" t="n">
        <v>0</v>
      </c>
      <c r="H338" s="36" t="n">
        <v>134550</v>
      </c>
      <c r="I338" s="36" t="n">
        <v>175170</v>
      </c>
      <c r="J338" s="36" t="n">
        <v>34588.22826412698</v>
      </c>
      <c r="K338" s="36" t="n">
        <v>0</v>
      </c>
      <c r="L338" s="37" t="n">
        <v>93343.03999999999</v>
      </c>
      <c r="M338" s="36" t="n">
        <v>2849206.8</v>
      </c>
      <c r="N338" s="37" t="n">
        <v>36256264.96</v>
      </c>
      <c r="O338" s="37" t="n">
        <v>26009.9969</v>
      </c>
      <c r="P338" s="37" t="n">
        <v>1190.3492</v>
      </c>
      <c r="Q338" s="36" t="n">
        <v>37106.16</v>
      </c>
      <c r="R338" s="37" t="n">
        <v>339098805.6282</v>
      </c>
      <c r="S338" s="37" t="n">
        <v>999490998.1467</v>
      </c>
      <c r="T338" s="38">
        <f>IF(OR(R338="",R337=""),"",R338-R337)</f>
        <v/>
      </c>
      <c r="U338" s="38">
        <f>IF(OR(S338="",S337=""),"",S338-S337)</f>
        <v/>
      </c>
      <c r="V338" s="38">
        <f>IF(OR(U338="",P338=""),"",U338+P338)</f>
        <v/>
      </c>
      <c r="W338" s="38">
        <f>IF(OR(T338="",O338="",P338=""),"",T338-O338+P338)</f>
        <v/>
      </c>
    </row>
    <row r="339">
      <c r="A339" s="30" t="n">
        <v>45993</v>
      </c>
      <c r="B339" s="36" t="n">
        <v>7930853655.274302</v>
      </c>
      <c r="C339" s="36" t="n">
        <v>326729097.8841441</v>
      </c>
      <c r="D339" s="36" t="n">
        <v>380463264</v>
      </c>
      <c r="E339" s="36" t="n">
        <v>2194924.87</v>
      </c>
      <c r="F339" s="36" t="n">
        <v>32307</v>
      </c>
      <c r="G339" s="36" t="n">
        <v>0</v>
      </c>
      <c r="H339" s="36" t="n">
        <v>103275</v>
      </c>
      <c r="I339" s="36" t="n">
        <v>141033</v>
      </c>
      <c r="J339" s="36" t="n">
        <v>37473.69830858563</v>
      </c>
      <c r="K339" s="36" t="n">
        <v>0</v>
      </c>
      <c r="L339" s="37" t="n">
        <v>67716.16</v>
      </c>
      <c r="M339" s="36" t="n">
        <v>2194924.87</v>
      </c>
      <c r="N339" s="37" t="n">
        <v>36323946.13</v>
      </c>
      <c r="O339" s="37" t="n">
        <v>25997.6102</v>
      </c>
      <c r="P339" s="37" t="n">
        <v>1385.634</v>
      </c>
      <c r="Q339" s="36" t="n">
        <v>43223.47</v>
      </c>
      <c r="R339" s="37" t="n">
        <v>339108664.075</v>
      </c>
      <c r="S339" s="37" t="n">
        <v>999489612.5128</v>
      </c>
      <c r="T339" s="38">
        <f>IF(OR(R339="",R338=""),"",R339-R338)</f>
        <v/>
      </c>
      <c r="U339" s="38">
        <f>IF(OR(S339="",S338=""),"",S339-S338)</f>
        <v/>
      </c>
      <c r="V339" s="38">
        <f>IF(OR(U339="",P339=""),"",U339+P339)</f>
        <v/>
      </c>
      <c r="W339" s="38">
        <f>IF(OR(T339="",O339="",P339=""),"",T339-O339+P339)</f>
        <v/>
      </c>
    </row>
    <row r="340">
      <c r="A340" s="30" t="n">
        <v>45994</v>
      </c>
      <c r="B340" s="36" t="n">
        <v>7295701501.824692</v>
      </c>
      <c r="C340" s="36" t="n">
        <v>303272604.5843256</v>
      </c>
      <c r="D340" s="36" t="n">
        <v>408944628</v>
      </c>
      <c r="E340" s="36" t="n">
        <v>2079489.72</v>
      </c>
      <c r="F340" s="36" t="n">
        <v>29491</v>
      </c>
      <c r="G340" s="36" t="n">
        <v>0</v>
      </c>
      <c r="H340" s="36" t="n">
        <v>85689</v>
      </c>
      <c r="I340" s="36" t="n">
        <v>108352</v>
      </c>
      <c r="J340" s="36" t="n">
        <v>25092.22544406611</v>
      </c>
      <c r="K340" s="36" t="n">
        <v>0</v>
      </c>
      <c r="L340" s="37" t="n">
        <v>60797.55</v>
      </c>
      <c r="M340" s="36" t="n">
        <v>2079489.72</v>
      </c>
      <c r="N340" s="37" t="n">
        <v>36384895.82</v>
      </c>
      <c r="O340" s="37" t="n">
        <v>25968.5244</v>
      </c>
      <c r="P340" s="37" t="n">
        <v>1964.9548</v>
      </c>
      <c r="Q340" s="36" t="n">
        <v>66122.69</v>
      </c>
      <c r="R340" s="37" t="n">
        <v>339117875.5365</v>
      </c>
      <c r="S340" s="37" t="n">
        <v>999487647.558</v>
      </c>
      <c r="T340" s="38">
        <f>IF(OR(R340="",R339=""),"",R340-R339)</f>
        <v/>
      </c>
      <c r="U340" s="38">
        <f>IF(OR(S340="",S339=""),"",S340-S339)</f>
        <v/>
      </c>
      <c r="V340" s="38">
        <f>IF(OR(U340="",P340=""),"",U340+P340)</f>
        <v/>
      </c>
      <c r="W340" s="38">
        <f>IF(OR(T340="",O340="",P340=""),"",T340-O340+P340)</f>
        <v/>
      </c>
    </row>
    <row r="341">
      <c r="A341" s="30" t="n">
        <v>45995</v>
      </c>
      <c r="B341" s="36" t="n">
        <v>6309197845.472502</v>
      </c>
      <c r="C341" s="36" t="n">
        <v>217351900.391949</v>
      </c>
      <c r="D341" s="36" t="n">
        <v>513842492</v>
      </c>
      <c r="E341" s="36" t="n">
        <v>1663937.63</v>
      </c>
      <c r="F341" s="36" t="n">
        <v>36786</v>
      </c>
      <c r="G341" s="36" t="n">
        <v>0</v>
      </c>
      <c r="H341" s="36" t="n">
        <v>80243</v>
      </c>
      <c r="I341" s="36" t="n">
        <v>101717</v>
      </c>
      <c r="J341" s="36" t="n">
        <v>19057.2032159248</v>
      </c>
      <c r="K341" s="36" t="n">
        <v>0</v>
      </c>
      <c r="L341" s="37" t="n">
        <v>48186.92</v>
      </c>
      <c r="M341" s="36" t="n">
        <v>1663937.63</v>
      </c>
      <c r="N341" s="37" t="n">
        <v>36432787.69</v>
      </c>
      <c r="O341" s="37" t="n">
        <v>25970.2027</v>
      </c>
      <c r="P341" s="37" t="n">
        <v>630.4376</v>
      </c>
      <c r="Q341" s="36" t="n">
        <v>21789.5</v>
      </c>
      <c r="R341" s="37" t="n">
        <v>339128435.7992</v>
      </c>
      <c r="S341" s="37" t="n">
        <v>999487017.1204</v>
      </c>
      <c r="T341" s="38">
        <f>IF(OR(R341="",R340=""),"",R341-R340)</f>
        <v/>
      </c>
      <c r="U341" s="38">
        <f>IF(OR(S341="",S340=""),"",S341-S340)</f>
        <v/>
      </c>
      <c r="V341" s="38">
        <f>IF(OR(U341="",P341=""),"",U341+P341)</f>
        <v/>
      </c>
      <c r="W341" s="38">
        <f>IF(OR(T341="",O341="",P341=""),"",T341-O341+P341)</f>
        <v/>
      </c>
    </row>
    <row r="342">
      <c r="A342" s="30" t="n">
        <v>45996</v>
      </c>
      <c r="B342" s="36" t="n">
        <v>7403959711.177635</v>
      </c>
      <c r="C342" s="36" t="n">
        <v>189081893.5915089</v>
      </c>
      <c r="D342" s="36" t="n">
        <v>337623925</v>
      </c>
      <c r="E342" s="36" t="n">
        <v>2000314.57</v>
      </c>
      <c r="F342" s="36" t="n">
        <v>24444</v>
      </c>
      <c r="G342" s="36" t="n">
        <v>0</v>
      </c>
      <c r="H342" s="36" t="n">
        <v>76535</v>
      </c>
      <c r="I342" s="36" t="n">
        <v>94893</v>
      </c>
      <c r="J342" s="36" t="n">
        <v>17560.31635041048</v>
      </c>
      <c r="K342" s="36" t="n">
        <v>0</v>
      </c>
      <c r="L342" s="37" t="n">
        <v>63142.73</v>
      </c>
      <c r="M342" s="36" t="n">
        <v>2000314.57</v>
      </c>
      <c r="N342" s="37" t="n">
        <v>36495511.64</v>
      </c>
      <c r="O342" s="37" t="n">
        <v>26286.8388</v>
      </c>
      <c r="P342" s="37" t="n">
        <v>1171.0211</v>
      </c>
      <c r="Q342" s="36" t="n">
        <v>39214.57</v>
      </c>
      <c r="R342" s="37" t="n">
        <v>339138948.2656</v>
      </c>
      <c r="S342" s="37" t="n">
        <v>999485846.0993</v>
      </c>
      <c r="T342" s="38">
        <f>IF(OR(R342="",R341=""),"",R342-R341)</f>
        <v/>
      </c>
      <c r="U342" s="38">
        <f>IF(OR(S342="",S341=""),"",S342-S341)</f>
        <v/>
      </c>
      <c r="V342" s="38">
        <f>IF(OR(U342="",P342=""),"",U342+P342)</f>
        <v/>
      </c>
      <c r="W342" s="38">
        <f>IF(OR(T342="",O342="",P342=""),"",T342-O342+P342)</f>
        <v/>
      </c>
    </row>
    <row r="343">
      <c r="A343" s="30" t="n">
        <v>45997</v>
      </c>
      <c r="B343" s="36" t="n">
        <v>2393834924.648499</v>
      </c>
      <c r="C343" s="36" t="n">
        <v>209195207.6959855</v>
      </c>
      <c r="D343" s="36" t="n">
        <v>60229991</v>
      </c>
      <c r="E343" s="36" t="n">
        <v>673471.5</v>
      </c>
      <c r="F343" s="36" t="n">
        <v>6829</v>
      </c>
      <c r="G343" s="36" t="n">
        <v>0</v>
      </c>
      <c r="H343" s="36" t="n">
        <v>43750</v>
      </c>
      <c r="I343" s="36" t="n">
        <v>57413</v>
      </c>
      <c r="J343" s="36" t="n">
        <v>6180.491115620589</v>
      </c>
      <c r="K343" s="36" t="n">
        <v>0</v>
      </c>
      <c r="L343" s="37" t="n">
        <v>21702.43</v>
      </c>
      <c r="M343" s="36" t="n">
        <v>673471.5</v>
      </c>
      <c r="N343" s="37" t="n">
        <v>36516646.11</v>
      </c>
      <c r="O343" s="37" t="n">
        <v>26453.3853</v>
      </c>
      <c r="P343" s="37" t="n">
        <v>1209.6382</v>
      </c>
      <c r="Q343" s="36" t="n">
        <v>37085.09</v>
      </c>
      <c r="R343" s="37" t="n">
        <v>339149672.2396</v>
      </c>
      <c r="S343" s="37" t="n">
        <v>999484636.4611</v>
      </c>
      <c r="T343" s="38">
        <f>IF(OR(R343="",R342=""),"",R343-R342)</f>
        <v/>
      </c>
      <c r="U343" s="38">
        <f>IF(OR(S343="",S342=""),"",S343-S342)</f>
        <v/>
      </c>
      <c r="V343" s="38">
        <f>IF(OR(U343="",P343=""),"",U343+P343)</f>
        <v/>
      </c>
      <c r="W343" s="38">
        <f>IF(OR(T343="",O343="",P343=""),"",T343-O343+P343)</f>
        <v/>
      </c>
    </row>
    <row r="344">
      <c r="A344" s="30" t="n">
        <v>45998</v>
      </c>
      <c r="B344" s="36" t="n">
        <v>6148290226.751325</v>
      </c>
      <c r="C344" s="36" t="n">
        <v>108083987.5548768</v>
      </c>
      <c r="D344" s="36" t="n">
        <v>101264758</v>
      </c>
      <c r="E344" s="36" t="n">
        <v>1720821.46</v>
      </c>
      <c r="F344" s="36" t="n">
        <v>10591</v>
      </c>
      <c r="G344" s="36" t="n">
        <v>0</v>
      </c>
      <c r="H344" s="36" t="n">
        <v>70761</v>
      </c>
      <c r="I344" s="36" t="n">
        <v>83272</v>
      </c>
      <c r="J344" s="36" t="n">
        <v>25409.58117023863</v>
      </c>
      <c r="K344" s="36" t="n">
        <v>0</v>
      </c>
      <c r="L344" s="37" t="n">
        <v>58504.27</v>
      </c>
      <c r="M344" s="36" t="n">
        <v>1720821.46</v>
      </c>
      <c r="N344" s="37" t="n">
        <v>36575096.92</v>
      </c>
      <c r="O344" s="37" t="n">
        <v>26424.9266</v>
      </c>
      <c r="P344" s="37" t="n">
        <v>969.9399</v>
      </c>
      <c r="Q344" s="36" t="n">
        <v>30187.93</v>
      </c>
      <c r="R344" s="37" t="n">
        <v>339160616.1783</v>
      </c>
      <c r="S344" s="37" t="n">
        <v>999483666.5211</v>
      </c>
      <c r="T344" s="38">
        <f>IF(OR(R344="",R343=""),"",R344-R343)</f>
        <v/>
      </c>
      <c r="U344" s="38">
        <f>IF(OR(S344="",S343=""),"",S344-S343)</f>
        <v/>
      </c>
      <c r="V344" s="38">
        <f>IF(OR(U344="",P344=""),"",U344+P344)</f>
        <v/>
      </c>
      <c r="W344" s="38">
        <f>IF(OR(T344="",O344="",P344=""),"",T344-O344+P344)</f>
        <v/>
      </c>
    </row>
    <row r="345">
      <c r="A345" s="30" t="n">
        <v>45999</v>
      </c>
      <c r="B345" s="36" t="n">
        <v>6329074770.105298</v>
      </c>
      <c r="C345" s="36" t="n">
        <v>179695168.8166647</v>
      </c>
      <c r="D345" s="36" t="n">
        <v>303023605</v>
      </c>
      <c r="E345" s="36" t="n">
        <v>1747203.22</v>
      </c>
      <c r="F345" s="36" t="n">
        <v>19072</v>
      </c>
      <c r="G345" s="36" t="n">
        <v>0</v>
      </c>
      <c r="H345" s="36" t="n">
        <v>62256</v>
      </c>
      <c r="I345" s="36" t="n">
        <v>79707</v>
      </c>
      <c r="J345" s="36" t="n">
        <v>15677.35813674252</v>
      </c>
      <c r="K345" s="36" t="n">
        <v>0</v>
      </c>
      <c r="L345" s="37" t="n">
        <v>58433.15</v>
      </c>
      <c r="M345" s="36" t="n">
        <v>1747203.22</v>
      </c>
      <c r="N345" s="37" t="n">
        <v>36821105.39</v>
      </c>
      <c r="O345" s="37" t="n">
        <v>0</v>
      </c>
      <c r="P345" s="37" t="n">
        <v>-4131.1617</v>
      </c>
      <c r="Q345" s="36" t="n">
        <v>-123548.59</v>
      </c>
      <c r="R345" s="37" t="n">
        <v>339171086.9175</v>
      </c>
      <c r="S345" s="37" t="n">
        <v>999482193.398</v>
      </c>
      <c r="T345" s="38">
        <f>IF(OR(R345="",R344=""),"",R345-R344)</f>
        <v/>
      </c>
      <c r="U345" s="38">
        <f>IF(OR(S345="",S344=""),"",S345-S344)</f>
        <v/>
      </c>
      <c r="V345" s="38">
        <f>IF(OR(U345="",P345=""),"",U345+P345)</f>
        <v/>
      </c>
      <c r="W345" s="38">
        <f>IF(OR(T345="",O345="",P345=""),"",T345-O345+P345)</f>
        <v/>
      </c>
    </row>
    <row r="346">
      <c r="A346" s="30" t="n">
        <v>46000</v>
      </c>
      <c r="B346" s="36" t="n">
        <v>8692479260.747925</v>
      </c>
      <c r="C346" s="36" t="n">
        <v>277299999.9999999</v>
      </c>
      <c r="D346" s="36" t="n">
        <v>288606481</v>
      </c>
      <c r="E346" s="36" t="n">
        <v>2415499.24</v>
      </c>
      <c r="F346" s="36" t="n">
        <v>24678</v>
      </c>
      <c r="G346" s="36" t="n">
        <v>0</v>
      </c>
      <c r="H346" s="36" t="n">
        <v>93509</v>
      </c>
      <c r="I346" s="36" t="n">
        <v>121960</v>
      </c>
      <c r="J346" s="36" t="n">
        <v>34351.51835478158</v>
      </c>
      <c r="K346" s="36" t="n">
        <v>0</v>
      </c>
      <c r="L346" s="37" t="n">
        <v>84868.58</v>
      </c>
      <c r="M346" s="36" t="n">
        <v>2415499.24</v>
      </c>
      <c r="N346" s="37" t="n">
        <v>36821105.39</v>
      </c>
      <c r="O346" s="37" t="n">
        <v>88711.8459</v>
      </c>
      <c r="P346" s="37" t="n">
        <v>4131.1617</v>
      </c>
      <c r="Q346" s="36" t="n">
        <v>115468.03</v>
      </c>
      <c r="R346" s="37" t="n">
        <v>339212098.9633</v>
      </c>
      <c r="S346" s="37" t="n">
        <v>999478062.2363</v>
      </c>
      <c r="T346" s="38">
        <f>IF(OR(R346="",R345=""),"",R346-R345)</f>
        <v/>
      </c>
      <c r="U346" s="38">
        <f>IF(OR(S346="",S345=""),"",S346-S345)</f>
        <v/>
      </c>
      <c r="V346" s="38">
        <f>IF(OR(U346="",P346=""),"",U346+P346)</f>
        <v/>
      </c>
      <c r="W346" s="38">
        <f>IF(OR(T346="",O346="",P346=""),"",T346-O346+P346)</f>
        <v/>
      </c>
    </row>
    <row r="347">
      <c r="A347" s="30" t="n">
        <v>46001</v>
      </c>
      <c r="B347" s="36" t="n">
        <v>8361772529.470076</v>
      </c>
      <c r="C347" s="36" t="n">
        <v>236600000.0000002</v>
      </c>
      <c r="D347" s="36" t="n">
        <v>397006526</v>
      </c>
      <c r="E347" s="36" t="n">
        <v>2249508.93</v>
      </c>
      <c r="F347" s="36" t="n">
        <v>31008</v>
      </c>
      <c r="G347" s="36" t="n">
        <v>0</v>
      </c>
      <c r="H347" s="36" t="n">
        <v>74812</v>
      </c>
      <c r="I347" s="36" t="n">
        <v>134546</v>
      </c>
      <c r="J347" s="36" t="n">
        <v>21105.4547747176</v>
      </c>
      <c r="K347" s="36" t="n">
        <v>0</v>
      </c>
      <c r="L347" s="37" t="n">
        <v>77372.82000000001</v>
      </c>
      <c r="M347" s="36" t="n">
        <v>2249508.93</v>
      </c>
      <c r="N347" s="37" t="n">
        <v>36819849.91</v>
      </c>
      <c r="O347" s="37" t="n">
        <v>275.58</v>
      </c>
      <c r="P347" s="37" t="n">
        <v>0.5085</v>
      </c>
      <c r="Q347" s="36" t="n">
        <v>14.19</v>
      </c>
      <c r="R347" s="37" t="n">
        <v>339212374.0349</v>
      </c>
      <c r="S347" s="37" t="n">
        <v>999478061.7279</v>
      </c>
      <c r="T347" s="38">
        <f>IF(OR(R347="",R346=""),"",R347-R346)</f>
        <v/>
      </c>
      <c r="U347" s="38">
        <f>IF(OR(S347="",S346=""),"",S347-S346)</f>
        <v/>
      </c>
      <c r="V347" s="38">
        <f>IF(OR(U347="",P347=""),"",U347+P347)</f>
        <v/>
      </c>
      <c r="W347" s="38">
        <f>IF(OR(T347="",O347="",P347=""),"",T347-O347+P347)</f>
        <v/>
      </c>
    </row>
    <row r="348">
      <c r="A348" s="30" t="n">
        <v>46002</v>
      </c>
      <c r="B348" s="36" t="n">
        <v>8180211572.301992</v>
      </c>
      <c r="C348" s="36" t="n">
        <v>248371282.5538451</v>
      </c>
      <c r="D348" s="36" t="n">
        <v>474736380</v>
      </c>
      <c r="E348" s="36" t="n">
        <v>2154234.31</v>
      </c>
      <c r="F348" s="36" t="n">
        <v>28776</v>
      </c>
      <c r="G348" s="36" t="n">
        <v>0</v>
      </c>
      <c r="H348" s="36" t="n">
        <v>65652</v>
      </c>
      <c r="I348" s="36" t="n">
        <v>89006</v>
      </c>
      <c r="J348" s="36" t="n">
        <v>21132.65177463232</v>
      </c>
      <c r="K348" s="36" t="n">
        <v>0</v>
      </c>
      <c r="L348" s="37" t="n">
        <v>76238.06</v>
      </c>
      <c r="M348" s="36" t="n">
        <v>2154234.31</v>
      </c>
      <c r="N348" s="37" t="n">
        <v>36874341.05</v>
      </c>
      <c r="O348" s="37" t="n">
        <v>0</v>
      </c>
      <c r="P348" s="37" t="n">
        <v>-4.9549</v>
      </c>
      <c r="Q348" s="36" t="n">
        <v>-138.87</v>
      </c>
      <c r="R348" s="37" t="n">
        <v>339211129.6926</v>
      </c>
      <c r="S348" s="37" t="n">
        <v>999478066.6827</v>
      </c>
      <c r="T348" s="38">
        <f>IF(OR(R348="",R347=""),"",R348-R347)</f>
        <v/>
      </c>
      <c r="U348" s="38">
        <f>IF(OR(S348="",S347=""),"",S348-S347)</f>
        <v/>
      </c>
      <c r="V348" s="38">
        <f>IF(OR(U348="",P348=""),"",U348+P348)</f>
        <v/>
      </c>
      <c r="W348" s="38">
        <f>IF(OR(T348="",O348="",P348=""),"",T348-O348+P348)</f>
        <v/>
      </c>
    </row>
    <row r="349">
      <c r="A349" s="30" t="n">
        <v>46003</v>
      </c>
      <c r="B349" s="36" t="n">
        <v>6394841887.369083</v>
      </c>
      <c r="C349" s="36" t="n">
        <v>194008243.9273008</v>
      </c>
      <c r="D349" s="36" t="n">
        <v>490804079</v>
      </c>
      <c r="E349" s="36" t="n">
        <v>1718146.17</v>
      </c>
      <c r="F349" s="36" t="n">
        <v>27470</v>
      </c>
      <c r="G349" s="36" t="n">
        <v>0</v>
      </c>
      <c r="H349" s="36" t="n">
        <v>58512</v>
      </c>
      <c r="I349" s="36" t="n">
        <v>73899</v>
      </c>
      <c r="J349" s="36" t="n">
        <v>25152.25706671428</v>
      </c>
      <c r="K349" s="36" t="n">
        <v>0</v>
      </c>
      <c r="L349" s="37" t="n">
        <v>58888.81</v>
      </c>
      <c r="M349" s="36" t="n">
        <v>1718146.17</v>
      </c>
      <c r="N349" s="37" t="n">
        <v>36931525.93</v>
      </c>
      <c r="O349" s="37" t="n">
        <v>18059.735</v>
      </c>
      <c r="P349" s="37" t="n">
        <v>1445.5575</v>
      </c>
      <c r="Q349" s="36" t="n">
        <v>42104.75</v>
      </c>
      <c r="R349" s="37" t="n">
        <v>339213221.7753</v>
      </c>
      <c r="S349" s="37" t="n">
        <v>999476621.1252</v>
      </c>
      <c r="T349" s="38">
        <f>IF(OR(R349="",R348=""),"",R349-R348)</f>
        <v/>
      </c>
      <c r="U349" s="38">
        <f>IF(OR(S349="",S348=""),"",S349-S348)</f>
        <v/>
      </c>
      <c r="V349" s="38">
        <f>IF(OR(U349="",P349=""),"",U349+P349)</f>
        <v/>
      </c>
      <c r="W349" s="38">
        <f>IF(OR(T349="",O349="",P349=""),"",T349-O349+P349)</f>
        <v/>
      </c>
    </row>
    <row r="350">
      <c r="A350" s="30" t="n">
        <v>46004</v>
      </c>
      <c r="B350" s="36" t="n">
        <v>1492333487.977345</v>
      </c>
      <c r="C350" s="36" t="n">
        <v>166999843.5614237</v>
      </c>
      <c r="D350" s="36" t="n">
        <v>46592994</v>
      </c>
      <c r="E350" s="36" t="n">
        <v>439809.46</v>
      </c>
      <c r="F350" s="36" t="n">
        <v>8142</v>
      </c>
      <c r="G350" s="36" t="n">
        <v>0</v>
      </c>
      <c r="H350" s="36" t="n">
        <v>35015</v>
      </c>
      <c r="I350" s="36" t="n">
        <v>47021</v>
      </c>
      <c r="J350" s="36" t="n">
        <v>12208.76308990984</v>
      </c>
      <c r="K350" s="36" t="n">
        <v>0</v>
      </c>
      <c r="L350" s="37" t="n">
        <v>15306.92</v>
      </c>
      <c r="M350" s="36" t="n">
        <v>439809.46</v>
      </c>
      <c r="N350" s="37" t="n">
        <v>36946205.26</v>
      </c>
      <c r="O350" s="37" t="n">
        <v>26452.1468</v>
      </c>
      <c r="P350" s="37" t="n">
        <v>480.8023</v>
      </c>
      <c r="Q350" s="36" t="n">
        <v>13819.22</v>
      </c>
      <c r="R350" s="37" t="n">
        <v>339224688.1803</v>
      </c>
      <c r="S350" s="37" t="n">
        <v>999476140.3229001</v>
      </c>
      <c r="T350" s="38">
        <f>IF(OR(R350="",R349=""),"",R350-R349)</f>
        <v/>
      </c>
      <c r="U350" s="38">
        <f>IF(OR(S350="",S349=""),"",S350-S349)</f>
        <v/>
      </c>
      <c r="V350" s="38">
        <f>IF(OR(U350="",P350=""),"",U350+P350)</f>
        <v/>
      </c>
      <c r="W350" s="38">
        <f>IF(OR(T350="",O350="",P350=""),"",T350-O350+P350)</f>
        <v/>
      </c>
    </row>
    <row r="351">
      <c r="A351" s="30" t="n">
        <v>46005</v>
      </c>
      <c r="B351" s="36" t="n">
        <v>3294797577.818042</v>
      </c>
      <c r="C351" s="36" t="n">
        <v>91510944.20193835</v>
      </c>
      <c r="D351" s="36" t="n">
        <v>143395668</v>
      </c>
      <c r="E351" s="36" t="n">
        <v>952893.99</v>
      </c>
      <c r="F351" s="36" t="n">
        <v>13468</v>
      </c>
      <c r="G351" s="36" t="n">
        <v>0</v>
      </c>
      <c r="H351" s="36" t="n">
        <v>63808</v>
      </c>
      <c r="I351" s="36" t="n">
        <v>83666</v>
      </c>
      <c r="J351" s="36" t="n">
        <v>17200.14176166897</v>
      </c>
      <c r="K351" s="36" t="n">
        <v>0</v>
      </c>
      <c r="L351" s="37" t="n">
        <v>32806.2</v>
      </c>
      <c r="M351" s="36" t="n">
        <v>952893.99</v>
      </c>
      <c r="N351" s="37" t="n">
        <v>36980133.74</v>
      </c>
      <c r="O351" s="37" t="n">
        <v>26457.3222</v>
      </c>
      <c r="P351" s="37" t="n">
        <v>1187.8446</v>
      </c>
      <c r="Q351" s="36" t="n">
        <v>35425.68</v>
      </c>
      <c r="R351" s="37" t="n">
        <v>339235436.805</v>
      </c>
      <c r="S351" s="37" t="n">
        <v>999474952.4783</v>
      </c>
      <c r="T351" s="38">
        <f>IF(OR(R351="",R350=""),"",R351-R350)</f>
        <v/>
      </c>
      <c r="U351" s="38">
        <f>IF(OR(S351="",S350=""),"",S351-S350)</f>
        <v/>
      </c>
      <c r="V351" s="38">
        <f>IF(OR(U351="",P351=""),"",U351+P351)</f>
        <v/>
      </c>
      <c r="W351" s="38">
        <f>IF(OR(T351="",O351="",P351=""),"",T351-O351+P351)</f>
        <v/>
      </c>
    </row>
    <row r="352">
      <c r="A352" s="30" t="n">
        <v>46006</v>
      </c>
      <c r="B352" s="36" t="n">
        <v>7832159999.839336</v>
      </c>
      <c r="C352" s="36" t="n">
        <v>149228126.5781296</v>
      </c>
      <c r="D352" s="36" t="n">
        <v>341771879</v>
      </c>
      <c r="E352" s="36" t="n">
        <v>2085901.23</v>
      </c>
      <c r="F352" s="36" t="n">
        <v>21788</v>
      </c>
      <c r="G352" s="36" t="n">
        <v>0</v>
      </c>
      <c r="H352" s="36" t="n">
        <v>65373</v>
      </c>
      <c r="I352" s="36" t="n">
        <v>85315</v>
      </c>
      <c r="J352" s="36" t="n">
        <v>24348.3131492928</v>
      </c>
      <c r="K352" s="36" t="n">
        <v>0</v>
      </c>
      <c r="L352" s="37" t="n">
        <v>73873.39</v>
      </c>
      <c r="M352" s="36" t="n">
        <v>2085901.23</v>
      </c>
      <c r="N352" s="37" t="n">
        <v>37054037.49</v>
      </c>
      <c r="O352" s="37" t="n">
        <v>26379.9452</v>
      </c>
      <c r="P352" s="37" t="n">
        <v>1342.3667</v>
      </c>
      <c r="Q352" s="36" t="n">
        <v>38983.67</v>
      </c>
      <c r="R352" s="37" t="n">
        <v>339245989.6325</v>
      </c>
      <c r="S352" s="37" t="n">
        <v>999473610.1116</v>
      </c>
      <c r="T352" s="38">
        <f>IF(OR(R352="",R351=""),"",R352-R351)</f>
        <v/>
      </c>
      <c r="U352" s="38">
        <f>IF(OR(S352="",S351=""),"",S352-S351)</f>
        <v/>
      </c>
      <c r="V352" s="38">
        <f>IF(OR(U352="",P352=""),"",U352+P352)</f>
        <v/>
      </c>
      <c r="W352" s="38">
        <f>IF(OR(T352="",O352="",P352=""),"",T352-O352+P352)</f>
        <v/>
      </c>
    </row>
    <row r="353">
      <c r="A353" s="30" t="n">
        <v>46007</v>
      </c>
      <c r="B353" s="36" t="n">
        <v>5529546825.618017</v>
      </c>
      <c r="C353" s="36" t="n">
        <v>204867472.8604284</v>
      </c>
      <c r="D353" s="36" t="n">
        <v>376443433</v>
      </c>
      <c r="E353" s="36" t="n">
        <v>1517389.42</v>
      </c>
      <c r="F353" s="36" t="n">
        <v>26100</v>
      </c>
      <c r="G353" s="36" t="n">
        <v>0</v>
      </c>
      <c r="H353" s="36" t="n">
        <v>78197</v>
      </c>
      <c r="I353" s="36" t="n">
        <v>106340</v>
      </c>
      <c r="J353" s="36" t="n">
        <v>21083.93819740885</v>
      </c>
      <c r="K353" s="36" t="n">
        <v>0</v>
      </c>
      <c r="L353" s="37" t="n">
        <v>56352.5</v>
      </c>
      <c r="M353" s="36" t="n">
        <v>1517389.42</v>
      </c>
      <c r="N353" s="37" t="n">
        <v>37110589.78</v>
      </c>
      <c r="O353" s="37" t="n">
        <v>26460.0854</v>
      </c>
      <c r="P353" s="37" t="n">
        <v>1653.3904</v>
      </c>
      <c r="Q353" s="36" t="n">
        <v>45449.22</v>
      </c>
      <c r="R353" s="37" t="n">
        <v>339256263.0846</v>
      </c>
      <c r="S353" s="37" t="n">
        <v>999471956.7212</v>
      </c>
      <c r="T353" s="38">
        <f>IF(OR(R353="",R352=""),"",R353-R352)</f>
        <v/>
      </c>
      <c r="U353" s="38">
        <f>IF(OR(S353="",S352=""),"",S353-S352)</f>
        <v/>
      </c>
      <c r="V353" s="38">
        <f>IF(OR(U353="",P353=""),"",U353+P353)</f>
        <v/>
      </c>
      <c r="W353" s="38">
        <f>IF(OR(T353="",O353="",P353=""),"",T353-O353+P353)</f>
        <v/>
      </c>
    </row>
    <row r="354">
      <c r="A354" s="30" t="n">
        <v>46008</v>
      </c>
      <c r="B354" s="36" t="n">
        <v>8143901069.904249</v>
      </c>
      <c r="C354" s="36" t="n">
        <v>239600241.6031985</v>
      </c>
      <c r="D354" s="36" t="n">
        <v>377056299</v>
      </c>
      <c r="E354" s="36" t="n">
        <v>2218531.25</v>
      </c>
      <c r="F354" s="36" t="n">
        <v>27456</v>
      </c>
      <c r="G354" s="36" t="n">
        <v>0</v>
      </c>
      <c r="H354" s="36" t="n">
        <v>128952</v>
      </c>
      <c r="I354" s="36" t="n">
        <v>152482</v>
      </c>
      <c r="J354" s="36" t="n">
        <v>50748.68770302065</v>
      </c>
      <c r="K354" s="36" t="n">
        <v>13379</v>
      </c>
      <c r="L354" s="37" t="n">
        <v>84365.17</v>
      </c>
      <c r="M354" s="36" t="n">
        <v>2218531.25</v>
      </c>
      <c r="N354" s="37" t="n">
        <v>37194424.76</v>
      </c>
      <c r="O354" s="37" t="n">
        <v>26428.4254</v>
      </c>
      <c r="P354" s="37" t="n">
        <v>1593.7829</v>
      </c>
      <c r="Q354" s="36" t="n">
        <v>42163.53</v>
      </c>
      <c r="R354" s="37" t="n">
        <v>339266583.5589</v>
      </c>
      <c r="S354" s="37" t="n">
        <v>999470362.9383</v>
      </c>
      <c r="T354" s="38">
        <f>IF(OR(R354="",R353=""),"",R354-R353)</f>
        <v/>
      </c>
      <c r="U354" s="38">
        <f>IF(OR(S354="",S353=""),"",S354-S353)</f>
        <v/>
      </c>
      <c r="V354" s="38">
        <f>IF(OR(U354="",P354=""),"",U354+P354)</f>
        <v/>
      </c>
      <c r="W354" s="38">
        <f>IF(OR(T354="",O354="",P354=""),"",T354-O354+P354)</f>
        <v/>
      </c>
    </row>
    <row r="355">
      <c r="A355" s="30" t="n">
        <v>46009</v>
      </c>
      <c r="B355" s="36" t="n">
        <v>8635699889.574991</v>
      </c>
      <c r="C355" s="36" t="n">
        <v>333119054.7871638</v>
      </c>
      <c r="D355" s="36" t="n">
        <v>381839682</v>
      </c>
      <c r="E355" s="36" t="n">
        <v>2410570.41</v>
      </c>
      <c r="F355" s="36" t="n">
        <v>34731</v>
      </c>
      <c r="G355" s="36" t="n">
        <v>0</v>
      </c>
      <c r="H355" s="36" t="n">
        <v>117385</v>
      </c>
      <c r="I355" s="36" t="n">
        <v>150815</v>
      </c>
      <c r="J355" s="36" t="n">
        <v>46706.36835189165</v>
      </c>
      <c r="K355" s="36" t="n">
        <v>0</v>
      </c>
      <c r="L355" s="37" t="n">
        <v>100632.9</v>
      </c>
      <c r="M355" s="36" t="n">
        <v>2410570.41</v>
      </c>
      <c r="N355" s="37" t="n">
        <v>37295349.99</v>
      </c>
      <c r="O355" s="37" t="n">
        <v>26437.1583</v>
      </c>
      <c r="P355" s="37" t="n">
        <v>2179.0652</v>
      </c>
      <c r="Q355" s="36" t="n">
        <v>53525.47</v>
      </c>
      <c r="R355" s="37" t="n">
        <v>339276310.2699</v>
      </c>
      <c r="S355" s="37" t="n">
        <v>999468183.8731</v>
      </c>
      <c r="T355" s="38">
        <f>IF(OR(R355="",R354=""),"",R355-R354)</f>
        <v/>
      </c>
      <c r="U355" s="38">
        <f>IF(OR(S355="",S354=""),"",S355-S354)</f>
        <v/>
      </c>
      <c r="V355" s="38">
        <f>IF(OR(U355="",P355=""),"",U355+P355)</f>
        <v/>
      </c>
      <c r="W355" s="38">
        <f>IF(OR(T355="",O355="",P355=""),"",T355-O355+P355)</f>
        <v/>
      </c>
    </row>
    <row r="356">
      <c r="A356" s="30" t="n">
        <v>46010</v>
      </c>
      <c r="B356" s="36" t="n">
        <v>7332988915.981024</v>
      </c>
      <c r="C356" s="36" t="n">
        <v>324184202.8966736</v>
      </c>
      <c r="D356" s="36" t="n">
        <v>280798258</v>
      </c>
      <c r="E356" s="36" t="n">
        <v>1974369.74</v>
      </c>
      <c r="F356" s="36" t="n">
        <v>32371</v>
      </c>
      <c r="G356" s="36" t="n">
        <v>0</v>
      </c>
      <c r="H356" s="36" t="n">
        <v>62503</v>
      </c>
      <c r="I356" s="36" t="n">
        <v>85819</v>
      </c>
      <c r="J356" s="36" t="n">
        <v>17739.36918162803</v>
      </c>
      <c r="K356" s="36" t="n">
        <v>0</v>
      </c>
      <c r="L356" s="37" t="n">
        <v>82489.64999999999</v>
      </c>
      <c r="M356" s="36" t="n">
        <v>1974369.74</v>
      </c>
      <c r="N356" s="37" t="n">
        <v>37378176.69</v>
      </c>
      <c r="O356" s="37" t="n">
        <v>26418.9396</v>
      </c>
      <c r="P356" s="37" t="n">
        <v>2138.5104</v>
      </c>
      <c r="Q356" s="36" t="n">
        <v>47936.85</v>
      </c>
      <c r="R356" s="37" t="n">
        <v>339286111.9646</v>
      </c>
      <c r="S356" s="37" t="n">
        <v>999466045.3627</v>
      </c>
      <c r="T356" s="38">
        <f>IF(OR(R356="",R355=""),"",R356-R355)</f>
        <v/>
      </c>
      <c r="U356" s="38">
        <f>IF(OR(S356="",S355=""),"",S356-S355)</f>
        <v/>
      </c>
      <c r="V356" s="38">
        <f>IF(OR(U356="",P356=""),"",U356+P356)</f>
        <v/>
      </c>
      <c r="W356" s="38">
        <f>IF(OR(T356="",O356="",P356=""),"",T356-O356+P356)</f>
        <v/>
      </c>
    </row>
    <row r="357">
      <c r="A357" s="30" t="n">
        <v>46011</v>
      </c>
      <c r="B357" s="36" t="n">
        <v>1658450185.620574</v>
      </c>
      <c r="C357" s="36" t="n">
        <v>175131502.5492004</v>
      </c>
      <c r="D357" s="36" t="n">
        <v>63473225</v>
      </c>
      <c r="E357" s="36" t="n">
        <v>498643.46</v>
      </c>
      <c r="F357" s="36" t="n">
        <v>13103</v>
      </c>
      <c r="G357" s="36" t="n">
        <v>0</v>
      </c>
      <c r="H357" s="36" t="n">
        <v>42081</v>
      </c>
      <c r="I357" s="36" t="n">
        <v>55827</v>
      </c>
      <c r="J357" s="36" t="n">
        <v>9913.665501002995</v>
      </c>
      <c r="K357" s="36" t="n">
        <v>0</v>
      </c>
      <c r="L357" s="37" t="n">
        <v>20165.54</v>
      </c>
      <c r="M357" s="36" t="n">
        <v>498643.46</v>
      </c>
      <c r="N357" s="37" t="n">
        <v>37397363.99255512</v>
      </c>
      <c r="O357" s="37" t="n">
        <v>26487.66</v>
      </c>
      <c r="P357" s="37" t="n">
        <v>1719.494</v>
      </c>
      <c r="Q357" s="36" t="n">
        <v>42646.03</v>
      </c>
      <c r="R357" s="37" t="n">
        <v>339296363.6406</v>
      </c>
      <c r="S357" s="37" t="n">
        <v>999464325.8687</v>
      </c>
      <c r="T357" s="38">
        <f>IF(OR(R357="",R356=""),"",R357-R356)</f>
        <v/>
      </c>
      <c r="U357" s="38">
        <f>IF(OR(S357="",S356=""),"",S357-S356)</f>
        <v/>
      </c>
      <c r="V357" s="38">
        <f>IF(OR(U357="",P357=""),"",U357+P357)</f>
        <v/>
      </c>
      <c r="W357" s="38">
        <f>IF(OR(T357="",O357="",P357=""),"",T357-O357+P357)</f>
        <v/>
      </c>
    </row>
    <row r="358">
      <c r="A358" s="30" t="n">
        <v>46012</v>
      </c>
      <c r="B358" s="36" t="n">
        <v>2466089429.865824</v>
      </c>
      <c r="C358" s="36" t="n">
        <v>80232170.76769261</v>
      </c>
      <c r="D358" s="36" t="n">
        <v>57499448</v>
      </c>
      <c r="E358" s="36" t="n">
        <v>614571.29</v>
      </c>
      <c r="F358" s="36" t="n">
        <v>11355</v>
      </c>
      <c r="G358" s="36" t="n">
        <v>0</v>
      </c>
      <c r="H358" s="36" t="n">
        <v>35589</v>
      </c>
      <c r="I358" s="36" t="n">
        <v>47261</v>
      </c>
      <c r="J358" s="36" t="n">
        <v>8537.996374191154</v>
      </c>
      <c r="K358" s="36" t="n">
        <v>0</v>
      </c>
      <c r="L358" s="37" t="n">
        <v>25490.35</v>
      </c>
      <c r="M358" s="36" t="n">
        <v>614571.29</v>
      </c>
      <c r="N358" s="37" t="n">
        <v>37430045.18255512</v>
      </c>
      <c r="O358" s="37" t="n">
        <v>26425.3695</v>
      </c>
      <c r="P358" s="37" t="n">
        <v>257.2716</v>
      </c>
      <c r="Q358" s="36" t="n">
        <v>6193.56</v>
      </c>
      <c r="R358" s="37" t="n">
        <v>339308044.3739</v>
      </c>
      <c r="S358" s="37" t="n">
        <v>999464068.5971</v>
      </c>
      <c r="T358" s="38">
        <f>IF(OR(R358="",R357=""),"",R358-R357)</f>
        <v/>
      </c>
      <c r="U358" s="38">
        <f>IF(OR(S358="",S357=""),"",S358-S357)</f>
        <v/>
      </c>
      <c r="V358" s="38">
        <f>IF(OR(U358="",P358=""),"",U358+P358)</f>
        <v/>
      </c>
      <c r="W358" s="38">
        <f>IF(OR(T358="",O358="",P358=""),"",T358-O358+P358)</f>
        <v/>
      </c>
    </row>
    <row r="359">
      <c r="A359" s="30" t="n">
        <v>46013</v>
      </c>
      <c r="B359" s="36" t="n">
        <v>6264051372.737731</v>
      </c>
      <c r="C359" s="36" t="n">
        <v>82086140.3566349</v>
      </c>
      <c r="D359" s="36" t="n">
        <v>201233855</v>
      </c>
      <c r="E359" s="36" t="n">
        <v>1753928.69</v>
      </c>
      <c r="F359" s="36" t="n">
        <v>27024</v>
      </c>
      <c r="G359" s="36" t="n">
        <v>0</v>
      </c>
      <c r="H359" s="36" t="n">
        <v>46382</v>
      </c>
      <c r="I359" s="36" t="n">
        <v>61798</v>
      </c>
      <c r="J359" s="36" t="n">
        <v>12155.06679695003</v>
      </c>
      <c r="K359" s="36" t="n">
        <v>23542.3</v>
      </c>
      <c r="L359" s="37" t="n">
        <v>70611.64</v>
      </c>
      <c r="M359" s="36" t="n">
        <v>1753928.69</v>
      </c>
      <c r="N359" s="37" t="n">
        <v>37494236.91255512</v>
      </c>
      <c r="O359" s="37" t="n">
        <v>26443.411</v>
      </c>
      <c r="P359" s="37" t="n">
        <v>1666.3489</v>
      </c>
      <c r="Q359" s="36" t="n">
        <v>41028.01</v>
      </c>
      <c r="R359" s="37" t="n">
        <v>339318331.3626</v>
      </c>
      <c r="S359" s="37" t="n">
        <v>999462402.2482001</v>
      </c>
      <c r="T359" s="38">
        <f>IF(OR(R359="",R358=""),"",R359-R358)</f>
        <v/>
      </c>
      <c r="U359" s="38">
        <f>IF(OR(S359="",S358=""),"",S359-S358)</f>
        <v/>
      </c>
      <c r="V359" s="38">
        <f>IF(OR(U359="",P359=""),"",U359+P359)</f>
        <v/>
      </c>
      <c r="W359" s="38">
        <f>IF(OR(T359="",O359="",P359=""),"",T359-O359+P359)</f>
        <v/>
      </c>
    </row>
    <row r="360">
      <c r="A360" s="30" t="n">
        <v>46014</v>
      </c>
      <c r="B360" s="36" t="n">
        <v>5404651539.700391</v>
      </c>
      <c r="C360" s="36" t="n">
        <v>131313938.7077517</v>
      </c>
      <c r="D360" s="36" t="n">
        <v>273946895</v>
      </c>
      <c r="E360" s="36" t="n">
        <v>1416162.2</v>
      </c>
      <c r="F360" s="36" t="n">
        <v>28752</v>
      </c>
      <c r="G360" s="36" t="n">
        <v>0</v>
      </c>
      <c r="H360" s="36" t="n">
        <v>50059</v>
      </c>
      <c r="I360" s="36" t="n">
        <v>62692</v>
      </c>
      <c r="J360" s="36" t="n">
        <v>10662.8543444044</v>
      </c>
      <c r="K360" s="36" t="n">
        <v>0</v>
      </c>
      <c r="L360" s="37" t="n">
        <v>58235.51</v>
      </c>
      <c r="M360" s="36" t="n">
        <v>1416162.2</v>
      </c>
      <c r="N360" s="37" t="n">
        <v>37552103.11255512</v>
      </c>
      <c r="O360" s="37" t="n">
        <v>26422.6463</v>
      </c>
      <c r="P360" s="37" t="n">
        <v>3692.6652</v>
      </c>
      <c r="Q360" s="36" t="n">
        <v>91766.42</v>
      </c>
      <c r="R360" s="37" t="n">
        <v>339326137.6251</v>
      </c>
      <c r="S360" s="37" t="n">
        <v>999458709.5829999</v>
      </c>
      <c r="T360" s="38">
        <f>IF(OR(R360="",R359=""),"",R360-R359)</f>
        <v/>
      </c>
      <c r="U360" s="38">
        <f>IF(OR(S360="",S359=""),"",S360-S359)</f>
        <v/>
      </c>
      <c r="V360" s="38">
        <f>IF(OR(U360="",P360=""),"",U360+P360)</f>
        <v/>
      </c>
      <c r="W360" s="38">
        <f>IF(OR(T360="",O360="",P360=""),"",T360-O360+P360)</f>
        <v/>
      </c>
    </row>
    <row r="361">
      <c r="A361" s="30" t="n">
        <v>46015</v>
      </c>
      <c r="B361" s="36" t="n">
        <v>3541390918.038113</v>
      </c>
      <c r="C361" s="36" t="n">
        <v>114039288.8382192</v>
      </c>
      <c r="D361" s="36" t="n">
        <v>153570548</v>
      </c>
      <c r="E361" s="36" t="n">
        <v>871000.51</v>
      </c>
      <c r="F361" s="36" t="n">
        <v>16450</v>
      </c>
      <c r="G361" s="36" t="n">
        <v>0</v>
      </c>
      <c r="H361" s="36" t="n">
        <v>37155</v>
      </c>
      <c r="I361" s="36" t="n">
        <v>47538</v>
      </c>
      <c r="J361" s="36" t="n">
        <v>7482.605158871794</v>
      </c>
      <c r="K361" s="36" t="n">
        <v>0</v>
      </c>
      <c r="L361" s="37" t="n">
        <v>36158.16</v>
      </c>
      <c r="M361" s="36" t="n">
        <v>871000.51</v>
      </c>
      <c r="N361" s="37" t="n">
        <v>37591271.92255512</v>
      </c>
      <c r="O361" s="37" t="n">
        <v>26479.0906</v>
      </c>
      <c r="P361" s="37" t="n">
        <v>315.6238</v>
      </c>
      <c r="Q361" s="36" t="n">
        <v>7575.92</v>
      </c>
      <c r="R361" s="37" t="n">
        <v>339337831.4412</v>
      </c>
      <c r="S361" s="37" t="n">
        <v>999458393.9592</v>
      </c>
      <c r="T361" s="38">
        <f>IF(OR(R361="",R360=""),"",R361-R360)</f>
        <v/>
      </c>
      <c r="U361" s="38">
        <f>IF(OR(S361="",S360=""),"",S361-S360)</f>
        <v/>
      </c>
      <c r="V361" s="38">
        <f>IF(OR(U361="",P361=""),"",U361+P361)</f>
        <v/>
      </c>
      <c r="W361" s="38">
        <f>IF(OR(T361="",O361="",P361=""),"",T361-O361+P361)</f>
        <v/>
      </c>
    </row>
    <row r="362">
      <c r="A362" s="30" t="n">
        <v>46016</v>
      </c>
      <c r="B362" s="36" t="n">
        <v>2508901051.913758</v>
      </c>
      <c r="C362" s="36" t="n">
        <v>82508878.32668835</v>
      </c>
      <c r="D362" s="36" t="n">
        <v>61337988</v>
      </c>
      <c r="E362" s="36" t="n">
        <v>733221.58</v>
      </c>
      <c r="F362" s="36" t="n">
        <v>12389</v>
      </c>
      <c r="G362" s="36" t="n">
        <v>0</v>
      </c>
      <c r="H362" s="36" t="n">
        <v>36888</v>
      </c>
      <c r="I362" s="36" t="n">
        <v>48474</v>
      </c>
      <c r="J362" s="36" t="n">
        <v>6447.799693485051</v>
      </c>
      <c r="K362" s="36" t="n">
        <v>13158.68</v>
      </c>
      <c r="L362" s="37" t="n">
        <v>29555.9</v>
      </c>
      <c r="M362" s="36" t="n">
        <v>733221.58</v>
      </c>
      <c r="N362" s="37" t="n">
        <v>37617994.68255512</v>
      </c>
      <c r="O362" s="37" t="n">
        <v>26460.759</v>
      </c>
      <c r="P362" s="37" t="n">
        <v>1101.0662</v>
      </c>
      <c r="Q362" s="36" t="n">
        <v>27316.9</v>
      </c>
      <c r="R362" s="37" t="n">
        <v>339348867.2578</v>
      </c>
      <c r="S362" s="37" t="n">
        <v>999457292.893</v>
      </c>
      <c r="T362" s="38">
        <f>IF(OR(R362="",R361=""),"",R362-R361)</f>
        <v/>
      </c>
      <c r="U362" s="38">
        <f>IF(OR(S362="",S361=""),"",S362-S361)</f>
        <v/>
      </c>
      <c r="V362" s="38">
        <f>IF(OR(U362="",P362=""),"",U362+P362)</f>
        <v/>
      </c>
      <c r="W362" s="38">
        <f>IF(OR(T362="",O362="",P362=""),"",T362-O362+P362)</f>
        <v/>
      </c>
    </row>
    <row r="363">
      <c r="A363" s="30" t="n">
        <v>46017</v>
      </c>
      <c r="B363" s="36" t="n">
        <v>4936789001.27014</v>
      </c>
      <c r="C363" s="36" t="n">
        <v>71520233.92089242</v>
      </c>
      <c r="D363" s="36" t="n">
        <v>230839091</v>
      </c>
      <c r="E363" s="36" t="n">
        <v>1214449.59</v>
      </c>
      <c r="F363" s="36" t="n">
        <v>29292</v>
      </c>
      <c r="G363" s="36" t="n">
        <v>0</v>
      </c>
      <c r="H363" s="36" t="n">
        <v>67249</v>
      </c>
      <c r="I363" s="36" t="n">
        <v>89653</v>
      </c>
      <c r="J363" s="36" t="n">
        <v>7434.633291901381</v>
      </c>
      <c r="K363" s="36" t="n">
        <v>12169.61</v>
      </c>
      <c r="L363" s="37" t="n">
        <v>48626.65</v>
      </c>
      <c r="M363" s="36" t="n">
        <v>1214449.59</v>
      </c>
      <c r="N363" s="37" t="n">
        <v>37668066.45255512</v>
      </c>
      <c r="O363" s="37" t="n">
        <v>26461.3247</v>
      </c>
      <c r="P363" s="37" t="n">
        <v>1906.2574</v>
      </c>
      <c r="Q363" s="36" t="n">
        <v>46893.93</v>
      </c>
      <c r="R363" s="37" t="n">
        <v>339358937.3725</v>
      </c>
      <c r="S363" s="37" t="n">
        <v>999455386.6356</v>
      </c>
      <c r="T363" s="38">
        <f>IF(OR(R363="",R362=""),"",R363-R362)</f>
        <v/>
      </c>
      <c r="U363" s="38">
        <f>IF(OR(S363="",S362=""),"",S363-S362)</f>
        <v/>
      </c>
      <c r="V363" s="38">
        <f>IF(OR(U363="",P363=""),"",U363+P363)</f>
        <v/>
      </c>
      <c r="W363" s="38">
        <f>IF(OR(T363="",O363="",P363=""),"",T363-O363+P363)</f>
        <v/>
      </c>
    </row>
    <row r="364">
      <c r="A364" s="30" t="n">
        <v>46018</v>
      </c>
      <c r="B364" s="36" t="n">
        <v>1400104812.351374</v>
      </c>
      <c r="C364" s="36" t="n">
        <v>122485181.9154451</v>
      </c>
      <c r="D364" s="36" t="n">
        <v>64057194</v>
      </c>
      <c r="E364" s="36" t="n">
        <v>442768.92</v>
      </c>
      <c r="F364" s="36" t="n">
        <v>14772</v>
      </c>
      <c r="G364" s="36" t="n">
        <v>0</v>
      </c>
      <c r="H364" s="36" t="n">
        <v>44253</v>
      </c>
      <c r="I364" s="36" t="n">
        <v>56845</v>
      </c>
      <c r="J364" s="36" t="n">
        <v>6914.044499406482</v>
      </c>
      <c r="K364" s="36" t="n">
        <v>0</v>
      </c>
      <c r="L364" s="37" t="n">
        <v>17114.12</v>
      </c>
      <c r="M364" s="36" t="n">
        <v>442768.92</v>
      </c>
      <c r="N364" s="37" t="n">
        <v>37683708.12255512</v>
      </c>
      <c r="O364" s="37" t="n">
        <v>26462.3171</v>
      </c>
      <c r="P364" s="37" t="n">
        <v>822.3167999999999</v>
      </c>
      <c r="Q364" s="36" t="n">
        <v>21038.97</v>
      </c>
      <c r="R364" s="37" t="n">
        <v>301702023.8426</v>
      </c>
      <c r="S364" s="37" t="n">
        <v>999454564.3189</v>
      </c>
      <c r="T364" s="38">
        <f>IF(OR(R364="",R363=""),"",R364-R363)</f>
        <v/>
      </c>
      <c r="U364" s="38">
        <f>IF(OR(S364="",S363=""),"",S364-S363)</f>
        <v/>
      </c>
      <c r="V364" s="38">
        <f>IF(OR(U364="",P364=""),"",U364+P364)</f>
        <v/>
      </c>
      <c r="W364" s="38">
        <f>IF(OR(T364="",O364="",P364=""),"",T364-O364+P364)</f>
        <v/>
      </c>
    </row>
    <row r="365">
      <c r="A365" s="30" t="n">
        <v>46019</v>
      </c>
      <c r="B365" s="36" t="n">
        <v>1927413539.371429</v>
      </c>
      <c r="C365" s="36" t="n">
        <v>84032699.71483055</v>
      </c>
      <c r="D365" s="36" t="n">
        <v>75029525</v>
      </c>
      <c r="E365" s="36" t="n">
        <v>475895.45</v>
      </c>
      <c r="F365" s="36" t="n">
        <v>13376</v>
      </c>
      <c r="G365" s="36" t="n">
        <v>0</v>
      </c>
      <c r="H365" s="36" t="n">
        <v>52585</v>
      </c>
      <c r="I365" s="36" t="n">
        <v>72538</v>
      </c>
      <c r="J365" s="36" t="n">
        <v>7072.402556906018</v>
      </c>
      <c r="K365" s="36" t="n">
        <v>17126.65</v>
      </c>
      <c r="L365" s="37" t="n">
        <v>18579.37</v>
      </c>
      <c r="M365" s="36" t="n">
        <v>475895.45</v>
      </c>
      <c r="N365" s="37" t="n">
        <v>37705705.99255512</v>
      </c>
      <c r="O365" s="37" t="n">
        <v>26467.9072</v>
      </c>
      <c r="P365" s="37" t="n">
        <v>1294.7145</v>
      </c>
      <c r="Q365" s="36" t="n">
        <v>33537.64</v>
      </c>
      <c r="R365" s="37" t="n">
        <v>301697072.2922</v>
      </c>
      <c r="S365" s="37" t="n">
        <v>999453269.6043</v>
      </c>
      <c r="T365" s="38">
        <f>IF(OR(R365="",R364=""),"",R365-R364)</f>
        <v/>
      </c>
      <c r="U365" s="38">
        <f>IF(OR(S365="",S364=""),"",S365-S364)</f>
        <v/>
      </c>
      <c r="V365" s="38">
        <f>IF(OR(U365="",P365=""),"",U365+P365)</f>
        <v/>
      </c>
      <c r="W365" s="38">
        <f>IF(OR(T365="",O365="",P365=""),"",T365-O365+P365)</f>
        <v/>
      </c>
    </row>
    <row r="366">
      <c r="A366" s="30" t="n">
        <v>46020</v>
      </c>
      <c r="B366" s="36" t="n">
        <v>6977737360.742292</v>
      </c>
      <c r="C366" s="36" t="n">
        <v>109197976.3276942</v>
      </c>
      <c r="D366" s="36" t="n">
        <v>298579658</v>
      </c>
      <c r="E366" s="36" t="n">
        <v>1939785.77</v>
      </c>
      <c r="F366" s="36" t="n">
        <v>36154</v>
      </c>
      <c r="G366" s="36" t="n">
        <v>0</v>
      </c>
      <c r="H366" s="36" t="n">
        <v>68508</v>
      </c>
      <c r="I366" s="36" t="n">
        <v>90283</v>
      </c>
      <c r="J366" s="36" t="n">
        <v>13996.47333149522</v>
      </c>
      <c r="K366" s="36" t="n">
        <v>18218.18</v>
      </c>
      <c r="L366" s="37" t="n">
        <v>75103.94</v>
      </c>
      <c r="M366" s="36" t="n">
        <v>1939785.77</v>
      </c>
      <c r="N366" s="37" t="n">
        <v>37777472.31255512</v>
      </c>
      <c r="O366" s="37" t="n">
        <v>26457.1114</v>
      </c>
      <c r="P366" s="37" t="n">
        <v>2123.1129</v>
      </c>
      <c r="Q366" s="36" t="n">
        <v>54326.21</v>
      </c>
      <c r="R366" s="37" t="n">
        <v>301684954.2992</v>
      </c>
      <c r="S366" s="37" t="n">
        <v>999451146.4914</v>
      </c>
      <c r="T366" s="38">
        <f>IF(OR(R366="",R365=""),"",R366-R365)</f>
        <v/>
      </c>
      <c r="U366" s="38">
        <f>IF(OR(S366="",S365=""),"",S366-S365)</f>
        <v/>
      </c>
      <c r="V366" s="38">
        <f>IF(OR(U366="",P366=""),"",U366+P366)</f>
        <v/>
      </c>
      <c r="W366" s="38">
        <f>IF(OR(T366="",O366="",P366=""),"",T366-O366+P366)</f>
        <v/>
      </c>
    </row>
    <row r="367">
      <c r="A367" s="30" t="n">
        <v>46021</v>
      </c>
      <c r="B367" s="36" t="n">
        <v>4072820675.643588</v>
      </c>
      <c r="C367" s="36" t="n">
        <v>138636841.0962479</v>
      </c>
      <c r="D367" s="36" t="n">
        <v>317139673</v>
      </c>
      <c r="E367" s="36" t="n">
        <v>1094242.8</v>
      </c>
      <c r="F367" s="36" t="n">
        <v>27052</v>
      </c>
      <c r="G367" s="36" t="n">
        <v>0</v>
      </c>
      <c r="H367" s="36" t="n">
        <v>79005</v>
      </c>
      <c r="I367" s="36" t="n">
        <v>102727</v>
      </c>
      <c r="J367" s="36" t="n">
        <v>8739.876968668941</v>
      </c>
      <c r="K367" s="36" t="n">
        <v>0</v>
      </c>
      <c r="L367" s="37" t="n">
        <v>42418.7</v>
      </c>
      <c r="M367" s="36" t="n">
        <v>1094242.8</v>
      </c>
      <c r="N367" s="37" t="n">
        <v>37820327.28255512</v>
      </c>
      <c r="O367" s="37" t="n">
        <v>26422.7486</v>
      </c>
      <c r="P367" s="37" t="n">
        <v>2325.3605</v>
      </c>
      <c r="Q367" s="36" t="n">
        <v>59822.22</v>
      </c>
      <c r="R367" s="37" t="n">
        <v>301622847.4465</v>
      </c>
      <c r="S367" s="37" t="n">
        <v>999448821.1309</v>
      </c>
      <c r="T367" s="38">
        <f>IF(OR(R367="",R366=""),"",R367-R366)</f>
        <v/>
      </c>
      <c r="U367" s="38">
        <f>IF(OR(S367="",S366=""),"",S367-S366)</f>
        <v/>
      </c>
      <c r="V367" s="38">
        <f>IF(OR(U367="",P367=""),"",U367+P367)</f>
        <v/>
      </c>
      <c r="W367" s="38">
        <f>IF(OR(T367="",O367="",P367=""),"",T367-O367+P367)</f>
        <v/>
      </c>
    </row>
    <row r="368">
      <c r="A368" s="30" t="n">
        <v>46022</v>
      </c>
      <c r="B368" s="36" t="n">
        <v>3346484847.959784</v>
      </c>
      <c r="C368" s="36" t="n">
        <v>149349790.3441477</v>
      </c>
      <c r="D368" s="36" t="n">
        <v>233152448</v>
      </c>
      <c r="E368" s="36" t="n">
        <v>925782.04</v>
      </c>
      <c r="F368" s="36" t="n">
        <v>22873</v>
      </c>
      <c r="G368" s="36" t="n">
        <v>0</v>
      </c>
      <c r="H368" s="36" t="n">
        <v>87376</v>
      </c>
      <c r="I368" s="36" t="n">
        <v>114605</v>
      </c>
      <c r="J368" s="36" t="n">
        <v>5715.616633279446</v>
      </c>
      <c r="K368" s="36" t="n">
        <v>14291.99</v>
      </c>
      <c r="L368" s="37" t="n">
        <v>35871.89</v>
      </c>
      <c r="M368" s="36" t="n">
        <v>925782.04</v>
      </c>
      <c r="N368" s="37" t="n">
        <v>37855111.82255512</v>
      </c>
      <c r="O368" s="37" t="n">
        <v>26413.0512</v>
      </c>
      <c r="P368" s="37" t="n">
        <v>1757.3829</v>
      </c>
      <c r="Q368" s="36" t="n">
        <v>45443.28</v>
      </c>
      <c r="R368" s="37" t="n">
        <v>301590201.8335</v>
      </c>
      <c r="S368" s="37" t="n">
        <v>999447063.7481</v>
      </c>
      <c r="T368" s="38">
        <f>IF(OR(R368="",R367=""),"",R368-R367)</f>
        <v/>
      </c>
      <c r="U368" s="38">
        <f>IF(OR(S368="",S367=""),"",S368-S367)</f>
        <v/>
      </c>
      <c r="V368" s="38">
        <f>IF(OR(U368="",P368=""),"",U368+P368)</f>
        <v/>
      </c>
      <c r="W368" s="38">
        <f>IF(OR(T368="",O368="",P368=""),"",T368-O368+P368)</f>
        <v/>
      </c>
    </row>
    <row r="369">
      <c r="A369" s="30" t="n">
        <v>46023</v>
      </c>
      <c r="B369" s="36" t="n">
        <v>2273535701.436381</v>
      </c>
      <c r="C369" s="36" t="n">
        <v>158618903.5539275</v>
      </c>
      <c r="D369" s="36" t="n">
        <v>60600305</v>
      </c>
      <c r="E369" s="36" t="n">
        <v>705293.7</v>
      </c>
      <c r="F369" s="36" t="n">
        <v>10719</v>
      </c>
      <c r="G369" s="36" t="n">
        <v>0</v>
      </c>
      <c r="H369" s="36" t="n">
        <v>78377</v>
      </c>
      <c r="I369" s="36" t="n">
        <v>104358</v>
      </c>
      <c r="J369" s="36" t="n">
        <v>12253.04253594799</v>
      </c>
      <c r="K369" s="36" t="n">
        <v>12900.83</v>
      </c>
      <c r="L369" s="37" t="n">
        <v>28382.23</v>
      </c>
      <c r="M369" s="36" t="n">
        <v>705293.7</v>
      </c>
      <c r="N369" s="37" t="n">
        <v>37884623.35255512</v>
      </c>
      <c r="O369" s="37" t="n">
        <v>26402.7064</v>
      </c>
      <c r="P369" s="37" t="n">
        <v>1053.6984</v>
      </c>
      <c r="Q369" s="36" t="n">
        <v>26903.55</v>
      </c>
      <c r="R369" s="37" t="n">
        <v>301566310.9286</v>
      </c>
      <c r="S369" s="37" t="n">
        <v>999446010.0497</v>
      </c>
      <c r="T369" s="38">
        <f>IF(OR(R369="",R368=""),"",R369-R368)</f>
        <v/>
      </c>
      <c r="U369" s="38">
        <f>IF(OR(S369="",S368=""),"",S369-S368)</f>
        <v/>
      </c>
      <c r="V369" s="38">
        <f>IF(OR(U369="",P369=""),"",U369+P369)</f>
        <v/>
      </c>
      <c r="W369" s="38">
        <f>IF(OR(T369="",O369="",P369=""),"",T369-O369+P369)</f>
        <v/>
      </c>
    </row>
    <row r="370">
      <c r="A370" s="30" t="n">
        <v>46024</v>
      </c>
      <c r="B370" s="36" t="n">
        <v>7067860079.049675</v>
      </c>
      <c r="C370" s="36" t="n">
        <v>150350090.3280058</v>
      </c>
      <c r="D370" s="36" t="n">
        <v>324447883</v>
      </c>
      <c r="E370" s="36" t="n">
        <v>1898721.29</v>
      </c>
      <c r="F370" s="36" t="n">
        <v>30023</v>
      </c>
      <c r="G370" s="36" t="n">
        <v>0</v>
      </c>
      <c r="H370" s="36" t="n">
        <v>79309</v>
      </c>
      <c r="I370" s="36" t="n">
        <v>107757</v>
      </c>
      <c r="J370" s="36" t="n">
        <v>12554.25972530847</v>
      </c>
      <c r="K370" s="36" t="n">
        <v>0</v>
      </c>
      <c r="L370" s="37" t="n">
        <v>77430.46000000001</v>
      </c>
      <c r="M370" s="36" t="n">
        <v>1898721.29</v>
      </c>
      <c r="N370" s="37" t="n">
        <v>37961240.11255512</v>
      </c>
      <c r="O370" s="37" t="n">
        <v>26401.8144</v>
      </c>
      <c r="P370" s="37" t="n">
        <v>2093.0828</v>
      </c>
      <c r="Q370" s="36" t="n">
        <v>50844.12</v>
      </c>
      <c r="R370" s="37" t="n">
        <v>301546658.771</v>
      </c>
      <c r="S370" s="37" t="n">
        <v>999443916.9669</v>
      </c>
      <c r="T370" s="38">
        <f>IF(OR(R370="",R369=""),"",R370-R369)</f>
        <v/>
      </c>
      <c r="U370" s="38">
        <f>IF(OR(S370="",S369=""),"",S370-S369)</f>
        <v/>
      </c>
      <c r="V370" s="38">
        <f>IF(OR(U370="",P370=""),"",U370+P370)</f>
        <v/>
      </c>
      <c r="W370" s="38">
        <f>IF(OR(T370="",O370="",P370=""),"",T370-O370+P370)</f>
        <v/>
      </c>
    </row>
    <row r="371">
      <c r="A371" s="30" t="n">
        <v>46025</v>
      </c>
      <c r="B371" s="36" t="n">
        <v>3309878798.413804</v>
      </c>
      <c r="C371" s="36" t="n">
        <v>167935583.2956387</v>
      </c>
      <c r="D371" s="36" t="n">
        <v>79804737</v>
      </c>
      <c r="E371" s="36" t="n">
        <v>1002009.44</v>
      </c>
      <c r="F371" s="36" t="n">
        <v>14222</v>
      </c>
      <c r="G371" s="36" t="n">
        <v>0</v>
      </c>
      <c r="H371" s="36" t="n">
        <v>46188</v>
      </c>
      <c r="I371" s="36" t="n">
        <v>62476</v>
      </c>
      <c r="J371" s="36" t="n">
        <v>7939.062371925125</v>
      </c>
      <c r="K371" s="36" t="n">
        <v>12370.61</v>
      </c>
      <c r="L371" s="37" t="n">
        <v>40475</v>
      </c>
      <c r="M371" s="36" t="n">
        <v>1002009.44</v>
      </c>
      <c r="N371" s="37" t="n">
        <v>38005028.39255512</v>
      </c>
      <c r="O371" s="37" t="n">
        <v>26396.0166</v>
      </c>
      <c r="P371" s="37" t="n">
        <v>1639.5284</v>
      </c>
      <c r="Q371" s="36" t="n">
        <v>40293.87</v>
      </c>
      <c r="R371" s="37" t="n">
        <v>301480344.4821</v>
      </c>
      <c r="S371" s="37" t="n">
        <v>999442277.4385</v>
      </c>
      <c r="T371" s="38">
        <f>IF(OR(R371="",R370=""),"",R371-R370)</f>
        <v/>
      </c>
      <c r="U371" s="38">
        <f>IF(OR(S371="",S370=""),"",S371-S370)</f>
        <v/>
      </c>
      <c r="V371" s="38">
        <f>IF(OR(U371="",P371=""),"",U371+P371)</f>
        <v/>
      </c>
      <c r="W371" s="38">
        <f>IF(OR(T371="",O371="",P371=""),"",T371-O371+P371)</f>
        <v/>
      </c>
    </row>
    <row r="372">
      <c r="A372" s="30" t="n">
        <v>46026</v>
      </c>
      <c r="B372" s="36" t="n">
        <v>3581405548.344314</v>
      </c>
      <c r="C372" s="36" t="n">
        <v>118826856.1590298</v>
      </c>
      <c r="D372" s="36" t="n">
        <v>75856116</v>
      </c>
      <c r="E372" s="36" t="n">
        <v>1024144.58</v>
      </c>
      <c r="F372" s="36" t="n">
        <v>13830</v>
      </c>
      <c r="G372" s="36" t="n">
        <v>0</v>
      </c>
      <c r="H372" s="36" t="n">
        <v>29426</v>
      </c>
      <c r="I372" s="36" t="n">
        <v>39784</v>
      </c>
      <c r="J372" s="36" t="n">
        <v>9542.379886769841</v>
      </c>
      <c r="K372" s="36" t="n">
        <v>12833.11</v>
      </c>
      <c r="L372" s="37" t="n">
        <v>39990.23</v>
      </c>
      <c r="M372" s="36" t="n">
        <v>1024144.58</v>
      </c>
      <c r="N372" s="37" t="n">
        <v>38044332.31255512</v>
      </c>
      <c r="O372" s="37" t="n">
        <v>26350.9539</v>
      </c>
      <c r="P372" s="37" t="n">
        <v>2062.1422</v>
      </c>
      <c r="Q372" s="36" t="n">
        <v>51915.46</v>
      </c>
      <c r="R372" s="37" t="n">
        <v>301446385.9254</v>
      </c>
      <c r="S372" s="37" t="n">
        <v>999440215.2962</v>
      </c>
      <c r="T372" s="38">
        <f>IF(OR(R372="",R371=""),"",R372-R371)</f>
        <v/>
      </c>
      <c r="U372" s="38">
        <f>IF(OR(S372="",S371=""),"",S372-S371)</f>
        <v/>
      </c>
      <c r="V372" s="38">
        <f>IF(OR(U372="",P372=""),"",U372+P372)</f>
        <v/>
      </c>
      <c r="W372" s="38">
        <f>IF(OR(T372="",O372="",P372=""),"",T372-O372+P372)</f>
        <v/>
      </c>
    </row>
    <row r="373">
      <c r="A373" s="30" t="n">
        <v>46027</v>
      </c>
      <c r="B373" s="36" t="n">
        <v>7565522595.376121</v>
      </c>
      <c r="C373" s="36" t="n">
        <v>88312584.50234434</v>
      </c>
      <c r="D373" s="36" t="n">
        <v>332533491</v>
      </c>
      <c r="E373" s="36" t="n">
        <v>2086165.61</v>
      </c>
      <c r="F373" s="36" t="n">
        <v>42641</v>
      </c>
      <c r="G373" s="36" t="n">
        <v>0</v>
      </c>
      <c r="H373" s="36" t="n">
        <v>57987</v>
      </c>
      <c r="I373" s="36" t="n">
        <v>79063</v>
      </c>
      <c r="J373" s="36" t="n">
        <v>17385.42542818884</v>
      </c>
      <c r="K373" s="36" t="n">
        <v>13668.27</v>
      </c>
      <c r="L373" s="37" t="n">
        <v>78485.08</v>
      </c>
      <c r="M373" s="36" t="n">
        <v>2086165.61</v>
      </c>
      <c r="N373" s="37" t="n">
        <v>38120898.50255512</v>
      </c>
      <c r="O373" s="37" t="n">
        <v>26387.3723</v>
      </c>
      <c r="P373" s="37" t="n">
        <v>901.9737</v>
      </c>
      <c r="Q373" s="36" t="n">
        <v>23971.3</v>
      </c>
      <c r="R373" s="37" t="n">
        <v>301418111.2928</v>
      </c>
      <c r="S373" s="37" t="n">
        <v>999439313.3225</v>
      </c>
      <c r="T373" s="38">
        <f>IF(OR(R373="",R372=""),"",R373-R372)</f>
        <v/>
      </c>
      <c r="U373" s="38">
        <f>IF(OR(S373="",S372=""),"",S373-S372)</f>
        <v/>
      </c>
      <c r="V373" s="38">
        <f>IF(OR(U373="",P373=""),"",U373+P373)</f>
        <v/>
      </c>
      <c r="W373" s="38">
        <f>IF(OR(T373="",O373="",P373=""),"",T373-O373+P373)</f>
        <v/>
      </c>
    </row>
    <row r="374">
      <c r="A374" s="30" t="n">
        <v>46028</v>
      </c>
      <c r="B374" s="36" t="n">
        <v>8239714594.167198</v>
      </c>
      <c r="C374" s="36" t="n">
        <v>171744706.7248234</v>
      </c>
      <c r="D374" s="36" t="n">
        <v>327284750</v>
      </c>
      <c r="E374" s="36" t="n">
        <v>2374650.41</v>
      </c>
      <c r="F374" s="36" t="n">
        <v>46646</v>
      </c>
      <c r="G374" s="36" t="n">
        <v>0</v>
      </c>
      <c r="H374" s="36" t="n">
        <v>73601</v>
      </c>
      <c r="I374" s="36" t="n">
        <v>95638</v>
      </c>
      <c r="J374" s="36" t="n">
        <v>18797.20049602148</v>
      </c>
      <c r="K374" s="36" t="n">
        <v>16907.82</v>
      </c>
      <c r="L374" s="37" t="n">
        <v>88011.81</v>
      </c>
      <c r="M374" s="36" t="n">
        <v>2374650.41</v>
      </c>
      <c r="N374" s="37" t="n">
        <v>38212022.86255512</v>
      </c>
      <c r="O374" s="37" t="n">
        <v>26389.3646</v>
      </c>
      <c r="P374" s="37" t="n">
        <v>2534.2663</v>
      </c>
      <c r="Q374" s="36" t="n">
        <v>67718.13</v>
      </c>
      <c r="R374" s="37" t="n">
        <v>301350919.1186</v>
      </c>
      <c r="S374" s="37" t="n">
        <v>999436779.0563</v>
      </c>
      <c r="T374" s="38">
        <f>IF(OR(R374="",R373=""),"",R374-R373)</f>
        <v/>
      </c>
      <c r="U374" s="38">
        <f>IF(OR(S374="",S373=""),"",S374-S373)</f>
        <v/>
      </c>
      <c r="V374" s="38">
        <f>IF(OR(U374="",P374=""),"",U374+P374)</f>
        <v/>
      </c>
      <c r="W374" s="38">
        <f>IF(OR(T374="",O374="",P374=""),"",T374-O374+P374)</f>
        <v/>
      </c>
    </row>
    <row r="375">
      <c r="A375" s="30" t="n">
        <v>46029</v>
      </c>
      <c r="B375" s="36" t="n">
        <v>6432962718.166785</v>
      </c>
      <c r="C375" s="36" t="n">
        <v>210695748.420455</v>
      </c>
      <c r="D375" s="36" t="n">
        <v>331731507</v>
      </c>
      <c r="E375" s="36" t="n">
        <v>1865729.21</v>
      </c>
      <c r="F375" s="36" t="n">
        <v>38249</v>
      </c>
      <c r="G375" s="36" t="n">
        <v>0</v>
      </c>
      <c r="H375" s="36" t="n">
        <v>48158</v>
      </c>
      <c r="I375" s="36" t="n">
        <v>61994</v>
      </c>
      <c r="J375" s="36" t="n">
        <v>15018.5260501421</v>
      </c>
      <c r="K375" s="36" t="n">
        <v>0</v>
      </c>
      <c r="L375" s="37" t="n">
        <v>68872.57000000001</v>
      </c>
      <c r="M375" s="36" t="n">
        <v>1865729.21</v>
      </c>
      <c r="N375" s="37" t="n">
        <v>38277974.16255512</v>
      </c>
      <c r="O375" s="37" t="n">
        <v>26373.0482</v>
      </c>
      <c r="P375" s="37" t="n">
        <v>2947.2225</v>
      </c>
      <c r="Q375" s="36" t="n">
        <v>82563.49000000001</v>
      </c>
      <c r="R375" s="37" t="n">
        <v>302394515.5211</v>
      </c>
      <c r="S375" s="37" t="n">
        <v>999433831.8338</v>
      </c>
      <c r="T375" s="38">
        <f>IF(OR(R375="",R374=""),"",R375-R374)</f>
        <v/>
      </c>
      <c r="U375" s="38">
        <f>IF(OR(S375="",S374=""),"",S375-S374)</f>
        <v/>
      </c>
      <c r="V375" s="38">
        <f>IF(OR(U375="",P375=""),"",U375+P375)</f>
        <v/>
      </c>
      <c r="W375" s="38">
        <f>IF(OR(T375="",O375="",P375=""),"",T375-O375+P375)</f>
        <v/>
      </c>
    </row>
    <row r="376">
      <c r="A376" s="30" t="n">
        <v>46030</v>
      </c>
      <c r="B376" s="36" t="n">
        <v>7555854851.060171</v>
      </c>
      <c r="C376" s="36" t="n">
        <v>145632492.1196956</v>
      </c>
      <c r="D376" s="36" t="n">
        <v>418653698</v>
      </c>
      <c r="E376" s="36" t="n">
        <v>2091921.83</v>
      </c>
      <c r="F376" s="36" t="n">
        <v>39266</v>
      </c>
      <c r="G376" s="36" t="n">
        <v>0</v>
      </c>
      <c r="H376" s="36" t="n">
        <v>46361</v>
      </c>
      <c r="I376" s="36" t="n">
        <v>62662</v>
      </c>
      <c r="J376" s="36" t="n">
        <v>8232.556354310345</v>
      </c>
      <c r="K376" s="36" t="n">
        <v>13696.13</v>
      </c>
      <c r="L376" s="37" t="n">
        <v>80019.35000000001</v>
      </c>
      <c r="M376" s="36" t="n">
        <v>2091921.83</v>
      </c>
      <c r="N376" s="37" t="n">
        <v>38357236.18255512</v>
      </c>
      <c r="O376" s="37" t="n">
        <v>26374.6414</v>
      </c>
      <c r="P376" s="37" t="n">
        <v>1968.7768</v>
      </c>
      <c r="Q376" s="36" t="n">
        <v>52751.41</v>
      </c>
      <c r="R376" s="37" t="n">
        <v>302338490.5525</v>
      </c>
      <c r="S376" s="37" t="n">
        <v>999431863.057</v>
      </c>
      <c r="T376" s="38">
        <f>IF(OR(R376="",R375=""),"",R376-R375)</f>
        <v/>
      </c>
      <c r="U376" s="38">
        <f>IF(OR(S376="",S375=""),"",S376-S375)</f>
        <v/>
      </c>
      <c r="V376" s="38">
        <f>IF(OR(U376="",P376=""),"",U376+P376)</f>
        <v/>
      </c>
      <c r="W376" s="38">
        <f>IF(OR(T376="",O376="",P376=""),"",T376-O376+P376)</f>
        <v/>
      </c>
    </row>
    <row r="377">
      <c r="A377" s="30" t="n">
        <v>46031</v>
      </c>
      <c r="B377" s="36" t="n">
        <v>7246969357.308715</v>
      </c>
      <c r="C377" s="36" t="n">
        <v>133985143.0460019</v>
      </c>
      <c r="D377" s="36" t="n">
        <v>311595912</v>
      </c>
      <c r="E377" s="36" t="n">
        <v>1786727.57</v>
      </c>
      <c r="F377" s="36" t="n">
        <v>29912</v>
      </c>
      <c r="G377" s="36" t="n">
        <v>0</v>
      </c>
      <c r="H377" s="36" t="n">
        <v>39558</v>
      </c>
      <c r="I377" s="36" t="n">
        <v>52906</v>
      </c>
      <c r="J377" s="36" t="n">
        <v>9329.631237383208</v>
      </c>
      <c r="K377" s="36" t="n">
        <v>13068.86</v>
      </c>
      <c r="L377" s="37" t="n">
        <v>69974.7</v>
      </c>
      <c r="M377" s="36" t="n">
        <v>1786727.57</v>
      </c>
      <c r="N377" s="37" t="n">
        <v>38428013.39255512</v>
      </c>
      <c r="O377" s="37" t="n">
        <v>26370.8818</v>
      </c>
      <c r="P377" s="37" t="n">
        <v>2704.8659</v>
      </c>
      <c r="Q377" s="36" t="n">
        <v>69064.69</v>
      </c>
      <c r="R377" s="37" t="n">
        <v>302268415.0772</v>
      </c>
      <c r="S377" s="37" t="n">
        <v>999429158.1911</v>
      </c>
      <c r="T377" s="38">
        <f>IF(OR(R377="",R376=""),"",R377-R376)</f>
        <v/>
      </c>
      <c r="U377" s="38">
        <f>IF(OR(S377="",S376=""),"",S377-S376)</f>
        <v/>
      </c>
      <c r="V377" s="38">
        <f>IF(OR(U377="",P377=""),"",U377+P377)</f>
        <v/>
      </c>
      <c r="W377" s="38">
        <f>IF(OR(T377="",O377="",P377=""),"",T377-O377+P377)</f>
        <v/>
      </c>
    </row>
    <row r="378">
      <c r="A378" s="30" t="n">
        <v>46032</v>
      </c>
      <c r="B378" s="36" t="n">
        <v>1513795984.206229</v>
      </c>
      <c r="C378" s="36" t="n">
        <v>123717484.7369145</v>
      </c>
      <c r="D378" s="36" t="n">
        <v>78156263</v>
      </c>
      <c r="E378" s="36" t="n">
        <v>462563.83</v>
      </c>
      <c r="F378" s="36" t="n">
        <v>14958</v>
      </c>
      <c r="G378" s="36" t="n">
        <v>0</v>
      </c>
      <c r="H378" s="36" t="n">
        <v>25567</v>
      </c>
      <c r="I378" s="36" t="n">
        <v>29394</v>
      </c>
      <c r="J378" s="36" t="n">
        <v>6540.2466349735</v>
      </c>
      <c r="K378" s="36" t="n">
        <v>13892.53</v>
      </c>
      <c r="L378" s="37" t="n">
        <v>18968.35</v>
      </c>
      <c r="M378" s="36" t="n">
        <v>462563.83</v>
      </c>
      <c r="N378" s="37" t="n">
        <v>38446138.52255512</v>
      </c>
      <c r="O378" s="37" t="n">
        <v>26361.0916</v>
      </c>
      <c r="P378" s="37" t="n">
        <v>955.1403</v>
      </c>
      <c r="Q378" s="36" t="n">
        <v>23789.2</v>
      </c>
      <c r="R378" s="37" t="n">
        <v>302208548.4401</v>
      </c>
      <c r="S378" s="37" t="n">
        <v>999428203.0509</v>
      </c>
      <c r="T378" s="38">
        <f>IF(OR(R378="",R377=""),"",R378-R377)</f>
        <v/>
      </c>
      <c r="U378" s="38">
        <f>IF(OR(S378="",S377=""),"",S378-S377)</f>
        <v/>
      </c>
      <c r="V378" s="38">
        <f>IF(OR(U378="",P378=""),"",U378+P378)</f>
        <v/>
      </c>
      <c r="W378" s="38">
        <f>IF(OR(T378="",O378="",P378=""),"",T378-O378+P378)</f>
        <v/>
      </c>
    </row>
    <row r="379">
      <c r="A379" s="30" t="n">
        <v>46033</v>
      </c>
      <c r="B379" s="36" t="n">
        <v>3062474217.680984</v>
      </c>
      <c r="C379" s="36" t="n">
        <v>58688478.07745037</v>
      </c>
      <c r="D379" s="36" t="n">
        <v>172610355</v>
      </c>
      <c r="E379" s="36" t="n">
        <v>812593.78</v>
      </c>
      <c r="F379" s="36" t="n">
        <v>61195</v>
      </c>
      <c r="G379" s="36" t="n">
        <v>0</v>
      </c>
      <c r="H379" s="36" t="n">
        <v>18163</v>
      </c>
      <c r="I379" s="36" t="n">
        <v>28522</v>
      </c>
      <c r="J379" s="36" t="n">
        <v>3093.375142771304</v>
      </c>
      <c r="K379" s="36" t="n">
        <v>0</v>
      </c>
      <c r="L379" s="37" t="n">
        <v>33286.67</v>
      </c>
      <c r="M379" s="36" t="n">
        <v>812593.78</v>
      </c>
      <c r="N379" s="37" t="n">
        <v>38480704.90255512</v>
      </c>
      <c r="O379" s="37" t="n">
        <v>26258.6631</v>
      </c>
      <c r="P379" s="37" t="n">
        <v>2542.9764</v>
      </c>
      <c r="Q379" s="36" t="n">
        <v>61225.97</v>
      </c>
      <c r="R379" s="37" t="n">
        <v>302199655.2817</v>
      </c>
      <c r="S379" s="37" t="n">
        <v>999425660.0745</v>
      </c>
      <c r="T379" s="38">
        <f>IF(OR(R379="",R378=""),"",R379-R378)</f>
        <v/>
      </c>
      <c r="U379" s="38">
        <f>IF(OR(S379="",S378=""),"",S379-S378)</f>
        <v/>
      </c>
      <c r="V379" s="38">
        <f>IF(OR(U379="",P379=""),"",U379+P379)</f>
        <v/>
      </c>
      <c r="W379" s="38">
        <f>IF(OR(T379="",O379="",P379=""),"",T379-O379+P379)</f>
        <v/>
      </c>
    </row>
    <row r="380">
      <c r="A380" s="30" t="n">
        <v>46034</v>
      </c>
      <c r="B380" s="36" t="n">
        <v>7156133442.940291</v>
      </c>
      <c r="C380" s="36" t="n">
        <v>63859611.7814533</v>
      </c>
      <c r="D380" s="36" t="n">
        <v>446511237</v>
      </c>
      <c r="E380" s="36" t="n">
        <v>1900776.69</v>
      </c>
      <c r="F380" s="36" t="n">
        <v>67180</v>
      </c>
      <c r="G380" s="36" t="n">
        <v>0</v>
      </c>
      <c r="H380" s="36" t="n">
        <v>45377</v>
      </c>
      <c r="I380" s="36" t="n">
        <v>56846</v>
      </c>
      <c r="J380" s="36" t="n">
        <v>12861.4047105096</v>
      </c>
      <c r="K380" s="36" t="n">
        <v>12393.69</v>
      </c>
      <c r="L380" s="37" t="n">
        <v>79151.85000000001</v>
      </c>
      <c r="M380" s="36" t="n">
        <v>1900776.69</v>
      </c>
      <c r="N380" s="37" t="n">
        <v>38558757.57255512</v>
      </c>
      <c r="O380" s="37" t="n">
        <v>26359.8174</v>
      </c>
      <c r="P380" s="37" t="n">
        <v>1943.4075</v>
      </c>
      <c r="Q380" s="36" t="n">
        <v>47439.55</v>
      </c>
      <c r="R380" s="37" t="n">
        <v>302175033.2156</v>
      </c>
      <c r="S380" s="37" t="n">
        <v>999423716.6671</v>
      </c>
      <c r="T380" s="38">
        <f>IF(OR(R380="",R379=""),"",R380-R379)</f>
        <v/>
      </c>
      <c r="U380" s="38">
        <f>IF(OR(S380="",S379=""),"",S380-S379)</f>
        <v/>
      </c>
      <c r="V380" s="38">
        <f>IF(OR(U380="",P380=""),"",U380+P380)</f>
        <v/>
      </c>
      <c r="W380" s="38">
        <f>IF(OR(T380="",O380="",P380=""),"",T380-O380+P380)</f>
        <v/>
      </c>
    </row>
    <row r="381">
      <c r="A381" s="30" t="n">
        <v>46035</v>
      </c>
      <c r="B381" s="36" t="n">
        <v>9017100964.928312</v>
      </c>
      <c r="C381" s="36" t="n">
        <v>139042715.5873497</v>
      </c>
      <c r="D381" s="36" t="n">
        <v>582248001</v>
      </c>
      <c r="E381" s="36" t="n">
        <v>2300107.22</v>
      </c>
      <c r="F381" s="36" t="n">
        <v>64827</v>
      </c>
      <c r="G381" s="36" t="n">
        <v>0</v>
      </c>
      <c r="H381" s="36" t="n">
        <v>45204</v>
      </c>
      <c r="I381" s="36" t="n">
        <v>65354</v>
      </c>
      <c r="J381" s="36" t="n">
        <v>10856.77658164534</v>
      </c>
      <c r="K381" s="36" t="n">
        <v>12108.73</v>
      </c>
      <c r="L381" s="37" t="n">
        <v>92963.94</v>
      </c>
      <c r="M381" s="36" t="n">
        <v>2300107.22</v>
      </c>
      <c r="N381" s="37" t="n">
        <v>38651124.06255512</v>
      </c>
      <c r="O381" s="37" t="n">
        <v>26369.6542</v>
      </c>
      <c r="P381" s="37" t="n">
        <v>2800.1185</v>
      </c>
      <c r="Q381" s="36" t="n">
        <v>67440.85000000001</v>
      </c>
      <c r="R381" s="37" t="n">
        <v>302106061.423</v>
      </c>
      <c r="S381" s="37" t="n">
        <v>999420916.5486</v>
      </c>
      <c r="T381" s="38">
        <f>IF(OR(R381="",R380=""),"",R381-R380)</f>
        <v/>
      </c>
      <c r="U381" s="38">
        <f>IF(OR(S381="",S380=""),"",S381-S380)</f>
        <v/>
      </c>
      <c r="V381" s="38">
        <f>IF(OR(U381="",P381=""),"",U381+P381)</f>
        <v/>
      </c>
      <c r="W381" s="38">
        <f>IF(OR(T381="",O381="",P381=""),"",T381-O381+P381)</f>
        <v/>
      </c>
    </row>
    <row r="382">
      <c r="A382" s="30" t="n">
        <v>46036</v>
      </c>
      <c r="B382" s="36" t="n">
        <v>8924971902.590996</v>
      </c>
      <c r="C382" s="36" t="n">
        <v>160143759.834878</v>
      </c>
      <c r="D382" s="36" t="n">
        <v>707725156</v>
      </c>
      <c r="E382" s="36" t="n">
        <v>2313856.05</v>
      </c>
      <c r="F382" s="36" t="n">
        <v>78121</v>
      </c>
      <c r="G382" s="36" t="n">
        <v>0</v>
      </c>
      <c r="H382" s="36" t="n">
        <v>57386</v>
      </c>
      <c r="I382" s="36" t="n">
        <v>76627</v>
      </c>
      <c r="J382" s="36" t="n">
        <v>10304.37519916794</v>
      </c>
      <c r="K382" s="36" t="n">
        <v>13064.31</v>
      </c>
      <c r="L382" s="37" t="n">
        <v>88651.64</v>
      </c>
      <c r="M382" s="36" t="n">
        <v>2313856.05</v>
      </c>
      <c r="N382" s="37" t="n">
        <v>38741830.29255512</v>
      </c>
      <c r="O382" s="37" t="n">
        <v>26298.3228</v>
      </c>
      <c r="P382" s="37" t="n">
        <v>1022.0645</v>
      </c>
      <c r="Q382" s="36" t="n">
        <v>26298.23</v>
      </c>
      <c r="R382" s="37" t="n">
        <v>302024485.646</v>
      </c>
      <c r="S382" s="37" t="n">
        <v>999419894.484</v>
      </c>
      <c r="T382" s="38">
        <f>IF(OR(R382="",R381=""),"",R382-R381)</f>
        <v/>
      </c>
      <c r="U382" s="38">
        <f>IF(OR(S382="",S381=""),"",S382-S381)</f>
        <v/>
      </c>
      <c r="V382" s="38">
        <f>IF(OR(U382="",P382=""),"",U382+P382)</f>
        <v/>
      </c>
      <c r="W382" s="38">
        <f>IF(OR(T382="",O382="",P382=""),"",T382-O382+P382)</f>
        <v/>
      </c>
    </row>
    <row r="383">
      <c r="A383" s="30" t="n">
        <v>46037</v>
      </c>
      <c r="B383" s="36" t="n">
        <v>7290367387.209491</v>
      </c>
      <c r="C383" s="36" t="n">
        <v>167734310.6938577</v>
      </c>
      <c r="D383" s="36" t="n">
        <v>725515172</v>
      </c>
      <c r="E383" s="36" t="n">
        <v>1862422.03</v>
      </c>
      <c r="F383" s="36" t="n">
        <v>74016</v>
      </c>
      <c r="G383" s="36" t="n">
        <v>0</v>
      </c>
      <c r="H383" s="36" t="n">
        <v>48357</v>
      </c>
      <c r="I383" s="36" t="n">
        <v>67540</v>
      </c>
      <c r="J383" s="36" t="n">
        <v>10035.10816878126</v>
      </c>
      <c r="K383" s="36" t="n">
        <v>18621.99</v>
      </c>
      <c r="L383" s="37" t="n">
        <v>74458.25</v>
      </c>
      <c r="M383" s="36" t="n">
        <v>1862422.03</v>
      </c>
      <c r="N383" s="37" t="n">
        <v>38814233.95255512</v>
      </c>
      <c r="O383" s="37" t="n">
        <v>26149.3286</v>
      </c>
      <c r="P383" s="37" t="n">
        <v>3113.108</v>
      </c>
      <c r="Q383" s="36" t="n">
        <v>80192.11</v>
      </c>
      <c r="R383" s="37" t="n">
        <v>301942436.9912</v>
      </c>
      <c r="S383" s="37" t="n">
        <v>999416781.376</v>
      </c>
      <c r="T383" s="38">
        <f>IF(OR(R383="",R382=""),"",R383-R382)</f>
        <v/>
      </c>
      <c r="U383" s="38">
        <f>IF(OR(S383="",S382=""),"",S383-S382)</f>
        <v/>
      </c>
      <c r="V383" s="38">
        <f>IF(OR(U383="",P383=""),"",U383+P383)</f>
        <v/>
      </c>
      <c r="W383" s="38">
        <f>IF(OR(T383="",O383="",P383=""),"",T383-O383+P383)</f>
        <v/>
      </c>
    </row>
    <row r="384">
      <c r="A384" s="30" t="n">
        <v>46038</v>
      </c>
      <c r="B384" s="36" t="n">
        <v>4246146249.468757</v>
      </c>
      <c r="C384" s="36" t="n">
        <v>149030080.4846283</v>
      </c>
      <c r="D384" s="36" t="n">
        <v>545687520</v>
      </c>
      <c r="E384" s="36" t="n">
        <v>1117452.67</v>
      </c>
      <c r="F384" s="36" t="n">
        <v>68521</v>
      </c>
      <c r="G384" s="36" t="n">
        <v>0</v>
      </c>
      <c r="H384" s="36" t="n">
        <v>27726</v>
      </c>
      <c r="I384" s="36" t="n">
        <v>37561</v>
      </c>
      <c r="J384" s="36" t="n">
        <v>4890.131495158788</v>
      </c>
      <c r="K384" s="36" t="n">
        <v>27261.76</v>
      </c>
      <c r="L384" s="37" t="n">
        <v>44909.63</v>
      </c>
      <c r="M384" s="36" t="n">
        <v>1117452.67</v>
      </c>
      <c r="N384" s="37" t="n">
        <v>38859944.72255512</v>
      </c>
      <c r="O384" s="37" t="n">
        <v>26275.8944</v>
      </c>
      <c r="P384" s="37" t="n">
        <v>3062.658</v>
      </c>
      <c r="Q384" s="36" t="n">
        <v>75970.75999999999</v>
      </c>
      <c r="R384" s="37" t="n">
        <v>301878968.9845</v>
      </c>
      <c r="S384" s="37" t="n">
        <v>999413718.7180001</v>
      </c>
      <c r="T384" s="38">
        <f>IF(OR(R384="",R383=""),"",R384-R383)</f>
        <v/>
      </c>
      <c r="U384" s="38">
        <f>IF(OR(S384="",S383=""),"",S384-S383)</f>
        <v/>
      </c>
      <c r="V384" s="38">
        <f>IF(OR(U384="",P384=""),"",U384+P384)</f>
        <v/>
      </c>
      <c r="W384" s="38">
        <f>IF(OR(T384="",O384="",P384=""),"",T384-O384+P384)</f>
        <v/>
      </c>
    </row>
    <row r="385">
      <c r="A385" s="30" t="n">
        <v>46039</v>
      </c>
      <c r="B385" s="36" t="n">
        <v>1806239119.684772</v>
      </c>
      <c r="C385" s="36" t="n">
        <v>88303655.43680228</v>
      </c>
      <c r="D385" s="36" t="n">
        <v>172284379</v>
      </c>
      <c r="E385" s="36" t="n">
        <v>515585.26</v>
      </c>
      <c r="F385" s="36" t="n">
        <v>39457</v>
      </c>
      <c r="G385" s="36" t="n">
        <v>0</v>
      </c>
      <c r="H385" s="36" t="n">
        <v>20548</v>
      </c>
      <c r="I385" s="36" t="n">
        <v>26219</v>
      </c>
      <c r="J385" s="36" t="n">
        <v>3159.812827700472</v>
      </c>
      <c r="K385" s="36" t="n">
        <v>0</v>
      </c>
      <c r="L385" s="37" t="n">
        <v>20400.66</v>
      </c>
      <c r="M385" s="36" t="n">
        <v>515585.26</v>
      </c>
      <c r="N385" s="37" t="n">
        <v>38879909.61255512</v>
      </c>
      <c r="O385" s="37" t="n">
        <v>26449.2554</v>
      </c>
      <c r="P385" s="37" t="n">
        <v>3640.35</v>
      </c>
      <c r="Q385" s="36" t="n">
        <v>90945.03999999999</v>
      </c>
      <c r="R385" s="37" t="n">
        <v>301841761.5396</v>
      </c>
      <c r="S385" s="37" t="n">
        <v>999410078.368</v>
      </c>
      <c r="T385" s="38">
        <f>IF(OR(R385="",R384=""),"",R385-R384)</f>
        <v/>
      </c>
      <c r="U385" s="38">
        <f>IF(OR(S385="",S384=""),"",S385-S384)</f>
        <v/>
      </c>
      <c r="V385" s="38">
        <f>IF(OR(U385="",P385=""),"",U385+P385)</f>
        <v/>
      </c>
      <c r="W385" s="38">
        <f>IF(OR(T385="",O385="",P385=""),"",T385-O385+P385)</f>
        <v/>
      </c>
    </row>
    <row r="386">
      <c r="A386" s="30" t="n">
        <v>46040</v>
      </c>
      <c r="B386" s="36" t="n">
        <v>2839450352.882049</v>
      </c>
      <c r="C386" s="36" t="n">
        <v>54022505.40544727</v>
      </c>
      <c r="D386" s="36" t="n">
        <v>185217000</v>
      </c>
      <c r="E386" s="36" t="n">
        <v>810327.8100000001</v>
      </c>
      <c r="F386" s="36" t="n">
        <v>32039</v>
      </c>
      <c r="G386" s="36" t="n">
        <v>0</v>
      </c>
      <c r="H386" s="36" t="n">
        <v>21914</v>
      </c>
      <c r="I386" s="36" t="n">
        <v>29239</v>
      </c>
      <c r="J386" s="36" t="n">
        <v>5204.203763989413</v>
      </c>
      <c r="K386" s="36" t="n">
        <v>13669.84</v>
      </c>
      <c r="L386" s="37" t="n">
        <v>32107.65</v>
      </c>
      <c r="M386" s="36" t="n">
        <v>810327.8100000001</v>
      </c>
      <c r="N386" s="37" t="n">
        <v>38931974.93255512</v>
      </c>
      <c r="O386" s="37" t="n">
        <v>26383.4165</v>
      </c>
      <c r="P386" s="37" t="n">
        <v>205.2242</v>
      </c>
      <c r="Q386" s="36" t="n">
        <v>5235.17</v>
      </c>
      <c r="R386" s="37" t="n">
        <v>301833714.2999</v>
      </c>
      <c r="S386" s="37" t="n">
        <v>999409873.1439</v>
      </c>
      <c r="T386" s="38">
        <f>IF(OR(R386="",R385=""),"",R386-R385)</f>
        <v/>
      </c>
      <c r="U386" s="38">
        <f>IF(OR(S386="",S385=""),"",S386-S385)</f>
        <v/>
      </c>
      <c r="V386" s="38">
        <f>IF(OR(U386="",P386=""),"",U386+P386)</f>
        <v/>
      </c>
      <c r="W386" s="38">
        <f>IF(OR(T386="",O386="",P386=""),"",T386-O386+P386)</f>
        <v/>
      </c>
    </row>
    <row r="387">
      <c r="A387" s="30" t="n">
        <v>46041</v>
      </c>
      <c r="B387" s="36" t="n">
        <v>6482057991.78516</v>
      </c>
      <c r="C387" s="36" t="n">
        <v>97497657.8894137</v>
      </c>
      <c r="D387" s="36" t="n">
        <v>427030670</v>
      </c>
      <c r="E387" s="36" t="n">
        <v>1716617.49</v>
      </c>
      <c r="F387" s="36" t="n">
        <v>53119</v>
      </c>
      <c r="G387" s="36" t="n">
        <v>0</v>
      </c>
      <c r="H387" s="36" t="n">
        <v>40687</v>
      </c>
      <c r="I387" s="36" t="n">
        <v>56525</v>
      </c>
      <c r="J387" s="36" t="n">
        <v>21469.4981242083</v>
      </c>
      <c r="K387" s="36" t="n">
        <v>12419.83</v>
      </c>
      <c r="L387" s="37" t="n">
        <v>71932.35000000001</v>
      </c>
      <c r="M387" s="36" t="n">
        <v>1716617.49</v>
      </c>
      <c r="N387" s="37" t="n">
        <v>38984999.26255512</v>
      </c>
      <c r="O387" s="37" t="n">
        <v>26462.1688</v>
      </c>
      <c r="P387" s="37" t="n">
        <v>3042.965</v>
      </c>
      <c r="Q387" s="36" t="n">
        <v>72506.25</v>
      </c>
      <c r="R387" s="37" t="n">
        <v>301790762.5154</v>
      </c>
      <c r="S387" s="37" t="n">
        <v>999406830.1788</v>
      </c>
      <c r="T387" s="38">
        <f>IF(OR(R387="",R386=""),"",R387-R386)</f>
        <v/>
      </c>
      <c r="U387" s="38">
        <f>IF(OR(S387="",S386=""),"",S387-S386)</f>
        <v/>
      </c>
      <c r="V387" s="38">
        <f>IF(OR(U387="",P387=""),"",U387+P387)</f>
        <v/>
      </c>
      <c r="W387" s="38">
        <f>IF(OR(T387="",O387="",P387=""),"",T387-O387+P387)</f>
        <v/>
      </c>
    </row>
    <row r="388">
      <c r="A388" s="30" t="n">
        <v>46042</v>
      </c>
      <c r="B388" s="36" t="n">
        <v>9188076020.923679</v>
      </c>
      <c r="C388" s="36" t="n">
        <v>112878901.8879724</v>
      </c>
      <c r="D388" s="36" t="n">
        <v>761916734</v>
      </c>
      <c r="E388" s="36" t="n">
        <v>2517934.18</v>
      </c>
      <c r="F388" s="36" t="n">
        <v>73100</v>
      </c>
      <c r="G388" s="36" t="n">
        <v>0</v>
      </c>
      <c r="H388" s="36" t="n">
        <v>70546</v>
      </c>
      <c r="I388" s="36" t="n">
        <v>91965</v>
      </c>
      <c r="J388" s="36" t="n">
        <v>18372.72732450072</v>
      </c>
      <c r="K388" s="36" t="n">
        <v>0</v>
      </c>
      <c r="L388" s="37" t="n">
        <v>113308.89</v>
      </c>
      <c r="M388" s="36" t="n">
        <v>2517934.18</v>
      </c>
      <c r="N388" s="37" t="n">
        <v>39098741.18255512</v>
      </c>
      <c r="O388" s="37" t="n">
        <v>26446.4191</v>
      </c>
      <c r="P388" s="37" t="n">
        <v>4560.8335</v>
      </c>
      <c r="Q388" s="36" t="n">
        <v>107204.67</v>
      </c>
      <c r="R388" s="37" t="n">
        <v>301745315.0924</v>
      </c>
      <c r="S388" s="37" t="n">
        <v>999402269.3453</v>
      </c>
      <c r="T388" s="38">
        <f>IF(OR(R388="",R387=""),"",R388-R387)</f>
        <v/>
      </c>
      <c r="U388" s="38">
        <f>IF(OR(S388="",S387=""),"",S388-S387)</f>
        <v/>
      </c>
      <c r="V388" s="38">
        <f>IF(OR(U388="",P388=""),"",U388+P388)</f>
        <v/>
      </c>
      <c r="W388" s="38">
        <f>IF(OR(T388="",O388="",P388=""),"",T388-O388+P388)</f>
        <v/>
      </c>
    </row>
    <row r="389">
      <c r="A389" s="30" t="n">
        <v>46043</v>
      </c>
      <c r="B389" s="36" t="n">
        <v>9982605714.064886</v>
      </c>
      <c r="C389" s="36" t="n">
        <v>234922251.6912456</v>
      </c>
      <c r="D389" s="36" t="n">
        <v>983595173</v>
      </c>
      <c r="E389" s="36" t="n">
        <v>2460042.19</v>
      </c>
      <c r="F389" s="36" t="n">
        <v>105016</v>
      </c>
      <c r="G389" s="36" t="n">
        <v>0</v>
      </c>
      <c r="H389" s="36" t="n">
        <v>53892</v>
      </c>
      <c r="I389" s="36" t="n">
        <v>70936</v>
      </c>
      <c r="J389" s="36" t="n">
        <v>12242.98376322578</v>
      </c>
      <c r="K389" s="36" t="n">
        <v>0</v>
      </c>
      <c r="L389" s="37" t="n">
        <v>115805.51</v>
      </c>
      <c r="M389" s="36" t="n">
        <v>2460042.19</v>
      </c>
      <c r="N389" s="37" t="n">
        <v>39213632.08255512</v>
      </c>
      <c r="O389" s="37" t="n">
        <v>26461.826</v>
      </c>
      <c r="P389" s="37" t="n">
        <v>22480.5803</v>
      </c>
      <c r="Q389" s="36" t="n">
        <v>471979.78</v>
      </c>
      <c r="R389" s="37" t="n">
        <v>301621251.7058</v>
      </c>
      <c r="S389" s="37" t="n">
        <v>999379788.765</v>
      </c>
      <c r="T389" s="38">
        <f>IF(OR(R389="",R388=""),"",R389-R388)</f>
        <v/>
      </c>
      <c r="U389" s="38">
        <f>IF(OR(S389="",S388=""),"",S389-S388)</f>
        <v/>
      </c>
      <c r="V389" s="38">
        <f>IF(OR(U389="",P389=""),"",U389+P389)</f>
        <v/>
      </c>
      <c r="W389" s="38">
        <f>IF(OR(T389="",O389="",P389=""),"",T389-O389+P389)</f>
        <v/>
      </c>
    </row>
    <row r="390">
      <c r="A390" s="30" t="n">
        <v>46044</v>
      </c>
      <c r="B390" s="36" t="n">
        <v>6159564903.419538</v>
      </c>
      <c r="C390" s="36" t="n">
        <v>164557618.1458203</v>
      </c>
      <c r="D390" s="36" t="n">
        <v>923819230</v>
      </c>
      <c r="E390" s="36" t="n">
        <v>1420236.26</v>
      </c>
      <c r="F390" s="36" t="n">
        <v>123623</v>
      </c>
      <c r="G390" s="36" t="n">
        <v>0</v>
      </c>
      <c r="H390" s="36" t="n">
        <v>78243</v>
      </c>
      <c r="I390" s="36" t="n">
        <v>90001</v>
      </c>
      <c r="J390" s="36" t="n">
        <v>4702.83474983464</v>
      </c>
      <c r="K390" s="36" t="n">
        <v>12264.84</v>
      </c>
      <c r="L390" s="37" t="n">
        <v>65939.42</v>
      </c>
      <c r="M390" s="36" t="n">
        <v>1420236.26</v>
      </c>
      <c r="N390" s="37" t="n">
        <v>39279106.22255512</v>
      </c>
      <c r="O390" s="37" t="n">
        <v>26448.6614</v>
      </c>
      <c r="P390" s="37" t="n">
        <v>3372.392</v>
      </c>
      <c r="Q390" s="36" t="n">
        <v>73185.96000000001</v>
      </c>
      <c r="R390" s="37" t="n">
        <v>301515136.7682</v>
      </c>
      <c r="S390" s="37" t="n">
        <v>999376416.373</v>
      </c>
      <c r="T390" s="38">
        <f>IF(OR(R390="",R389=""),"",R390-R389)</f>
        <v/>
      </c>
      <c r="U390" s="38">
        <f>IF(OR(S390="",S389=""),"",S390-S389)</f>
        <v/>
      </c>
      <c r="V390" s="38">
        <f>IF(OR(U390="",P390=""),"",U390+P390)</f>
        <v/>
      </c>
      <c r="W390" s="38">
        <f>IF(OR(T390="",O390="",P390=""),"",T390-O390+P390)</f>
        <v/>
      </c>
    </row>
    <row r="391">
      <c r="A391" s="30" t="n">
        <v>46045</v>
      </c>
      <c r="B391" s="36" t="n">
        <v>7039012775.960211</v>
      </c>
      <c r="C391" s="36" t="n">
        <v>102803098.104709</v>
      </c>
      <c r="D391" s="36" t="n">
        <v>879688067</v>
      </c>
      <c r="E391" s="36" t="n">
        <v>1582594.47</v>
      </c>
      <c r="F391" s="36" t="n">
        <v>90287</v>
      </c>
      <c r="G391" s="36" t="n">
        <v>0</v>
      </c>
      <c r="H391" s="36" t="n">
        <v>178658</v>
      </c>
      <c r="I391" s="36" t="n">
        <v>190413</v>
      </c>
      <c r="J391" s="36" t="n">
        <v>8465.658842631186</v>
      </c>
      <c r="K391" s="36" t="n">
        <v>10900.49</v>
      </c>
      <c r="L391" s="37" t="n">
        <v>71996.77</v>
      </c>
      <c r="M391" s="36" t="n">
        <v>1582594.47</v>
      </c>
      <c r="N391" s="37" t="n">
        <v>39351404.04255512</v>
      </c>
      <c r="O391" s="37" t="n">
        <v>26483.302</v>
      </c>
      <c r="P391" s="37" t="n">
        <v>868.2057</v>
      </c>
      <c r="Q391" s="36" t="n">
        <v>18664.25</v>
      </c>
      <c r="R391" s="37" t="n">
        <v>301460972.3201</v>
      </c>
      <c r="S391" s="37" t="n">
        <v>999375548.1673</v>
      </c>
      <c r="T391" s="38">
        <f>IF(OR(R391="",R390=""),"",R391-R390)</f>
        <v/>
      </c>
      <c r="U391" s="38">
        <f>IF(OR(S391="",S390=""),"",S391-S390)</f>
        <v/>
      </c>
      <c r="V391" s="38">
        <f>IF(OR(U391="",P391=""),"",U391+P391)</f>
        <v/>
      </c>
      <c r="W391" s="38">
        <f>IF(OR(T391="",O391="",P391=""),"",T391-O391+P391)</f>
        <v/>
      </c>
    </row>
    <row r="392">
      <c r="A392" s="30" t="n">
        <v>46046</v>
      </c>
      <c r="B392" s="36" t="n">
        <v>1538521975.679082</v>
      </c>
      <c r="C392" s="36" t="n">
        <v>162099185.9727125</v>
      </c>
      <c r="D392" s="36" t="n">
        <v>196876545</v>
      </c>
      <c r="E392" s="36" t="n">
        <v>423383.14</v>
      </c>
      <c r="F392" s="36" t="n">
        <v>31849</v>
      </c>
      <c r="G392" s="36" t="n">
        <v>0</v>
      </c>
      <c r="H392" s="36" t="n">
        <v>33081</v>
      </c>
      <c r="I392" s="36" t="n">
        <v>44628</v>
      </c>
      <c r="J392" s="36" t="n">
        <v>6982.09060798182</v>
      </c>
      <c r="K392" s="36" t="n">
        <v>0</v>
      </c>
      <c r="L392" s="37" t="n">
        <v>18263.09</v>
      </c>
      <c r="M392" s="36" t="n">
        <v>423383.14</v>
      </c>
      <c r="N392" s="37" t="n">
        <v>39369328.12255512</v>
      </c>
      <c r="O392" s="37" t="n">
        <v>26498.5129</v>
      </c>
      <c r="P392" s="37" t="n">
        <v>3397.8179</v>
      </c>
      <c r="Q392" s="36" t="n">
        <v>76828.06</v>
      </c>
      <c r="R392" s="37" t="n">
        <v>301397487.5768</v>
      </c>
      <c r="S392" s="37" t="n">
        <v>999372150.3493</v>
      </c>
      <c r="T392" s="38">
        <f>IF(OR(R392="",R391=""),"",R392-R391)</f>
        <v/>
      </c>
      <c r="U392" s="38">
        <f>IF(OR(S392="",S391=""),"",S392-S391)</f>
        <v/>
      </c>
      <c r="V392" s="38">
        <f>IF(OR(U392="",P392=""),"",U392+P392)</f>
        <v/>
      </c>
      <c r="W392" s="38">
        <f>IF(OR(T392="",O392="",P392=""),"",T392-O392+P392)</f>
        <v/>
      </c>
    </row>
    <row r="393">
      <c r="A393" s="30" t="n">
        <v>46047</v>
      </c>
      <c r="B393" s="36" t="n">
        <v>5888793498.809926</v>
      </c>
      <c r="C393" s="36" t="n">
        <v>99503990.91410288</v>
      </c>
      <c r="D393" s="36" t="n">
        <v>446889136</v>
      </c>
      <c r="E393" s="36" t="n">
        <v>1354082.47</v>
      </c>
      <c r="F393" s="36" t="n">
        <v>90462</v>
      </c>
      <c r="G393" s="36" t="n">
        <v>0</v>
      </c>
      <c r="H393" s="36" t="n">
        <v>36242</v>
      </c>
      <c r="I393" s="36" t="n">
        <v>47236</v>
      </c>
      <c r="J393" s="36" t="n">
        <v>8127.996258586395</v>
      </c>
      <c r="K393" s="36" t="n">
        <v>11678.41</v>
      </c>
      <c r="L393" s="37" t="n">
        <v>60926.13</v>
      </c>
      <c r="M393" s="36" t="n">
        <v>1354082.47</v>
      </c>
      <c r="N393" s="37" t="n">
        <v>39436651.66255512</v>
      </c>
      <c r="O393" s="37" t="n">
        <v>26486.8658</v>
      </c>
      <c r="P393" s="37" t="n">
        <v>1634.8405</v>
      </c>
      <c r="Q393" s="36" t="n">
        <v>38034.56</v>
      </c>
      <c r="R393" s="37" t="n">
        <v>301390137.802</v>
      </c>
      <c r="S393" s="37" t="n">
        <v>999370515.5089</v>
      </c>
      <c r="T393" s="38">
        <f>IF(OR(R393="",R392=""),"",R393-R392)</f>
        <v/>
      </c>
      <c r="U393" s="38">
        <f>IF(OR(S393="",S392=""),"",S393-S392)</f>
        <v/>
      </c>
      <c r="V393" s="38">
        <f>IF(OR(U393="",P393=""),"",U393+P393)</f>
        <v/>
      </c>
      <c r="W393" s="38">
        <f>IF(OR(T393="",O393="",P393=""),"",T393-O393+P393)</f>
        <v/>
      </c>
    </row>
    <row r="394">
      <c r="A394" s="30" t="n">
        <v>46048</v>
      </c>
      <c r="B394" s="36" t="n">
        <v>7276406326.361578</v>
      </c>
      <c r="C394" s="36" t="n">
        <v>136721878.6989177</v>
      </c>
      <c r="D394" s="36" t="n">
        <v>1712251756</v>
      </c>
      <c r="E394" s="36" t="n">
        <v>1686069.29</v>
      </c>
      <c r="F394" s="36" t="n">
        <v>167818</v>
      </c>
      <c r="G394" s="36" t="n">
        <v>0</v>
      </c>
      <c r="H394" s="36" t="n">
        <v>47489</v>
      </c>
      <c r="I394" s="36" t="n">
        <v>57894</v>
      </c>
      <c r="J394" s="36" t="n">
        <v>14122.5887757327</v>
      </c>
      <c r="K394" s="36" t="n">
        <v>11141.66</v>
      </c>
      <c r="L394" s="37" t="n">
        <v>73480.55</v>
      </c>
      <c r="M394" s="36" t="n">
        <v>1686069.29</v>
      </c>
      <c r="N394" s="37" t="n">
        <v>39504435.71255512</v>
      </c>
      <c r="O394" s="37" t="n">
        <v>26515.2185</v>
      </c>
      <c r="P394" s="37" t="n">
        <v>14016.8459</v>
      </c>
      <c r="Q394" s="36" t="n">
        <v>307753.87</v>
      </c>
      <c r="R394" s="37" t="n">
        <v>301321021.0626</v>
      </c>
      <c r="S394" s="37" t="n">
        <v>999356498.663</v>
      </c>
      <c r="T394" s="38">
        <f>IF(OR(R394="",R393=""),"",R394-R393)</f>
        <v/>
      </c>
      <c r="U394" s="38">
        <f>IF(OR(S394="",S393=""),"",S394-S393)</f>
        <v/>
      </c>
      <c r="V394" s="38">
        <f>IF(OR(U394="",P394=""),"",U394+P394)</f>
        <v/>
      </c>
      <c r="W394" s="38">
        <f>IF(OR(T394="",O394="",P394=""),"",T394-O394+P394)</f>
        <v/>
      </c>
    </row>
    <row r="395">
      <c r="A395" s="30" t="n">
        <v>46049</v>
      </c>
      <c r="B395" s="36" t="n">
        <v>6994821645.588618</v>
      </c>
      <c r="C395" s="36" t="n">
        <v>143906955.4111521</v>
      </c>
      <c r="D395" s="36" t="n">
        <v>1790572989</v>
      </c>
      <c r="E395" s="36" t="n">
        <v>1379697.28</v>
      </c>
      <c r="F395" s="36" t="n">
        <v>157727</v>
      </c>
      <c r="G395" s="36" t="n">
        <v>0</v>
      </c>
      <c r="H395" s="36" t="n">
        <v>98349</v>
      </c>
      <c r="I395" s="36" t="n">
        <v>110490</v>
      </c>
      <c r="J395" s="36" t="n">
        <v>32197.88640983001</v>
      </c>
      <c r="K395" s="36" t="n">
        <v>12662.73</v>
      </c>
      <c r="L395" s="37" t="n">
        <v>49506.09</v>
      </c>
      <c r="M395" s="36" t="n">
        <v>1379697.28</v>
      </c>
      <c r="N395" s="37" t="n">
        <v>39552810.69255512</v>
      </c>
      <c r="O395" s="37" t="n">
        <v>26518.0239</v>
      </c>
      <c r="P395" s="37" t="n">
        <v>6036.8612</v>
      </c>
      <c r="Q395" s="36" t="n">
        <v>151425.61</v>
      </c>
      <c r="R395" s="37" t="n">
        <v>301259433.6546</v>
      </c>
      <c r="S395" s="37" t="n">
        <v>999350461.8018</v>
      </c>
      <c r="T395" s="38">
        <f>IF(OR(R395="",R394=""),"",R395-R394)</f>
        <v/>
      </c>
      <c r="U395" s="38">
        <f>IF(OR(S395="",S394=""),"",S395-S394)</f>
        <v/>
      </c>
      <c r="V395" s="38">
        <f>IF(OR(U395="",P395=""),"",U395+P395)</f>
        <v/>
      </c>
      <c r="W395" s="38">
        <f>IF(OR(T395="",O395="",P395=""),"",T395-O395+P395)</f>
        <v/>
      </c>
    </row>
    <row r="396">
      <c r="A396" s="30" t="n">
        <v>46050</v>
      </c>
      <c r="B396" s="36" t="n">
        <v>9302756999.79138</v>
      </c>
      <c r="C396" s="36" t="n">
        <v>263315442.649428</v>
      </c>
      <c r="D396" s="36" t="n">
        <v>2217417396</v>
      </c>
      <c r="E396" s="36" t="n">
        <v>2162127.39</v>
      </c>
      <c r="F396" s="36" t="n">
        <v>224675</v>
      </c>
      <c r="G396" s="36" t="n">
        <v>0</v>
      </c>
      <c r="H396" s="36" t="n">
        <v>141364</v>
      </c>
      <c r="I396" s="36" t="n">
        <v>158693</v>
      </c>
      <c r="J396" s="36" t="n">
        <v>53865.0501487842</v>
      </c>
      <c r="K396" s="36" t="n">
        <v>18081.49</v>
      </c>
      <c r="L396" s="37" t="n">
        <v>65062</v>
      </c>
      <c r="M396" s="36" t="n">
        <v>2162127.39</v>
      </c>
      <c r="N396" s="37" t="n">
        <v>39621747.41255512</v>
      </c>
      <c r="O396" s="37" t="n">
        <v>26544.181</v>
      </c>
      <c r="P396" s="37" t="n">
        <v>2704.7994</v>
      </c>
      <c r="Q396" s="36" t="n">
        <v>83867.72</v>
      </c>
      <c r="R396" s="37" t="n">
        <v>301220631.0797</v>
      </c>
      <c r="S396" s="37" t="n">
        <v>999347757.0024</v>
      </c>
      <c r="T396" s="38">
        <f>IF(OR(R396="",R395=""),"",R396-R395)</f>
        <v/>
      </c>
      <c r="U396" s="38">
        <f>IF(OR(S396="",S395=""),"",S396-S395)</f>
        <v/>
      </c>
      <c r="V396" s="38">
        <f>IF(OR(U396="",P396=""),"",U396+P396)</f>
        <v/>
      </c>
      <c r="W396" s="38">
        <f>IF(OR(T396="",O396="",P396=""),"",T396-O396+P396)</f>
        <v/>
      </c>
    </row>
    <row r="397">
      <c r="A397" s="30" t="n">
        <v>46051</v>
      </c>
      <c r="B397" s="36" t="n">
        <v>14838240751.20342</v>
      </c>
      <c r="C397" s="36" t="n">
        <v>340689375.4497189</v>
      </c>
      <c r="D397" s="36" t="n">
        <v>3321344474</v>
      </c>
      <c r="E397" s="36" t="n">
        <v>3327618.82</v>
      </c>
      <c r="F397" s="36" t="n">
        <v>333506</v>
      </c>
      <c r="G397" s="36" t="n">
        <v>0</v>
      </c>
      <c r="H397" s="36" t="n">
        <v>140577</v>
      </c>
      <c r="I397" s="36" t="n">
        <v>164983</v>
      </c>
      <c r="J397" s="36" t="n">
        <v>62176.31926300623</v>
      </c>
      <c r="K397" s="36" t="n">
        <v>0</v>
      </c>
      <c r="L397" s="37" t="n">
        <v>101752.49</v>
      </c>
      <c r="M397" s="36" t="n">
        <v>3327618.82</v>
      </c>
      <c r="N397" s="37" t="n">
        <v>39720956.13255512</v>
      </c>
      <c r="O397" s="37" t="n">
        <v>26419.8235</v>
      </c>
      <c r="P397" s="37" t="n">
        <v>4190.0082</v>
      </c>
      <c r="Q397" s="36" t="n">
        <v>141523.81</v>
      </c>
      <c r="R397" s="37" t="n">
        <v>301159674.1239</v>
      </c>
      <c r="S397" s="37" t="n">
        <v>999343566.9942</v>
      </c>
      <c r="T397" s="38">
        <f>IF(OR(R397="",R396=""),"",R397-R396)</f>
        <v/>
      </c>
      <c r="U397" s="38">
        <f>IF(OR(S397="",S396=""),"",S397-S396)</f>
        <v/>
      </c>
      <c r="V397" s="38">
        <f>IF(OR(U397="",P397=""),"",U397+P397)</f>
        <v/>
      </c>
      <c r="W397" s="38">
        <f>IF(OR(T397="",O397="",P397=""),"",T397-O397+P397)</f>
        <v/>
      </c>
    </row>
    <row r="398">
      <c r="A398" s="30" t="n">
        <v>46052</v>
      </c>
      <c r="B398" s="36" t="n">
        <v>15570799420.89804</v>
      </c>
      <c r="C398" s="36" t="n">
        <v>361769400.4809437</v>
      </c>
      <c r="D398" s="36" t="n">
        <v>4832638727</v>
      </c>
      <c r="E398" s="36" t="n">
        <v>3218850.03</v>
      </c>
      <c r="F398" s="36" t="n">
        <v>379619</v>
      </c>
      <c r="G398" s="36" t="n">
        <v>0</v>
      </c>
      <c r="H398" s="36" t="n">
        <v>152715</v>
      </c>
      <c r="I398" s="36" t="n">
        <v>177806</v>
      </c>
      <c r="J398" s="36" t="n">
        <v>47573.96236533747</v>
      </c>
      <c r="K398" s="36" t="n">
        <v>0</v>
      </c>
      <c r="L398" s="37" t="n">
        <v>107902.6</v>
      </c>
      <c r="M398" s="36" t="n">
        <v>3218850.03</v>
      </c>
      <c r="N398" s="37" t="n">
        <v>39827527.78255512</v>
      </c>
      <c r="O398" s="37" t="n">
        <v>26587.3493</v>
      </c>
      <c r="P398" s="37" t="n">
        <v>3337.8629</v>
      </c>
      <c r="Q398" s="36" t="n">
        <v>100302.78</v>
      </c>
      <c r="R398" s="37" t="n">
        <v>301069449.5753</v>
      </c>
      <c r="S398" s="37" t="n">
        <v>999340229.1313</v>
      </c>
      <c r="T398" s="38">
        <f>IF(OR(R398="",R397=""),"",R398-R397)</f>
        <v/>
      </c>
      <c r="U398" s="38">
        <f>IF(OR(S398="",S397=""),"",S398-S397)</f>
        <v/>
      </c>
      <c r="V398" s="38">
        <f>IF(OR(U398="",P398=""),"",U398+P398)</f>
        <v/>
      </c>
      <c r="W398" s="38">
        <f>IF(OR(T398="",O398="",P398=""),"",T398-O398+P398)</f>
        <v/>
      </c>
    </row>
    <row r="399">
      <c r="A399" s="30" t="n">
        <v>46053</v>
      </c>
      <c r="B399" s="36" t="n">
        <v>13149014203.5523</v>
      </c>
      <c r="C399" s="36" t="n">
        <v>396755482.6409406</v>
      </c>
      <c r="D399" s="36" t="n">
        <v>453482411</v>
      </c>
      <c r="E399" s="36" t="n">
        <v>3149151.15</v>
      </c>
      <c r="F399" s="36" t="n">
        <v>57081</v>
      </c>
      <c r="G399" s="36" t="n">
        <v>0</v>
      </c>
      <c r="H399" s="36" t="n">
        <v>134186</v>
      </c>
      <c r="I399" s="36" t="n">
        <v>168742</v>
      </c>
      <c r="J399" s="36" t="n">
        <v>59160.6635866111</v>
      </c>
      <c r="K399" s="36" t="n">
        <v>15438.01</v>
      </c>
      <c r="L399" s="37" t="n">
        <v>108741.69</v>
      </c>
      <c r="M399" s="36" t="n">
        <v>3149151.15</v>
      </c>
      <c r="N399" s="37" t="n">
        <v>39936269.47255512</v>
      </c>
      <c r="O399" s="37" t="n">
        <v>26594.4561</v>
      </c>
      <c r="P399" s="37" t="n">
        <v>2098.4135</v>
      </c>
      <c r="Q399" s="36" t="n">
        <v>65128.46</v>
      </c>
      <c r="R399" s="37" t="n">
        <v>300973138.4338</v>
      </c>
      <c r="S399" s="37" t="n">
        <v>999338130.7178</v>
      </c>
      <c r="T399" s="38">
        <f>IF(OR(R399="",R398=""),"",R399-R398)</f>
        <v/>
      </c>
      <c r="U399" s="38">
        <f>IF(OR(S399="",S398=""),"",S399-S398)</f>
        <v/>
      </c>
      <c r="V399" s="38">
        <f>IF(OR(U399="",P399=""),"",U399+P399)</f>
        <v/>
      </c>
      <c r="W399" s="38">
        <f>IF(OR(T399="",O399="",P399=""),"",T399-O399+P399)</f>
        <v/>
      </c>
    </row>
    <row r="400">
      <c r="A400" s="30" t="n">
        <v>46054</v>
      </c>
      <c r="B400" s="36" t="n">
        <v>8265273817.489429</v>
      </c>
      <c r="C400" s="36" t="n">
        <v>387144390.4941535</v>
      </c>
      <c r="D400" s="36" t="n">
        <v>572206943</v>
      </c>
      <c r="E400" s="36" t="n">
        <v>2372679.2</v>
      </c>
      <c r="F400" s="36" t="n">
        <v>72333</v>
      </c>
      <c r="G400" s="36" t="n">
        <v>0</v>
      </c>
      <c r="H400" s="36" t="n">
        <v>87509</v>
      </c>
      <c r="I400" s="36" t="n">
        <v>103743</v>
      </c>
      <c r="J400" s="36" t="n">
        <v>41555.79686956266</v>
      </c>
      <c r="K400" s="36" t="n">
        <v>0</v>
      </c>
      <c r="L400" s="37" t="n">
        <v>78538.12</v>
      </c>
      <c r="M400" s="36" t="n">
        <v>2372679.2</v>
      </c>
      <c r="N400" s="37" t="n">
        <v>40017749.00255512</v>
      </c>
      <c r="O400" s="37" t="n">
        <v>26605.0098</v>
      </c>
      <c r="P400" s="37" t="n">
        <v>3582.5667</v>
      </c>
      <c r="Q400" s="36" t="n">
        <v>115317.45</v>
      </c>
      <c r="R400" s="37" t="n">
        <v>300873175.306</v>
      </c>
      <c r="S400" s="37" t="n">
        <v>999334548.1511</v>
      </c>
      <c r="T400" s="38">
        <f>IF(OR(R400="",R399=""),"",R400-R399)</f>
        <v/>
      </c>
      <c r="U400" s="38">
        <f>IF(OR(S400="",S399=""),"",S400-S399)</f>
        <v/>
      </c>
      <c r="V400" s="38">
        <f>IF(OR(U400="",P400=""),"",U400+P400)</f>
        <v/>
      </c>
      <c r="W400" s="38">
        <f>IF(OR(T400="",O400="",P400=""),"",T400-O400+P400)</f>
        <v/>
      </c>
    </row>
    <row r="401">
      <c r="A401" s="30" t="n">
        <v>46055</v>
      </c>
      <c r="B401" s="36" t="n">
        <v>11872395734.98636</v>
      </c>
      <c r="C401" s="36" t="n">
        <v>232233125.6505673</v>
      </c>
      <c r="D401" s="36" t="n">
        <v>3497482625</v>
      </c>
      <c r="E401" s="36" t="n">
        <v>2661584.87</v>
      </c>
      <c r="F401" s="36" t="n">
        <v>263736</v>
      </c>
      <c r="G401" s="36" t="n">
        <v>0</v>
      </c>
      <c r="H401" s="36" t="n">
        <v>138368</v>
      </c>
      <c r="I401" s="36" t="n">
        <v>165128</v>
      </c>
      <c r="J401" s="36" t="n">
        <v>61219.4633033833</v>
      </c>
      <c r="K401" s="36" t="n">
        <v>15343.14</v>
      </c>
      <c r="L401" s="37" t="n">
        <v>84867.33</v>
      </c>
      <c r="M401" s="36" t="n">
        <v>2661584.87</v>
      </c>
      <c r="N401" s="37" t="n">
        <v>40100277.24255512</v>
      </c>
      <c r="O401" s="37" t="n">
        <v>26595.9414</v>
      </c>
      <c r="P401" s="37" t="n">
        <v>1593.839</v>
      </c>
      <c r="Q401" s="36" t="n">
        <v>49914.26</v>
      </c>
      <c r="R401" s="37" t="n">
        <v>300802436.2421</v>
      </c>
      <c r="S401" s="37" t="n">
        <v>999332954.3121001</v>
      </c>
      <c r="T401" s="38">
        <f>IF(OR(R401="",R400=""),"",R401-R400)</f>
        <v/>
      </c>
      <c r="U401" s="38">
        <f>IF(OR(S401="",S400=""),"",S401-S400)</f>
        <v/>
      </c>
      <c r="V401" s="38">
        <f>IF(OR(U401="",P401=""),"",U401+P401)</f>
        <v/>
      </c>
      <c r="W401" s="38">
        <f>IF(OR(T401="",O401="",P401=""),"",T401-O401+P401)</f>
        <v/>
      </c>
    </row>
    <row r="402">
      <c r="A402" s="30" t="n">
        <v>46056</v>
      </c>
      <c r="B402" s="36" t="n">
        <v>13189884065.18786</v>
      </c>
      <c r="C402" s="36" t="n">
        <v>350035771.9594435</v>
      </c>
      <c r="D402" s="36" t="n">
        <v>2764670755</v>
      </c>
      <c r="E402" s="36" t="n">
        <v>3033451.62</v>
      </c>
      <c r="F402" s="36" t="n">
        <v>218539</v>
      </c>
      <c r="G402" s="36" t="n">
        <v>0</v>
      </c>
      <c r="H402" s="36" t="n">
        <v>169063</v>
      </c>
      <c r="I402" s="36" t="n">
        <v>193813</v>
      </c>
      <c r="J402" s="36" t="n">
        <v>63062.75230017128</v>
      </c>
      <c r="K402" s="36" t="n">
        <v>0</v>
      </c>
      <c r="L402" s="37" t="n">
        <v>87809.98</v>
      </c>
      <c r="M402" s="36" t="n">
        <v>3033451.62</v>
      </c>
      <c r="N402" s="37" t="n">
        <v>40188408.39255512</v>
      </c>
      <c r="O402" s="37" t="n">
        <v>26582.1282</v>
      </c>
      <c r="P402" s="37" t="n">
        <v>5980.5172</v>
      </c>
      <c r="Q402" s="36" t="n">
        <v>201860.4</v>
      </c>
      <c r="R402" s="37" t="n">
        <v>300726244.3148</v>
      </c>
      <c r="S402" s="37" t="n">
        <v>999326973.7948999</v>
      </c>
      <c r="T402" s="38">
        <f>IF(OR(R402="",R401=""),"",R402-R401)</f>
        <v/>
      </c>
      <c r="U402" s="38">
        <f>IF(OR(S402="",S401=""),"",S402-S401)</f>
        <v/>
      </c>
      <c r="V402" s="38">
        <f>IF(OR(U402="",P402=""),"",U402+P402)</f>
        <v/>
      </c>
      <c r="W402" s="38">
        <f>IF(OR(T402="",O402="",P402=""),"",T402-O402+P402)</f>
        <v/>
      </c>
    </row>
    <row r="403">
      <c r="A403" s="30" t="n">
        <v>46057</v>
      </c>
      <c r="B403" s="36" t="n">
        <v>12827897318.42016</v>
      </c>
      <c r="C403" s="36" t="n">
        <v>453738201.2283666</v>
      </c>
      <c r="D403" s="36" t="n">
        <v>2646761457</v>
      </c>
      <c r="E403" s="36" t="n">
        <v>2965474.28</v>
      </c>
      <c r="F403" s="36" t="n">
        <v>171098</v>
      </c>
      <c r="G403" s="36" t="n">
        <v>0</v>
      </c>
      <c r="H403" s="36" t="n">
        <v>246598</v>
      </c>
      <c r="I403" s="36" t="n">
        <v>291087</v>
      </c>
      <c r="J403" s="36" t="n">
        <v>41142.84807417785</v>
      </c>
      <c r="K403" s="36" t="n">
        <v>17261.92</v>
      </c>
      <c r="L403" s="37" t="n">
        <v>87492.3</v>
      </c>
      <c r="M403" s="36" t="n">
        <v>2965474.28</v>
      </c>
      <c r="N403" s="37" t="n">
        <v>40276755.65255512</v>
      </c>
      <c r="O403" s="37" t="n">
        <v>26560.1302</v>
      </c>
      <c r="P403" s="37" t="n">
        <v>3229.2473</v>
      </c>
      <c r="Q403" s="36" t="n">
        <v>106469.9</v>
      </c>
      <c r="R403" s="37" t="n">
        <v>300647164.2615</v>
      </c>
      <c r="S403" s="37" t="n">
        <v>999323744.5476</v>
      </c>
      <c r="T403" s="38">
        <f>IF(OR(R403="",R402=""),"",R403-R402)</f>
        <v/>
      </c>
      <c r="U403" s="38">
        <f>IF(OR(S403="",S402=""),"",S403-S402)</f>
        <v/>
      </c>
      <c r="V403" s="38">
        <f>IF(OR(U403="",P403=""),"",U403+P403)</f>
        <v/>
      </c>
      <c r="W403" s="38">
        <f>IF(OR(T403="",O403="",P403=""),"",T403-O403+P403)</f>
        <v/>
      </c>
    </row>
    <row r="404">
      <c r="A404" s="30" t="n">
        <v>46058</v>
      </c>
      <c r="B404" s="36" t="n">
        <v>25032059603.4143</v>
      </c>
      <c r="C404" s="36" t="n">
        <v>547974937.8035188</v>
      </c>
      <c r="D404" s="36" t="n">
        <v>5176265508</v>
      </c>
      <c r="E404" s="36" t="n">
        <v>5253972.94</v>
      </c>
      <c r="F404" s="36" t="n">
        <v>216625</v>
      </c>
      <c r="G404" s="36" t="n">
        <v>0</v>
      </c>
      <c r="H404" s="36" t="n">
        <v>199828</v>
      </c>
      <c r="I404" s="36" t="n">
        <v>275345</v>
      </c>
      <c r="J404" s="36" t="n">
        <v>66507.0797556285</v>
      </c>
      <c r="K404" s="36" t="n">
        <v>18103.06</v>
      </c>
      <c r="L404" s="37" t="n">
        <v>160754.65</v>
      </c>
      <c r="M404" s="36" t="n">
        <v>5253972.94</v>
      </c>
      <c r="N404" s="37" t="n">
        <v>40448356.07255512</v>
      </c>
      <c r="O404" s="37" t="n">
        <v>26510.6708</v>
      </c>
      <c r="P404" s="37" t="n">
        <v>1549.8525</v>
      </c>
      <c r="Q404" s="36" t="n">
        <v>54654.77</v>
      </c>
      <c r="R404" s="37" t="n">
        <v>300569502.5447</v>
      </c>
      <c r="S404" s="37" t="n">
        <v>999322194.6950999</v>
      </c>
      <c r="T404" s="38">
        <f>IF(OR(R404="",R403=""),"",R404-R403)</f>
        <v/>
      </c>
      <c r="U404" s="38">
        <f>IF(OR(S404="",S403=""),"",S404-S403)</f>
        <v/>
      </c>
      <c r="V404" s="38">
        <f>IF(OR(U404="",P404=""),"",U404+P404)</f>
        <v/>
      </c>
      <c r="W404" s="38">
        <f>IF(OR(T404="",O404="",P404=""),"",T404-O404+P404)</f>
        <v/>
      </c>
    </row>
    <row r="405">
      <c r="A405" s="30" t="n">
        <v>46059</v>
      </c>
      <c r="B405" s="36" t="n">
        <v>17030487775.44909</v>
      </c>
      <c r="C405" s="36" t="n">
        <v>776033702.4876271</v>
      </c>
      <c r="D405" s="36" t="n">
        <v>3076801015</v>
      </c>
      <c r="E405" s="36" t="n">
        <v>3769215.5</v>
      </c>
      <c r="F405" s="36" t="n">
        <v>172812</v>
      </c>
      <c r="G405" s="36" t="n">
        <v>0</v>
      </c>
      <c r="H405" s="36" t="n">
        <v>156172</v>
      </c>
      <c r="I405" s="36" t="n">
        <v>217386</v>
      </c>
      <c r="J405" s="36" t="n">
        <v>77936.4778885682</v>
      </c>
      <c r="K405" s="36" t="n">
        <v>17003.19</v>
      </c>
      <c r="L405" s="37" t="n">
        <v>112041.27</v>
      </c>
      <c r="M405" s="36" t="n">
        <v>3769215.5</v>
      </c>
      <c r="N405" s="37" t="n">
        <v>40549550.85255512</v>
      </c>
      <c r="O405" s="37" t="n">
        <v>26548.2108</v>
      </c>
      <c r="P405" s="37" t="n">
        <v>3523.7199</v>
      </c>
      <c r="Q405" s="36" t="n">
        <v>115183.36</v>
      </c>
      <c r="R405" s="37" t="n">
        <v>300406623.6521</v>
      </c>
      <c r="S405" s="37" t="n">
        <v>999318670.9752001</v>
      </c>
      <c r="T405" s="38">
        <f>IF(OR(R405="",R404=""),"",R405-R404)</f>
        <v/>
      </c>
      <c r="U405" s="38">
        <f>IF(OR(S405="",S404=""),"",S405-S404)</f>
        <v/>
      </c>
      <c r="V405" s="38">
        <f>IF(OR(U405="",P405=""),"",U405+P405)</f>
        <v/>
      </c>
      <c r="W405" s="38">
        <f>IF(OR(T405="",O405="",P405=""),"",T405-O405+P405)</f>
        <v/>
      </c>
    </row>
    <row r="406">
      <c r="A406" s="30" t="n">
        <v>46060</v>
      </c>
      <c r="B406" s="36" t="n">
        <v>6408536297.755502</v>
      </c>
      <c r="C406" s="36" t="n">
        <v>500547523.0196344</v>
      </c>
      <c r="D406" s="36" t="n">
        <v>154001934</v>
      </c>
      <c r="E406" s="36" t="n">
        <v>1633492.24</v>
      </c>
      <c r="F406" s="36" t="n">
        <v>27405</v>
      </c>
      <c r="G406" s="36" t="n">
        <v>0</v>
      </c>
      <c r="H406" s="36" t="n">
        <v>52536</v>
      </c>
      <c r="I406" s="36" t="n">
        <v>73305</v>
      </c>
      <c r="J406" s="36" t="n">
        <v>32618.66486459848</v>
      </c>
      <c r="K406" s="36" t="n">
        <v>0</v>
      </c>
      <c r="L406" s="37" t="n">
        <v>50422.63</v>
      </c>
      <c r="M406" s="36" t="n">
        <v>1633492.24</v>
      </c>
      <c r="N406" s="37" t="n">
        <v>40599246.33255512</v>
      </c>
      <c r="O406" s="37" t="n">
        <v>26532.9696</v>
      </c>
      <c r="P406" s="37" t="n">
        <v>3341.9098</v>
      </c>
      <c r="Q406" s="36" t="n">
        <v>107485.85</v>
      </c>
      <c r="R406" s="37" t="n">
        <v>300454691.4623</v>
      </c>
      <c r="S406" s="37" t="n">
        <v>999315329.0654</v>
      </c>
      <c r="T406" s="38">
        <f>IF(OR(R406="",R405=""),"",R406-R405)</f>
        <v/>
      </c>
      <c r="U406" s="38">
        <f>IF(OR(S406="",S405=""),"",S406-S405)</f>
        <v/>
      </c>
      <c r="V406" s="38">
        <f>IF(OR(U406="",P406=""),"",U406+P406)</f>
        <v/>
      </c>
      <c r="W406" s="38">
        <f>IF(OR(T406="",O406="",P406=""),"",T406-O406+P406)</f>
        <v/>
      </c>
    </row>
    <row r="407">
      <c r="A407" s="30" t="n">
        <v>46061</v>
      </c>
      <c r="B407" s="36" t="n">
        <v>3883966839.461034</v>
      </c>
      <c r="C407" s="36" t="n">
        <v>212027199.4494058</v>
      </c>
      <c r="D407" s="36" t="n">
        <v>268944614</v>
      </c>
      <c r="E407" s="36" t="n">
        <v>1086013.17</v>
      </c>
      <c r="F407" s="36" t="n">
        <v>44669</v>
      </c>
      <c r="G407" s="36" t="n">
        <v>0</v>
      </c>
      <c r="H407" s="36" t="n">
        <v>34527</v>
      </c>
      <c r="I407" s="36" t="n">
        <v>44772</v>
      </c>
      <c r="J407" s="36" t="n">
        <v>19316.06384805416</v>
      </c>
      <c r="K407" s="36" t="n">
        <v>16303.83</v>
      </c>
      <c r="L407" s="37" t="n">
        <v>34080.59</v>
      </c>
      <c r="M407" s="36" t="n">
        <v>1086013.17</v>
      </c>
      <c r="N407" s="37" t="n">
        <v>40632889.54255512</v>
      </c>
      <c r="O407" s="37" t="n">
        <v>26560.8768</v>
      </c>
      <c r="P407" s="37" t="n">
        <v>360.2197</v>
      </c>
      <c r="Q407" s="36" t="n">
        <v>11253.8</v>
      </c>
      <c r="R407" s="37" t="n">
        <v>300416914.0504</v>
      </c>
      <c r="S407" s="37" t="n">
        <v>999314968.8457</v>
      </c>
      <c r="T407" s="38">
        <f>IF(OR(R407="",R406=""),"",R407-R406)</f>
        <v/>
      </c>
      <c r="U407" s="38">
        <f>IF(OR(S407="",S406=""),"",S407-S406)</f>
        <v/>
      </c>
      <c r="V407" s="38">
        <f>IF(OR(U407="",P407=""),"",U407+P407)</f>
        <v/>
      </c>
      <c r="W407" s="38">
        <f>IF(OR(T407="",O407="",P407=""),"",T407-O407+P407)</f>
        <v/>
      </c>
    </row>
    <row r="408">
      <c r="A408" s="30" t="n">
        <v>46062</v>
      </c>
      <c r="B408" s="36" t="n">
        <v>6704986522.014442</v>
      </c>
      <c r="C408" s="36" t="n">
        <v>125754489.9042546</v>
      </c>
      <c r="D408" s="36" t="n">
        <v>1365961363</v>
      </c>
      <c r="E408" s="36" t="n">
        <v>1554684.95</v>
      </c>
      <c r="F408" s="36" t="n">
        <v>92908</v>
      </c>
      <c r="G408" s="36" t="n">
        <v>0</v>
      </c>
      <c r="H408" s="36" t="n">
        <v>45487</v>
      </c>
      <c r="I408" s="36" t="n">
        <v>59450</v>
      </c>
      <c r="J408" s="36" t="n">
        <v>19013.5566594822</v>
      </c>
      <c r="K408" s="36" t="n">
        <v>57569.43</v>
      </c>
      <c r="L408" s="37" t="n">
        <v>48777.95</v>
      </c>
      <c r="M408" s="36" t="n">
        <v>1554684.95</v>
      </c>
      <c r="N408" s="37" t="n">
        <v>40681692.85255512</v>
      </c>
      <c r="O408" s="37" t="n">
        <v>26556.7694</v>
      </c>
      <c r="P408" s="37" t="n">
        <v>2523.6788</v>
      </c>
      <c r="Q408" s="36" t="n">
        <v>81926.19</v>
      </c>
      <c r="R408" s="37" t="n">
        <v>300393023.8967</v>
      </c>
      <c r="S408" s="37" t="n">
        <v>999312445.1669</v>
      </c>
      <c r="T408" s="38">
        <f>IF(OR(R408="",R407=""),"",R408-R407)</f>
        <v/>
      </c>
      <c r="U408" s="38">
        <f>IF(OR(S408="",S407=""),"",S408-S407)</f>
        <v/>
      </c>
      <c r="V408" s="38">
        <f>IF(OR(U408="",P408=""),"",U408+P408)</f>
        <v/>
      </c>
      <c r="W408" s="38">
        <f>IF(OR(T408="",O408="",P408=""),"",T408-O408+P408)</f>
        <v/>
      </c>
    </row>
    <row r="409">
      <c r="A409" s="30" t="n">
        <v>46063</v>
      </c>
      <c r="B409" s="36" t="n">
        <v>6007281932.784794</v>
      </c>
      <c r="C409" s="36" t="n">
        <v>164593649.8316678</v>
      </c>
      <c r="D409" s="36" t="n">
        <v>1122610274</v>
      </c>
      <c r="E409" s="36" t="n">
        <v>1355611.75</v>
      </c>
      <c r="F409" s="36" t="n">
        <v>68321</v>
      </c>
      <c r="G409" s="36" t="n">
        <v>0</v>
      </c>
      <c r="H409" s="36" t="n">
        <v>48654</v>
      </c>
      <c r="I409" s="36" t="n">
        <v>64530</v>
      </c>
      <c r="J409" s="36" t="n">
        <v>15254.10245373004</v>
      </c>
      <c r="K409" s="36" t="n">
        <v>0</v>
      </c>
      <c r="L409" s="37" t="n">
        <v>45261.62</v>
      </c>
      <c r="M409" s="36" t="n">
        <v>1355611.75</v>
      </c>
      <c r="N409" s="37" t="n">
        <v>40726662.00255512</v>
      </c>
      <c r="O409" s="37" t="n">
        <v>26556.0418</v>
      </c>
      <c r="P409" s="37" t="n">
        <v>3101.5672</v>
      </c>
      <c r="Q409" s="36" t="n">
        <v>96281.95</v>
      </c>
      <c r="R409" s="37" t="n">
        <v>300353386.6019</v>
      </c>
      <c r="S409" s="37" t="n">
        <v>999309343.5997</v>
      </c>
      <c r="T409" s="38">
        <f>IF(OR(R409="",R408=""),"",R409-R408)</f>
        <v/>
      </c>
      <c r="U409" s="38">
        <f>IF(OR(S409="",S408=""),"",S409-S408)</f>
        <v/>
      </c>
      <c r="V409" s="38">
        <f>IF(OR(U409="",P409=""),"",U409+P409)</f>
        <v/>
      </c>
      <c r="W409" s="38">
        <f>IF(OR(T409="",O409="",P409=""),"",T409-O409+P409)</f>
        <v/>
      </c>
    </row>
    <row r="410">
      <c r="A410" s="30" t="n">
        <v>46064</v>
      </c>
      <c r="B410" s="36" t="n">
        <v>7430469763.388659</v>
      </c>
      <c r="C410" s="36" t="n">
        <v>167947518.6931946</v>
      </c>
      <c r="D410" s="36" t="n">
        <v>1385208122</v>
      </c>
      <c r="E410" s="36" t="n">
        <v>1718110.73</v>
      </c>
      <c r="F410" s="36" t="n">
        <v>78852</v>
      </c>
      <c r="G410" s="36" t="n">
        <v>0</v>
      </c>
      <c r="H410" s="36" t="n">
        <v>57516</v>
      </c>
      <c r="I410" s="36" t="n">
        <v>74916</v>
      </c>
      <c r="J410" s="36" t="n">
        <v>15193.78369267067</v>
      </c>
      <c r="K410" s="36" t="n">
        <v>0</v>
      </c>
      <c r="L410" s="37" t="n">
        <v>59026.79</v>
      </c>
      <c r="M410" s="36" t="n">
        <v>1718110.73</v>
      </c>
      <c r="N410" s="37" t="n">
        <v>40785342.70255512</v>
      </c>
      <c r="O410" s="37" t="n">
        <v>26553.4689</v>
      </c>
      <c r="P410" s="37" t="n">
        <v>1030.2548</v>
      </c>
      <c r="Q410" s="36" t="n">
        <v>29950.54</v>
      </c>
      <c r="R410" s="37" t="n">
        <v>300319659.8984</v>
      </c>
      <c r="S410" s="37" t="n">
        <v>999308313.3449</v>
      </c>
      <c r="T410" s="38">
        <f>IF(OR(R410="",R409=""),"",R410-R409)</f>
        <v/>
      </c>
      <c r="U410" s="38">
        <f>IF(OR(S410="",S409=""),"",S410-S409)</f>
        <v/>
      </c>
      <c r="V410" s="38">
        <f>IF(OR(U410="",P410=""),"",U410+P410)</f>
        <v/>
      </c>
      <c r="W410" s="38">
        <f>IF(OR(T410="",O410="",P410=""),"",T410-O410+P410)</f>
        <v/>
      </c>
    </row>
    <row r="411">
      <c r="A411" s="30" t="n">
        <v>46065</v>
      </c>
      <c r="B411" s="36" t="n">
        <v>6787217552.172307</v>
      </c>
      <c r="C411" s="36" t="n">
        <v>175609725.2320867</v>
      </c>
      <c r="D411" s="36" t="n">
        <v>1815646192</v>
      </c>
      <c r="E411" s="36" t="n">
        <v>1356448.79</v>
      </c>
      <c r="F411" s="36" t="n">
        <v>85115</v>
      </c>
      <c r="G411" s="36" t="n">
        <v>0</v>
      </c>
      <c r="H411" s="36" t="n">
        <v>45473</v>
      </c>
      <c r="I411" s="36" t="n">
        <v>57119</v>
      </c>
      <c r="J411" s="36" t="n">
        <v>15409.7918693184</v>
      </c>
      <c r="K411" s="36" t="n">
        <v>0</v>
      </c>
      <c r="L411" s="37" t="n">
        <v>44632.74</v>
      </c>
      <c r="M411" s="36" t="n">
        <v>1356448.79</v>
      </c>
      <c r="N411" s="37" t="n">
        <v>40833357.37255512</v>
      </c>
      <c r="O411" s="37" t="n">
        <v>26549.6824</v>
      </c>
      <c r="P411" s="37" t="n">
        <v>1199.9727</v>
      </c>
      <c r="Q411" s="36" t="n">
        <v>35665.59</v>
      </c>
      <c r="R411" s="37" t="n">
        <v>300272043.7802</v>
      </c>
      <c r="S411" s="37" t="n">
        <v>999307113.3721</v>
      </c>
      <c r="T411" s="38">
        <f>IF(OR(R411="",R410=""),"",R411-R410)</f>
        <v/>
      </c>
      <c r="U411" s="38">
        <f>IF(OR(S411="",S410=""),"",S411-S410)</f>
        <v/>
      </c>
      <c r="V411" s="38">
        <f>IF(OR(U411="",P411=""),"",U411+P411)</f>
        <v/>
      </c>
      <c r="W411" s="38">
        <f>IF(OR(T411="",O411="",P411=""),"",T411-O411+P411)</f>
        <v/>
      </c>
    </row>
    <row r="412">
      <c r="A412" s="30" t="n">
        <v>46066</v>
      </c>
      <c r="B412" s="36" t="n">
        <v>5664855886.187126</v>
      </c>
      <c r="C412" s="36" t="n">
        <v>150158667.0753709</v>
      </c>
      <c r="D412" s="36" t="n">
        <v>1463905927</v>
      </c>
      <c r="E412" s="36" t="n">
        <v>1281749.07</v>
      </c>
      <c r="F412" s="36" t="n">
        <v>69237</v>
      </c>
      <c r="G412" s="36" t="n">
        <v>0</v>
      </c>
      <c r="H412" s="36" t="n">
        <v>38899</v>
      </c>
      <c r="I412" s="36" t="n">
        <v>51109</v>
      </c>
      <c r="J412" s="36" t="n">
        <v>16118.89265635431</v>
      </c>
      <c r="K412" s="36" t="n">
        <v>0</v>
      </c>
      <c r="L412" s="37" t="n">
        <v>41194.1</v>
      </c>
      <c r="M412" s="36" t="n">
        <v>1281749.07</v>
      </c>
      <c r="N412" s="37" t="n">
        <v>40871803.47255512</v>
      </c>
      <c r="O412" s="37" t="n">
        <v>26553.7658</v>
      </c>
      <c r="P412" s="37" t="n">
        <v>1215.4388</v>
      </c>
      <c r="Q412" s="36" t="n">
        <v>37425.18</v>
      </c>
      <c r="R412" s="37" t="n">
        <v>300235086.3203</v>
      </c>
      <c r="S412" s="37" t="n">
        <v>999305897.9334</v>
      </c>
      <c r="T412" s="38">
        <f>IF(OR(R412="",R411=""),"",R412-R411)</f>
        <v/>
      </c>
      <c r="U412" s="38">
        <f>IF(OR(S412="",S411=""),"",S412-S411)</f>
        <v/>
      </c>
      <c r="V412" s="38">
        <f>IF(OR(U412="",P412=""),"",U412+P412)</f>
        <v/>
      </c>
      <c r="W412" s="38">
        <f>IF(OR(T412="",O412="",P412=""),"",T412-O412+P412)</f>
        <v/>
      </c>
    </row>
    <row r="413">
      <c r="A413" s="30" t="n">
        <v>46067</v>
      </c>
      <c r="B413" s="36" t="n">
        <v>2682562911.875352</v>
      </c>
      <c r="C413" s="36" t="n">
        <v>122657003.7733092</v>
      </c>
      <c r="D413" s="36" t="n">
        <v>111040475</v>
      </c>
      <c r="E413" s="36" t="n">
        <v>747336.21</v>
      </c>
      <c r="F413" s="36" t="n">
        <v>13404</v>
      </c>
      <c r="G413" s="36" t="n">
        <v>0</v>
      </c>
      <c r="H413" s="36" t="n">
        <v>21045</v>
      </c>
      <c r="I413" s="36" t="n">
        <v>26581</v>
      </c>
      <c r="J413" s="36" t="n">
        <v>10306.41086253439</v>
      </c>
      <c r="K413" s="36" t="n">
        <v>0</v>
      </c>
      <c r="L413" s="37" t="n">
        <v>23679.76</v>
      </c>
      <c r="M413" s="36" t="n">
        <v>747336.21</v>
      </c>
      <c r="N413" s="37" t="n">
        <v>40895558.22255512</v>
      </c>
      <c r="O413" s="37" t="n">
        <v>26554.7756</v>
      </c>
      <c r="P413" s="37" t="n">
        <v>888.9465</v>
      </c>
      <c r="Q413" s="36" t="n">
        <v>28030.26</v>
      </c>
      <c r="R413" s="37" t="n">
        <v>300207990.9245</v>
      </c>
      <c r="S413" s="37" t="n">
        <v>999305008.9868</v>
      </c>
      <c r="T413" s="38">
        <f>IF(OR(R413="",R412=""),"",R413-R412)</f>
        <v/>
      </c>
      <c r="U413" s="38">
        <f>IF(OR(S413="",S412=""),"",S413-S412)</f>
        <v/>
      </c>
      <c r="V413" s="38">
        <f>IF(OR(U413="",P413=""),"",U413+P413)</f>
        <v/>
      </c>
      <c r="W413" s="38">
        <f>IF(OR(T413="",O413="",P413=""),"",T413-O413+P413)</f>
        <v/>
      </c>
    </row>
    <row r="414">
      <c r="A414" s="30" t="n">
        <v>46068</v>
      </c>
      <c r="B414" s="36" t="n">
        <v>3632800295.314399</v>
      </c>
      <c r="C414" s="36" t="n">
        <v>61531042.31230836</v>
      </c>
      <c r="D414" s="36" t="n">
        <v>261058231</v>
      </c>
      <c r="E414" s="36" t="n">
        <v>977878.9</v>
      </c>
      <c r="F414" s="36" t="n">
        <v>26345</v>
      </c>
      <c r="G414" s="36" t="n">
        <v>0</v>
      </c>
      <c r="H414" s="36" t="n">
        <v>21614</v>
      </c>
      <c r="I414" s="36" t="n">
        <v>28320</v>
      </c>
      <c r="J414" s="36" t="n">
        <v>11030.80301393154</v>
      </c>
      <c r="K414" s="36" t="n">
        <v>20665.87</v>
      </c>
      <c r="L414" s="37" t="n">
        <v>31482</v>
      </c>
      <c r="M414" s="36" t="n">
        <v>977878.9</v>
      </c>
      <c r="N414" s="37" t="n">
        <v>40926983.47255512</v>
      </c>
      <c r="O414" s="37" t="n">
        <v>26531.3212</v>
      </c>
      <c r="P414" s="37" t="n">
        <v>194.0083</v>
      </c>
      <c r="Q414" s="36" t="n">
        <v>6156.27</v>
      </c>
      <c r="R414" s="37" t="n">
        <v>300196276.8365</v>
      </c>
      <c r="S414" s="37" t="n">
        <v>999304814.9786</v>
      </c>
      <c r="T414" s="38">
        <f>IF(OR(R414="",R413=""),"",R414-R413)</f>
        <v/>
      </c>
      <c r="U414" s="38">
        <f>IF(OR(S414="",S413=""),"",S414-S413)</f>
        <v/>
      </c>
      <c r="V414" s="38">
        <f>IF(OR(U414="",P414=""),"",U414+P414)</f>
        <v/>
      </c>
      <c r="W414" s="38">
        <f>IF(OR(T414="",O414="",P414=""),"",T414-O414+P414)</f>
        <v/>
      </c>
    </row>
    <row r="415">
      <c r="A415" s="30" t="n">
        <v>46069</v>
      </c>
      <c r="B415" s="36" t="n">
        <v>3695209959.546251</v>
      </c>
      <c r="C415" s="36" t="n">
        <v>69538789.29223815</v>
      </c>
      <c r="D415" s="36" t="n">
        <v>440684404</v>
      </c>
      <c r="E415" s="36" t="n">
        <v>853035.8</v>
      </c>
      <c r="F415" s="36" t="n">
        <v>35378</v>
      </c>
      <c r="G415" s="36" t="n">
        <v>0</v>
      </c>
      <c r="H415" s="36" t="n">
        <v>24203</v>
      </c>
      <c r="I415" s="36" t="n">
        <v>32589</v>
      </c>
      <c r="J415" s="36" t="n">
        <v>8111.151967248759</v>
      </c>
      <c r="K415" s="36" t="n">
        <v>0</v>
      </c>
      <c r="L415" s="37" t="n">
        <v>28342.14</v>
      </c>
      <c r="M415" s="36" t="n">
        <v>853035.8</v>
      </c>
      <c r="N415" s="37" t="n">
        <v>40954673.44255512</v>
      </c>
      <c r="O415" s="37" t="n">
        <v>26531.7321</v>
      </c>
      <c r="P415" s="37" t="n">
        <v>1310.5528</v>
      </c>
      <c r="Q415" s="36" t="n">
        <v>40190.07</v>
      </c>
      <c r="R415" s="37" t="n">
        <v>300175771.6211</v>
      </c>
      <c r="S415" s="37" t="n">
        <v>999303504.4258</v>
      </c>
      <c r="T415" s="38">
        <f>IF(OR(R415="",R414=""),"",R415-R414)</f>
        <v/>
      </c>
      <c r="U415" s="38">
        <f>IF(OR(S415="",S414=""),"",S415-S414)</f>
        <v/>
      </c>
      <c r="V415" s="38">
        <f>IF(OR(U415="",P415=""),"",U415+P415)</f>
        <v/>
      </c>
      <c r="W415" s="38">
        <f>IF(OR(T415="",O415="",P415=""),"",T415-O415+P415)</f>
        <v/>
      </c>
    </row>
    <row r="416">
      <c r="A416" s="30" t="n">
        <v>46070</v>
      </c>
      <c r="B416" s="36" t="n">
        <v>5567237462.984341</v>
      </c>
      <c r="C416" s="36" t="n">
        <v>79147425.93783803</v>
      </c>
      <c r="D416" s="36" t="n">
        <v>1351983967</v>
      </c>
      <c r="E416" s="36" t="n">
        <v>1341596.32</v>
      </c>
      <c r="F416" s="36" t="n">
        <v>78376</v>
      </c>
      <c r="G416" s="36" t="n">
        <v>0</v>
      </c>
      <c r="H416" s="36" t="n">
        <v>31978</v>
      </c>
      <c r="I416" s="36" t="n">
        <v>41760</v>
      </c>
      <c r="J416" s="36" t="n">
        <v>7662.966195508263</v>
      </c>
      <c r="K416" s="36" t="n">
        <v>0</v>
      </c>
      <c r="L416" s="37" t="n">
        <v>44826.66</v>
      </c>
      <c r="M416" s="36" t="n">
        <v>1341596.32</v>
      </c>
      <c r="N416" s="37" t="n">
        <v>41000108.94255512</v>
      </c>
      <c r="O416" s="37" t="n">
        <v>26528.882</v>
      </c>
      <c r="P416" s="37" t="n">
        <v>248.4681</v>
      </c>
      <c r="Q416" s="36" t="n">
        <v>7760.16</v>
      </c>
      <c r="R416" s="37" t="n">
        <v>300160078.1793</v>
      </c>
      <c r="S416" s="37" t="n">
        <v>999303255.9577</v>
      </c>
      <c r="T416" s="38">
        <f>IF(OR(R416="",R415=""),"",R416-R415)</f>
        <v/>
      </c>
      <c r="U416" s="38">
        <f>IF(OR(S416="",S415=""),"",S416-S415)</f>
        <v/>
      </c>
      <c r="V416" s="38">
        <f>IF(OR(U416="",P416=""),"",U416+P416)</f>
        <v/>
      </c>
      <c r="W416" s="38">
        <f>IF(OR(T416="",O416="",P416=""),"",T416-O416+P416)</f>
        <v/>
      </c>
    </row>
    <row r="417">
      <c r="A417" s="30" t="n">
        <v>46071</v>
      </c>
      <c r="B417" s="36" t="n">
        <v>4825047475.552173</v>
      </c>
      <c r="C417" s="36" t="n">
        <v>99307509.31900755</v>
      </c>
      <c r="D417" s="36" t="n">
        <v>870609221</v>
      </c>
      <c r="E417" s="36" t="n">
        <v>1175345.66</v>
      </c>
      <c r="F417" s="36" t="n">
        <v>65773</v>
      </c>
      <c r="G417" s="36" t="n">
        <v>0</v>
      </c>
      <c r="H417" s="36" t="n">
        <v>29790</v>
      </c>
      <c r="I417" s="36" t="n">
        <v>38248</v>
      </c>
      <c r="J417" s="36" t="n">
        <v>7320.733752542559</v>
      </c>
      <c r="K417" s="36" t="n">
        <v>0</v>
      </c>
      <c r="L417" s="37" t="n">
        <v>40585.19</v>
      </c>
      <c r="M417" s="36" t="n">
        <v>1175345.66</v>
      </c>
      <c r="N417" s="37" t="n">
        <v>41040714.81255512</v>
      </c>
      <c r="O417" s="37" t="n">
        <v>26542.9805</v>
      </c>
      <c r="P417" s="37" t="n">
        <v>812.8348999999999</v>
      </c>
      <c r="Q417" s="36" t="n">
        <v>23840.04</v>
      </c>
      <c r="R417" s="37" t="n">
        <v>300126073.9639</v>
      </c>
      <c r="S417" s="37" t="n">
        <v>999302443.1227</v>
      </c>
      <c r="T417" s="38">
        <f>IF(OR(R417="",R416=""),"",R417-R416)</f>
        <v/>
      </c>
      <c r="U417" s="38">
        <f>IF(OR(S417="",S416=""),"",S417-S416)</f>
        <v/>
      </c>
      <c r="V417" s="38">
        <f>IF(OR(U417="",P417=""),"",U417+P417)</f>
        <v/>
      </c>
      <c r="W417" s="38">
        <f>IF(OR(T417="",O417="",P417=""),"",T417-O417+P417)</f>
        <v/>
      </c>
    </row>
    <row r="418">
      <c r="A418" s="30" t="n">
        <v>46072</v>
      </c>
      <c r="B418" s="36" t="n">
        <v>4410959240.26554</v>
      </c>
      <c r="C418" s="36" t="n">
        <v>92836600.12722105</v>
      </c>
      <c r="D418" s="36" t="n">
        <v>1019252814</v>
      </c>
      <c r="E418" s="36" t="n">
        <v>1031950.35</v>
      </c>
      <c r="F418" s="36" t="n">
        <v>68608</v>
      </c>
      <c r="G418" s="36" t="n">
        <v>0</v>
      </c>
      <c r="H418" s="36" t="n">
        <v>32343</v>
      </c>
      <c r="I418" s="36" t="n">
        <v>43158</v>
      </c>
      <c r="J418" s="36" t="n">
        <v>7404.647963659209</v>
      </c>
      <c r="K418" s="36" t="n">
        <v>0</v>
      </c>
      <c r="L418" s="37" t="n">
        <v>36230.94</v>
      </c>
      <c r="M418" s="36" t="n">
        <v>1031950.35</v>
      </c>
      <c r="N418" s="37" t="n">
        <v>41076661.15255512</v>
      </c>
      <c r="O418" s="37" t="n">
        <v>26479.5633</v>
      </c>
      <c r="P418" s="37" t="n">
        <v>1034.9876</v>
      </c>
      <c r="Q418" s="36" t="n">
        <v>29335.69</v>
      </c>
      <c r="R418" s="37" t="n">
        <v>300096607.1573</v>
      </c>
      <c r="S418" s="37" t="n">
        <v>999301408.1352</v>
      </c>
      <c r="T418" s="38">
        <f>IF(OR(R418="",R417=""),"",R418-R417)</f>
        <v/>
      </c>
      <c r="U418" s="38">
        <f>IF(OR(S418="",S417=""),"",S418-S417)</f>
        <v/>
      </c>
      <c r="V418" s="38">
        <f>IF(OR(U418="",P418=""),"",U418+P418)</f>
        <v/>
      </c>
      <c r="W418" s="38">
        <f>IF(OR(T418="",O418="",P418=""),"",T418-O418+P418)</f>
        <v/>
      </c>
    </row>
    <row r="419">
      <c r="A419" s="30" t="n">
        <v>46073</v>
      </c>
      <c r="B419" s="36" t="n">
        <v>6144228542.306504</v>
      </c>
      <c r="C419" s="36" t="n">
        <v>94568234.07836556</v>
      </c>
      <c r="D419" s="36" t="n">
        <v>1601645273</v>
      </c>
      <c r="E419" s="36" t="n">
        <v>1339275.29</v>
      </c>
      <c r="F419" s="36" t="n">
        <v>99315</v>
      </c>
      <c r="G419" s="36" t="n">
        <v>0</v>
      </c>
      <c r="H419" s="36" t="n">
        <v>35356</v>
      </c>
      <c r="I419" s="36" t="n">
        <v>43689</v>
      </c>
      <c r="J419" s="36" t="n">
        <v>8324.810073459781</v>
      </c>
      <c r="K419" s="36" t="n">
        <v>0</v>
      </c>
      <c r="L419" s="37" t="n">
        <v>45326.62</v>
      </c>
      <c r="M419" s="36" t="n">
        <v>1339275.29</v>
      </c>
      <c r="N419" s="37" t="n">
        <v>41121642.85255512</v>
      </c>
      <c r="O419" s="37" t="n">
        <v>26501.8341</v>
      </c>
      <c r="P419" s="37" t="n">
        <v>752.1996</v>
      </c>
      <c r="Q419" s="36" t="n">
        <v>21994.69</v>
      </c>
      <c r="R419" s="37" t="n">
        <v>300072082.7191</v>
      </c>
      <c r="S419" s="37" t="n">
        <v>999300655.9356</v>
      </c>
      <c r="T419" s="38">
        <f>IF(OR(R419="",R418=""),"",R419-R418)</f>
        <v/>
      </c>
      <c r="U419" s="38">
        <f>IF(OR(S419="",S418=""),"",S419-S418)</f>
        <v/>
      </c>
      <c r="V419" s="38">
        <f>IF(OR(U419="",P419=""),"",U419+P419)</f>
        <v/>
      </c>
      <c r="W419" s="38">
        <f>IF(OR(T419="",O419="",P419=""),"",T419-O419+P419)</f>
        <v/>
      </c>
    </row>
    <row r="420">
      <c r="A420" s="30" t="n">
        <v>46074</v>
      </c>
      <c r="B420" s="36" t="n">
        <v>1745337612.76178</v>
      </c>
      <c r="C420" s="36" t="n">
        <v>102243088.2558497</v>
      </c>
      <c r="D420" s="36" t="n">
        <v>212474514</v>
      </c>
      <c r="E420" s="36" t="n">
        <v>491477.95</v>
      </c>
      <c r="F420" s="36" t="n">
        <v>31552</v>
      </c>
      <c r="G420" s="36" t="n">
        <v>0</v>
      </c>
      <c r="H420" s="36" t="n">
        <v>16539</v>
      </c>
      <c r="I420" s="36" t="n">
        <v>21946</v>
      </c>
      <c r="J420" s="36" t="n">
        <v>3073.85166042161</v>
      </c>
      <c r="K420" s="36" t="n">
        <v>0</v>
      </c>
      <c r="L420" s="37" t="n">
        <v>16358.16</v>
      </c>
      <c r="M420" s="36" t="n">
        <v>491477.95</v>
      </c>
      <c r="N420" s="37" t="n">
        <v>41139013.93255512</v>
      </c>
      <c r="O420" s="37" t="n">
        <v>26487.1078</v>
      </c>
      <c r="P420" s="37" t="n">
        <v>384.7817</v>
      </c>
      <c r="Q420" s="36" t="n">
        <v>11682.55</v>
      </c>
      <c r="R420" s="37" t="n">
        <v>300038876.2002</v>
      </c>
      <c r="S420" s="37" t="n">
        <v>999300271.1539</v>
      </c>
      <c r="T420" s="38">
        <f>IF(OR(R420="",R419=""),"",R420-R419)</f>
        <v/>
      </c>
      <c r="U420" s="38">
        <f>IF(OR(S420="",S419=""),"",S420-S419)</f>
        <v/>
      </c>
      <c r="V420" s="38">
        <f>IF(OR(U420="",P420=""),"",U420+P420)</f>
        <v/>
      </c>
      <c r="W420" s="38">
        <f>IF(OR(T420="",O420="",P420=""),"",T420-O420+P420)</f>
        <v/>
      </c>
    </row>
    <row r="421">
      <c r="A421" s="30" t="n">
        <v>46075</v>
      </c>
      <c r="B421" s="36" t="n">
        <v>1888029726.20106</v>
      </c>
      <c r="C421" s="36" t="n">
        <v>43137204.32301202</v>
      </c>
      <c r="D421" s="36" t="n">
        <v>339005979</v>
      </c>
      <c r="E421" s="36" t="n">
        <v>506060.04</v>
      </c>
      <c r="F421" s="36" t="n">
        <v>45393</v>
      </c>
      <c r="G421" s="36" t="n">
        <v>0</v>
      </c>
      <c r="H421" s="36" t="n">
        <v>18858</v>
      </c>
      <c r="I421" s="36" t="n">
        <v>24651</v>
      </c>
      <c r="J421" s="36" t="n">
        <v>2430.548840088878</v>
      </c>
      <c r="K421" s="36" t="n">
        <v>0</v>
      </c>
      <c r="L421" s="37" t="n">
        <v>17276.29</v>
      </c>
      <c r="M421" s="36" t="n">
        <v>506060.04</v>
      </c>
      <c r="N421" s="37" t="n">
        <v>41155757.23255512</v>
      </c>
      <c r="O421" s="37" t="n">
        <v>26482.0784</v>
      </c>
      <c r="P421" s="37" t="n">
        <v>130.4432</v>
      </c>
      <c r="Q421" s="36" t="n">
        <v>3869.92</v>
      </c>
      <c r="R421" s="37" t="n">
        <v>300033530.9534</v>
      </c>
      <c r="S421" s="37" t="n">
        <v>999300140.7107</v>
      </c>
      <c r="T421" s="38">
        <f>IF(OR(R421="",R420=""),"",R421-R420)</f>
        <v/>
      </c>
      <c r="U421" s="38">
        <f>IF(OR(S421="",S420=""),"",S421-S420)</f>
        <v/>
      </c>
      <c r="V421" s="38">
        <f>IF(OR(U421="",P421=""),"",U421+P421)</f>
        <v/>
      </c>
      <c r="W421" s="38">
        <f>IF(OR(T421="",O421="",P421=""),"",T421-O421+P421)</f>
        <v/>
      </c>
    </row>
    <row r="422">
      <c r="A422" s="30" t="n">
        <v>46076</v>
      </c>
      <c r="B422" s="36" t="n">
        <v>6775562917.959848</v>
      </c>
      <c r="C422" s="36" t="n">
        <v>48044153.39350587</v>
      </c>
      <c r="D422" s="36" t="n">
        <v>1332197351</v>
      </c>
      <c r="E422" s="36" t="n">
        <v>1728909.29</v>
      </c>
      <c r="F422" s="36" t="n">
        <v>98132</v>
      </c>
      <c r="G422" s="36" t="n">
        <v>0</v>
      </c>
      <c r="H422" s="36" t="n">
        <v>56747</v>
      </c>
      <c r="I422" s="36" t="n">
        <v>74281</v>
      </c>
      <c r="J422" s="36" t="n">
        <v>26950.55076667941</v>
      </c>
      <c r="K422" s="36" t="n">
        <v>14484.15</v>
      </c>
      <c r="L422" s="37" t="n">
        <v>63679.71</v>
      </c>
      <c r="M422" s="36" t="n">
        <v>1728909.29</v>
      </c>
      <c r="N422" s="37" t="n">
        <v>41218957.01255512</v>
      </c>
      <c r="O422" s="37" t="n">
        <v>26485.1915</v>
      </c>
      <c r="P422" s="37" t="n">
        <v>607.4312</v>
      </c>
      <c r="Q422" s="36" t="n">
        <v>17498.88</v>
      </c>
      <c r="R422" s="37" t="n">
        <v>300028335.5945</v>
      </c>
      <c r="S422" s="37" t="n">
        <v>999299533.2795</v>
      </c>
      <c r="T422" s="38">
        <f>IF(OR(R422="",R421=""),"",R422-R421)</f>
        <v/>
      </c>
      <c r="U422" s="38">
        <f>IF(OR(S422="",S421=""),"",S422-S421)</f>
        <v/>
      </c>
      <c r="V422" s="38">
        <f>IF(OR(U422="",P422=""),"",U422+P422)</f>
        <v/>
      </c>
      <c r="W422" s="38">
        <f>IF(OR(T422="",O422="",P422=""),"",T422-O422+P422)</f>
        <v/>
      </c>
    </row>
    <row r="423">
      <c r="A423" s="30" t="n">
        <v>46077</v>
      </c>
      <c r="B423" s="36" t="n">
        <v>6440269768.074531</v>
      </c>
      <c r="C423" s="36" t="n">
        <v>180534362.4078595</v>
      </c>
      <c r="D423" s="36" t="n">
        <v>1546025613</v>
      </c>
      <c r="E423" s="36" t="n">
        <v>1524885.95</v>
      </c>
      <c r="F423" s="36" t="n">
        <v>93806</v>
      </c>
      <c r="G423" s="36" t="n">
        <v>0</v>
      </c>
      <c r="H423" s="36" t="n">
        <v>38833</v>
      </c>
      <c r="I423" s="36" t="n">
        <v>56014</v>
      </c>
      <c r="J423" s="36" t="n">
        <v>8364.22371656235</v>
      </c>
      <c r="K423" s="36" t="n">
        <v>0</v>
      </c>
      <c r="L423" s="37" t="n">
        <v>57394.04</v>
      </c>
      <c r="M423" s="36" t="n">
        <v>1524885.95</v>
      </c>
      <c r="N423" s="37" t="n">
        <v>41276918.64255512</v>
      </c>
      <c r="O423" s="37" t="n">
        <v>26481.1904</v>
      </c>
      <c r="P423" s="37" t="n">
        <v>1147.6151</v>
      </c>
      <c r="Q423" s="36" t="n">
        <v>30364.75</v>
      </c>
      <c r="R423" s="37" t="n">
        <v>299976135.0744</v>
      </c>
      <c r="S423" s="37" t="n">
        <v>999298385.6644</v>
      </c>
      <c r="T423" s="38">
        <f>IF(OR(R423="",R422=""),"",R423-R422)</f>
        <v/>
      </c>
      <c r="U423" s="38">
        <f>IF(OR(S423="",S422=""),"",S423-S422)</f>
        <v/>
      </c>
      <c r="V423" s="38">
        <f>IF(OR(U423="",P423=""),"",U423+P423)</f>
        <v/>
      </c>
      <c r="W423" s="38">
        <f>IF(OR(T423="",O423="",P423=""),"",T423-O423+P423)</f>
        <v/>
      </c>
    </row>
    <row r="424">
      <c r="A424" s="30" t="n">
        <v>46078</v>
      </c>
      <c r="B424" s="36" t="n">
        <v>8695500006.842571</v>
      </c>
      <c r="C424" s="36" t="n">
        <v>132338251.4473771</v>
      </c>
      <c r="D424" s="36" t="n">
        <v>1941630139</v>
      </c>
      <c r="E424" s="36" t="n">
        <v>2068588.58</v>
      </c>
      <c r="F424" s="36" t="n">
        <v>112481</v>
      </c>
      <c r="G424" s="36" t="n">
        <v>0</v>
      </c>
      <c r="H424" s="36" t="n">
        <v>45209</v>
      </c>
      <c r="I424" s="36" t="n">
        <v>63522</v>
      </c>
      <c r="J424" s="36" t="n">
        <v>10130.15959359432</v>
      </c>
      <c r="K424" s="36" t="n">
        <v>13599.66</v>
      </c>
      <c r="L424" s="37" t="n">
        <v>73876</v>
      </c>
      <c r="M424" s="36" t="n">
        <v>2068588.58</v>
      </c>
      <c r="N424" s="37" t="n">
        <v>41351763.56255512</v>
      </c>
      <c r="O424" s="37" t="n">
        <v>26474.0927</v>
      </c>
      <c r="P424" s="37" t="n">
        <v>295.225</v>
      </c>
      <c r="Q424" s="36" t="n">
        <v>8046.8</v>
      </c>
      <c r="R424" s="37" t="n">
        <v>299930019.1292</v>
      </c>
      <c r="S424" s="37" t="n">
        <v>999298090.4394</v>
      </c>
      <c r="T424" s="38">
        <f>IF(OR(R424="",R423=""),"",R424-R423)</f>
        <v/>
      </c>
      <c r="U424" s="38">
        <f>IF(OR(S424="",S423=""),"",S424-S423)</f>
        <v/>
      </c>
      <c r="V424" s="38">
        <f>IF(OR(U424="",P424=""),"",U424+P424)</f>
        <v/>
      </c>
      <c r="W424" s="38">
        <f>IF(OR(T424="",O424="",P424=""),"",T424-O424+P424)</f>
        <v/>
      </c>
    </row>
    <row r="425">
      <c r="A425" s="30" t="n">
        <v>46079</v>
      </c>
      <c r="B425" s="36" t="n">
        <v>6331389226.6763</v>
      </c>
      <c r="C425" s="36" t="n">
        <v>183375789.9497478</v>
      </c>
      <c r="D425" s="36" t="n">
        <v>1710116033</v>
      </c>
      <c r="E425" s="36" t="n">
        <v>1384956.11</v>
      </c>
      <c r="F425" s="36" t="n">
        <v>97006</v>
      </c>
      <c r="G425" s="36" t="n">
        <v>0</v>
      </c>
      <c r="H425" s="36" t="n">
        <v>33766</v>
      </c>
      <c r="I425" s="36" t="n">
        <v>43110</v>
      </c>
      <c r="J425" s="36" t="n">
        <v>12597.55184442779</v>
      </c>
      <c r="K425" s="36" t="n">
        <v>0</v>
      </c>
      <c r="L425" s="37" t="n">
        <v>48734.85</v>
      </c>
      <c r="M425" s="36" t="n">
        <v>1384956.11</v>
      </c>
      <c r="N425" s="37" t="n">
        <v>41399624.50255512</v>
      </c>
      <c r="O425" s="37" t="n">
        <v>26479.4029</v>
      </c>
      <c r="P425" s="37" t="n">
        <v>1540.2927</v>
      </c>
      <c r="Q425" s="36" t="n">
        <v>43366.94</v>
      </c>
      <c r="R425" s="37" t="n">
        <v>299865788.12</v>
      </c>
      <c r="S425" s="37" t="n">
        <v>999296550.1467</v>
      </c>
      <c r="T425" s="38">
        <f>IF(OR(R425="",R424=""),"",R425-R424)</f>
        <v/>
      </c>
      <c r="U425" s="38">
        <f>IF(OR(S425="",S424=""),"",S425-S424)</f>
        <v/>
      </c>
      <c r="V425" s="38">
        <f>IF(OR(U425="",P425=""),"",U425+P425)</f>
        <v/>
      </c>
      <c r="W425" s="38">
        <f>IF(OR(T425="",O425="",P425=""),"",T425-O425+P425)</f>
        <v/>
      </c>
    </row>
    <row r="426">
      <c r="A426" s="30" t="n">
        <v>46080</v>
      </c>
      <c r="B426" s="36" t="n">
        <v>5598783248.547049</v>
      </c>
      <c r="C426" s="36" t="n">
        <v>105931308.5572196</v>
      </c>
      <c r="D426" s="36" t="n">
        <v>1488138246</v>
      </c>
      <c r="E426" s="36" t="n">
        <v>1241030.22</v>
      </c>
      <c r="F426" s="36" t="n">
        <v>112685</v>
      </c>
      <c r="G426" s="36" t="n">
        <v>0</v>
      </c>
      <c r="H426" s="36" t="n">
        <v>41532</v>
      </c>
      <c r="I426" s="36" t="n">
        <v>52593</v>
      </c>
      <c r="J426" s="36" t="n">
        <v>10600.93229495406</v>
      </c>
      <c r="K426" s="36" t="n">
        <v>0</v>
      </c>
      <c r="L426" s="37" t="n">
        <v>43891.24</v>
      </c>
      <c r="M426" s="36" t="n">
        <v>1241030.22</v>
      </c>
      <c r="N426" s="37" t="n">
        <v>41442853.14255512</v>
      </c>
      <c r="O426" s="37" t="n">
        <v>26477.5351</v>
      </c>
      <c r="P426" s="37" t="n">
        <v>942.6275000000001</v>
      </c>
      <c r="Q426" s="36" t="n">
        <v>26518.47</v>
      </c>
      <c r="R426" s="37" t="n">
        <v>299829140.2874</v>
      </c>
      <c r="S426" s="37" t="n">
        <v>999295607.5192</v>
      </c>
      <c r="T426" s="38">
        <f>IF(OR(R426="",R425=""),"",R426-R425)</f>
        <v/>
      </c>
      <c r="U426" s="38">
        <f>IF(OR(S426="",S425=""),"",S426-S425)</f>
        <v/>
      </c>
      <c r="V426" s="38">
        <f>IF(OR(U426="",P426=""),"",U426+P426)</f>
        <v/>
      </c>
      <c r="W426" s="38">
        <f>IF(OR(T426="",O426="",P426=""),"",T426-O426+P426)</f>
        <v/>
      </c>
    </row>
    <row r="427">
      <c r="A427" s="30" t="n">
        <v>46081</v>
      </c>
      <c r="B427" s="36" t="n">
        <v>6620855077.376122</v>
      </c>
      <c r="C427" s="36" t="n">
        <v>122529432.6806771</v>
      </c>
      <c r="D427" s="36" t="n">
        <v>803029432</v>
      </c>
      <c r="E427" s="36" t="n">
        <v>1816154.84</v>
      </c>
      <c r="F427" s="36" t="n">
        <v>136651</v>
      </c>
      <c r="G427" s="36" t="n">
        <v>0</v>
      </c>
      <c r="H427" s="36" t="n">
        <v>62751</v>
      </c>
      <c r="I427" s="36" t="n">
        <v>80534</v>
      </c>
      <c r="J427" s="36" t="n">
        <v>16631.4832218985</v>
      </c>
      <c r="K427" s="36" t="n">
        <v>0</v>
      </c>
      <c r="L427" s="37" t="n">
        <v>64310.67</v>
      </c>
      <c r="M427" s="36" t="n">
        <v>1816154.84</v>
      </c>
      <c r="N427" s="37" t="n">
        <v>41510423.48255512</v>
      </c>
      <c r="O427" s="37" t="n">
        <v>26484.8512</v>
      </c>
      <c r="P427" s="37" t="n">
        <v>944.5691</v>
      </c>
      <c r="Q427" s="36" t="n">
        <v>25847.19</v>
      </c>
      <c r="R427" s="37" t="n">
        <v>299797152.8106</v>
      </c>
      <c r="S427" s="37" t="n">
        <v>999294662.9500999</v>
      </c>
      <c r="T427" s="38">
        <f>IF(OR(R427="",R426=""),"",R427-R426)</f>
        <v/>
      </c>
      <c r="U427" s="38">
        <f>IF(OR(S427="",S426=""),"",S427-S426)</f>
        <v/>
      </c>
      <c r="V427" s="38">
        <f>IF(OR(U427="",P427=""),"",U427+P427)</f>
        <v/>
      </c>
      <c r="W427" s="38">
        <f>IF(OR(T427="",O427="",P427=""),"",T427-O427+P427)</f>
        <v/>
      </c>
    </row>
    <row r="428">
      <c r="A428" s="30" t="n">
        <v>46082</v>
      </c>
      <c r="B428" s="36" t="n">
        <v>5228414619.064608</v>
      </c>
      <c r="C428" s="36" t="n">
        <v>181318711.1609584</v>
      </c>
      <c r="D428" s="36" t="n">
        <v>678617837</v>
      </c>
      <c r="E428" s="36" t="n">
        <v>1523583.7</v>
      </c>
      <c r="F428" s="36" t="n">
        <v>95551</v>
      </c>
      <c r="G428" s="36" t="n">
        <v>0</v>
      </c>
      <c r="H428" s="36" t="n">
        <v>47317</v>
      </c>
      <c r="I428" s="36" t="n">
        <v>65418</v>
      </c>
      <c r="J428" s="36" t="n">
        <v>22563.90426013438</v>
      </c>
      <c r="K428" s="36" t="n">
        <v>0</v>
      </c>
      <c r="L428" s="37" t="n">
        <v>48978.8</v>
      </c>
      <c r="M428" s="36" t="n">
        <v>1523583.7</v>
      </c>
      <c r="N428" s="37" t="n">
        <v>41556617.11255512</v>
      </c>
      <c r="O428" s="37" t="n">
        <v>26501.2141</v>
      </c>
      <c r="P428" s="37" t="n">
        <v>1317.0529</v>
      </c>
      <c r="Q428" s="36" t="n">
        <v>40679.81</v>
      </c>
      <c r="R428" s="37" t="n">
        <v>299740449.2713</v>
      </c>
      <c r="S428" s="37" t="n">
        <v>999293345.8972</v>
      </c>
      <c r="T428" s="38">
        <f>IF(OR(R428="",R427=""),"",R428-R427)</f>
        <v/>
      </c>
      <c r="U428" s="38">
        <f>IF(OR(S428="",S427=""),"",S428-S427)</f>
        <v/>
      </c>
      <c r="V428" s="38">
        <f>IF(OR(U428="",P428=""),"",U428+P428)</f>
        <v/>
      </c>
      <c r="W428" s="38">
        <f>IF(OR(T428="",O428="",P428=""),"",T428-O428+P428)</f>
        <v/>
      </c>
    </row>
    <row r="429">
      <c r="A429" s="30" t="n">
        <v>46083</v>
      </c>
      <c r="B429" s="36" t="n">
        <v>8874056465.341726</v>
      </c>
      <c r="C429" s="36" t="n">
        <v>155673348.13754</v>
      </c>
      <c r="D429" s="36" t="n">
        <v>2613061360</v>
      </c>
      <c r="E429" s="36" t="n">
        <v>1947703.99</v>
      </c>
      <c r="F429" s="36" t="n">
        <v>172898</v>
      </c>
      <c r="G429" s="36" t="n">
        <v>0</v>
      </c>
      <c r="H429" s="36" t="n">
        <v>67367</v>
      </c>
      <c r="I429" s="36" t="n">
        <v>83228</v>
      </c>
      <c r="J429" s="36" t="n">
        <v>21404.02469278491</v>
      </c>
      <c r="K429" s="36" t="n">
        <v>0</v>
      </c>
      <c r="L429" s="37" t="n">
        <v>60737.14</v>
      </c>
      <c r="M429" s="36" t="n">
        <v>1947703.99</v>
      </c>
      <c r="N429" s="37" t="n">
        <v>41617798.21255512</v>
      </c>
      <c r="O429" s="37" t="n">
        <v>26486.9061</v>
      </c>
      <c r="P429" s="37" t="n">
        <v>452.1227</v>
      </c>
      <c r="Q429" s="36" t="n">
        <v>14729.25</v>
      </c>
      <c r="R429" s="37" t="n">
        <v>299705975.6761</v>
      </c>
      <c r="S429" s="37" t="n">
        <v>999292893.7745</v>
      </c>
      <c r="T429" s="38">
        <f>IF(OR(R429="",R428=""),"",R429-R428)</f>
        <v/>
      </c>
      <c r="U429" s="38">
        <f>IF(OR(S429="",S428=""),"",S429-S428)</f>
        <v/>
      </c>
      <c r="V429" s="38">
        <f>IF(OR(U429="",P429=""),"",U429+P429)</f>
        <v/>
      </c>
      <c r="W429" s="38">
        <f>IF(OR(T429="",O429="",P429=""),"",T429-O429+P429)</f>
        <v/>
      </c>
    </row>
    <row r="430">
      <c r="A430" s="30" t="n">
        <v>46084</v>
      </c>
      <c r="B430" s="36" t="n">
        <v>10130219882.11579</v>
      </c>
      <c r="C430" s="36" t="n">
        <v>190929155.9220417</v>
      </c>
      <c r="D430" s="36" t="n">
        <v>3920561923</v>
      </c>
      <c r="E430" s="36" t="n">
        <v>1953548.3</v>
      </c>
      <c r="F430" s="36" t="n">
        <v>244427</v>
      </c>
      <c r="G430" s="36" t="n">
        <v>0</v>
      </c>
      <c r="H430" s="36" t="n">
        <v>54133</v>
      </c>
      <c r="I430" s="36" t="n">
        <v>69875</v>
      </c>
      <c r="J430" s="36" t="n">
        <v>17606.68084190243</v>
      </c>
      <c r="K430" s="36" t="n">
        <v>0</v>
      </c>
      <c r="L430" s="37" t="n">
        <v>61086.15</v>
      </c>
      <c r="M430" s="36" t="n">
        <v>1953548.3</v>
      </c>
      <c r="N430" s="37" t="n">
        <v>41678676.45255512</v>
      </c>
      <c r="O430" s="37" t="n">
        <v>26494.6815</v>
      </c>
      <c r="P430" s="37" t="n">
        <v>1275.1256</v>
      </c>
      <c r="Q430" s="36" t="n">
        <v>41264.34</v>
      </c>
      <c r="R430" s="37" t="n">
        <v>299655698.449</v>
      </c>
      <c r="S430" s="37" t="n">
        <v>999291618.6489</v>
      </c>
      <c r="T430" s="38">
        <f>IF(OR(R430="",R429=""),"",R430-R429)</f>
        <v/>
      </c>
      <c r="U430" s="38">
        <f>IF(OR(S430="",S429=""),"",S430-S429)</f>
        <v/>
      </c>
      <c r="V430" s="38">
        <f>IF(OR(U430="",P430=""),"",U430+P430)</f>
        <v/>
      </c>
      <c r="W430" s="38">
        <f>IF(OR(T430="",O430="",P430=""),"",T430-O430+P430)</f>
        <v/>
      </c>
    </row>
    <row r="431">
      <c r="A431" s="30" t="n">
        <v>46085</v>
      </c>
      <c r="B431" s="36" t="n">
        <v>10369529627.34381</v>
      </c>
      <c r="C431" s="36" t="n">
        <v>173677275.3822729</v>
      </c>
      <c r="D431" s="36" t="n">
        <v>2633171701</v>
      </c>
      <c r="E431" s="36" t="n">
        <v>2329772.04</v>
      </c>
      <c r="F431" s="36" t="n">
        <v>143151</v>
      </c>
      <c r="G431" s="36" t="n">
        <v>0</v>
      </c>
      <c r="H431" s="36" t="n">
        <v>77670</v>
      </c>
      <c r="I431" s="36" t="n">
        <v>113394</v>
      </c>
      <c r="J431" s="36" t="n">
        <v>15481.6770500763</v>
      </c>
      <c r="K431" s="36" t="n">
        <v>0</v>
      </c>
      <c r="L431" s="37" t="n">
        <v>72184.46000000001</v>
      </c>
      <c r="M431" s="36" t="n">
        <v>2329772.04</v>
      </c>
      <c r="N431" s="37" t="n">
        <v>41752866.62255512</v>
      </c>
      <c r="O431" s="37" t="n">
        <v>26499.3397</v>
      </c>
      <c r="P431" s="37" t="n">
        <v>1026.5822</v>
      </c>
      <c r="Q431" s="36" t="n">
        <v>32267.53</v>
      </c>
      <c r="R431" s="37" t="n">
        <v>299605975.8915</v>
      </c>
      <c r="S431" s="37" t="n">
        <v>999290592.0668</v>
      </c>
      <c r="T431" s="38">
        <f>IF(OR(R431="",R430=""),"",R431-R430)</f>
        <v/>
      </c>
      <c r="U431" s="38">
        <f>IF(OR(S431="",S430=""),"",S431-S430)</f>
        <v/>
      </c>
      <c r="V431" s="38">
        <f>IF(OR(U431="",P431=""),"",U431+P431)</f>
        <v/>
      </c>
      <c r="W431" s="38">
        <f>IF(OR(T431="",O431="",P431=""),"",T431-O431+P431)</f>
        <v/>
      </c>
    </row>
    <row r="432">
      <c r="A432" s="30" t="n">
        <v>46086</v>
      </c>
      <c r="B432" s="36" t="n">
        <v>7509521176.515573</v>
      </c>
      <c r="C432" s="36" t="n">
        <v>241897815.0816816</v>
      </c>
      <c r="D432" s="36" t="n">
        <v>2311825079</v>
      </c>
      <c r="E432" s="36" t="n">
        <v>1685907.84</v>
      </c>
      <c r="F432" s="36" t="n">
        <v>129849</v>
      </c>
      <c r="G432" s="36" t="n">
        <v>0</v>
      </c>
      <c r="H432" s="36" t="n">
        <v>44998</v>
      </c>
      <c r="I432" s="36" t="n">
        <v>58371</v>
      </c>
      <c r="J432" s="36" t="n">
        <v>8859.187003504519</v>
      </c>
      <c r="K432" s="36" t="n">
        <v>16152.93</v>
      </c>
      <c r="L432" s="37" t="n">
        <v>53765.04</v>
      </c>
      <c r="M432" s="36" t="n">
        <v>1685907.84</v>
      </c>
      <c r="N432" s="37" t="n">
        <v>41804260.86255512</v>
      </c>
      <c r="O432" s="37" t="n">
        <v>26504.5709</v>
      </c>
      <c r="P432" s="37" t="n">
        <v>1153.7756</v>
      </c>
      <c r="Q432" s="36" t="n">
        <v>37014.27</v>
      </c>
      <c r="R432" s="37" t="n">
        <v>299542817.8725</v>
      </c>
      <c r="S432" s="37" t="n">
        <v>999289438.2912</v>
      </c>
      <c r="T432" s="38">
        <f>IF(OR(R432="",R431=""),"",R432-R431)</f>
        <v/>
      </c>
      <c r="U432" s="38">
        <f>IF(OR(S432="",S431=""),"",S432-S431)</f>
        <v/>
      </c>
      <c r="V432" s="38">
        <f>IF(OR(U432="",P432=""),"",U432+P432)</f>
        <v/>
      </c>
      <c r="W432" s="38">
        <f>IF(OR(T432="",O432="",P432=""),"",T432-O432+P432)</f>
        <v/>
      </c>
    </row>
    <row r="433">
      <c r="A433" s="30" t="n">
        <v>46087</v>
      </c>
      <c r="B433" s="36" t="n">
        <v>8095199508.752468</v>
      </c>
      <c r="C433" s="36" t="n">
        <v>155121640.5515064</v>
      </c>
      <c r="D433" s="36" t="n">
        <v>2362857166</v>
      </c>
      <c r="E433" s="36" t="n">
        <v>1835993.67</v>
      </c>
      <c r="F433" s="36" t="n">
        <v>142097</v>
      </c>
      <c r="G433" s="36" t="n">
        <v>0</v>
      </c>
      <c r="H433" s="36" t="n">
        <v>49166</v>
      </c>
      <c r="I433" s="36" t="n">
        <v>68818</v>
      </c>
      <c r="J433" s="36" t="n">
        <v>8731.701377270916</v>
      </c>
      <c r="K433" s="36" t="n">
        <v>0</v>
      </c>
      <c r="L433" s="37" t="n">
        <v>60658.81</v>
      </c>
      <c r="M433" s="36" t="n">
        <v>1835993.67</v>
      </c>
      <c r="N433" s="37" t="n">
        <v>41865293.19255512</v>
      </c>
      <c r="O433" s="37" t="n">
        <v>26356.9344</v>
      </c>
      <c r="P433" s="37" t="n">
        <v>1343.8283</v>
      </c>
      <c r="Q433" s="36" t="n">
        <v>41045.22</v>
      </c>
      <c r="R433" s="37" t="n">
        <v>299502149.3171</v>
      </c>
      <c r="S433" s="37" t="n">
        <v>999288094.4629</v>
      </c>
      <c r="T433" s="38">
        <f>IF(OR(R433="",R432=""),"",R433-R432)</f>
        <v/>
      </c>
      <c r="U433" s="38">
        <f>IF(OR(S433="",S432=""),"",S433-S432)</f>
        <v/>
      </c>
      <c r="V433" s="38">
        <f>IF(OR(U433="",P433=""),"",U433+P433)</f>
        <v/>
      </c>
      <c r="W433" s="38">
        <f>IF(OR(T433="",O433="",P433=""),"",T433-O433+P433)</f>
        <v/>
      </c>
    </row>
    <row r="434">
      <c r="A434" s="30" t="n">
        <v>46088</v>
      </c>
      <c r="B434" s="36" t="n">
        <v>2929764167.373287</v>
      </c>
      <c r="C434" s="36" t="n">
        <v>152919913.357963</v>
      </c>
      <c r="D434" s="36" t="n">
        <v>441532014</v>
      </c>
      <c r="E434" s="36" t="n">
        <v>714837.63</v>
      </c>
      <c r="F434" s="36" t="n">
        <v>51734</v>
      </c>
      <c r="G434" s="36" t="n">
        <v>0</v>
      </c>
      <c r="H434" s="36" t="n">
        <v>25966</v>
      </c>
      <c r="I434" s="36" t="n">
        <v>32483</v>
      </c>
      <c r="J434" s="36" t="n">
        <v>5127.511987042103</v>
      </c>
      <c r="K434" s="36" t="n">
        <v>0</v>
      </c>
      <c r="L434" s="37" t="n">
        <v>23407.54</v>
      </c>
      <c r="M434" s="36" t="n">
        <v>714837.63</v>
      </c>
      <c r="N434" s="37" t="n">
        <v>41889416.39255512</v>
      </c>
      <c r="O434" s="37" t="n">
        <v>26487.1971</v>
      </c>
      <c r="P434" s="37" t="n">
        <v>340.9178</v>
      </c>
      <c r="Q434" s="36" t="n">
        <v>10542.88</v>
      </c>
      <c r="R434" s="37" t="n">
        <v>299452936.4758</v>
      </c>
      <c r="S434" s="37" t="n">
        <v>999287753.5452</v>
      </c>
      <c r="T434" s="38">
        <f>IF(OR(R434="",R433=""),"",R434-R433)</f>
        <v/>
      </c>
      <c r="U434" s="38">
        <f>IF(OR(S434="",S433=""),"",S434-S433)</f>
        <v/>
      </c>
      <c r="V434" s="38">
        <f>IF(OR(U434="",P434=""),"",U434+P434)</f>
        <v/>
      </c>
      <c r="W434" s="38">
        <f>IF(OR(T434="",O434="",P434=""),"",T434-O434+P434)</f>
        <v/>
      </c>
    </row>
    <row r="435">
      <c r="A435" s="30" t="n">
        <v>46089</v>
      </c>
      <c r="B435" s="36" t="n">
        <v>4530095844.801926</v>
      </c>
      <c r="C435" s="36" t="n">
        <v>85139487.8723619</v>
      </c>
      <c r="D435" s="36" t="n">
        <v>880743817</v>
      </c>
      <c r="E435" s="36" t="n">
        <v>1172058.74</v>
      </c>
      <c r="F435" s="36" t="n">
        <v>83858</v>
      </c>
      <c r="G435" s="36" t="n">
        <v>0</v>
      </c>
      <c r="H435" s="36" t="n">
        <v>29097</v>
      </c>
      <c r="I435" s="36" t="n">
        <v>38422</v>
      </c>
      <c r="J435" s="36" t="n">
        <v>6250.33854180976</v>
      </c>
      <c r="K435" s="36" t="n">
        <v>0</v>
      </c>
      <c r="L435" s="37" t="n">
        <v>38591.87</v>
      </c>
      <c r="M435" s="36" t="n">
        <v>1172058.74</v>
      </c>
      <c r="N435" s="37" t="n">
        <v>41927546.43255512</v>
      </c>
      <c r="O435" s="37" t="n">
        <v>26503.372</v>
      </c>
      <c r="P435" s="37" t="n">
        <v>231.1789</v>
      </c>
      <c r="Q435" s="36" t="n">
        <v>6966.58</v>
      </c>
      <c r="R435" s="37" t="n">
        <v>299613986.9461</v>
      </c>
      <c r="S435" s="37" t="n">
        <v>999287522.3663</v>
      </c>
      <c r="T435" s="38">
        <f>IF(OR(R435="",R434=""),"",R435-R434)</f>
        <v/>
      </c>
      <c r="U435" s="38">
        <f>IF(OR(S435="",S434=""),"",S435-S434)</f>
        <v/>
      </c>
      <c r="V435" s="38">
        <f>IF(OR(U435="",P435=""),"",U435+P435)</f>
        <v/>
      </c>
      <c r="W435" s="38">
        <f>IF(OR(T435="",O435="",P435=""),"",T435-O435+P435)</f>
        <v/>
      </c>
    </row>
    <row r="436">
      <c r="A436" s="30" t="n">
        <v>46090</v>
      </c>
      <c r="B436" s="36" t="n">
        <v>10347865153.213</v>
      </c>
      <c r="C436" s="36" t="n">
        <v>99156016.74448563</v>
      </c>
      <c r="D436" s="36" t="n">
        <v>4095930269</v>
      </c>
      <c r="E436" s="36" t="n">
        <v>1937249.57</v>
      </c>
      <c r="F436" s="36" t="n">
        <v>244859</v>
      </c>
      <c r="G436" s="36" t="n">
        <v>0</v>
      </c>
      <c r="H436" s="36" t="n">
        <v>74733</v>
      </c>
      <c r="I436" s="36" t="n">
        <v>97117</v>
      </c>
      <c r="J436" s="36" t="n">
        <v>25955.27629612908</v>
      </c>
      <c r="K436" s="36" t="n">
        <v>0</v>
      </c>
      <c r="L436" s="37" t="n">
        <v>59871.67</v>
      </c>
      <c r="M436" s="36" t="n">
        <v>1937249.57</v>
      </c>
      <c r="N436" s="37" t="n">
        <v>41987626.60255512</v>
      </c>
      <c r="O436" s="37" t="n">
        <v>26508.149</v>
      </c>
      <c r="P436" s="37" t="n">
        <v>697.6186</v>
      </c>
      <c r="Q436" s="36" t="n">
        <v>21603.85</v>
      </c>
      <c r="R436" s="37" t="n">
        <v>299587352.3021</v>
      </c>
      <c r="S436" s="37" t="n">
        <v>999286824.7477</v>
      </c>
      <c r="T436" s="38">
        <f>IF(OR(R436="",R435=""),"",R436-R435)</f>
        <v/>
      </c>
      <c r="U436" s="38">
        <f>IF(OR(S436="",S435=""),"",S436-S435)</f>
        <v/>
      </c>
      <c r="V436" s="38">
        <f>IF(OR(U436="",P436=""),"",U436+P436)</f>
        <v/>
      </c>
      <c r="W436" s="38">
        <f>IF(OR(T436="",O436="",P436=""),"",T436-O436+P436)</f>
        <v/>
      </c>
    </row>
    <row r="437">
      <c r="A437" s="30" t="n">
        <v>46091</v>
      </c>
      <c r="B437" s="36" t="n">
        <v>8054653840.861973</v>
      </c>
      <c r="C437" s="36" t="n">
        <v>226490527.9130067</v>
      </c>
      <c r="D437" s="36" t="n">
        <v>2701675592</v>
      </c>
      <c r="E437" s="36" t="n">
        <v>1644876.41</v>
      </c>
      <c r="F437" s="36" t="n">
        <v>165552</v>
      </c>
      <c r="G437" s="36" t="n">
        <v>0</v>
      </c>
      <c r="H437" s="36" t="n">
        <v>50782</v>
      </c>
      <c r="I437" s="36" t="n">
        <v>65840</v>
      </c>
      <c r="J437" s="36" t="n">
        <v>16822.41544782527</v>
      </c>
      <c r="K437" s="36" t="n">
        <v>0</v>
      </c>
      <c r="L437" s="37" t="n">
        <v>47849.84</v>
      </c>
      <c r="M437" s="36" t="n">
        <v>1644876.41</v>
      </c>
      <c r="N437" s="37" t="n">
        <v>42035734.44255512</v>
      </c>
      <c r="O437" s="37" t="n">
        <v>26499.9421</v>
      </c>
      <c r="P437" s="37" t="n">
        <v>1303.5364</v>
      </c>
      <c r="Q437" s="36" t="n">
        <v>44581.6</v>
      </c>
      <c r="R437" s="37" t="n">
        <v>299538162.5687</v>
      </c>
      <c r="S437" s="37" t="n">
        <v>999285521.2113</v>
      </c>
      <c r="T437" s="38">
        <f>IF(OR(R437="",R436=""),"",R437-R436)</f>
        <v/>
      </c>
      <c r="U437" s="38">
        <f>IF(OR(S437="",S436=""),"",S437-S436)</f>
        <v/>
      </c>
      <c r="V437" s="38">
        <f>IF(OR(U437="",P437=""),"",U437+P437)</f>
        <v/>
      </c>
      <c r="W437" s="38">
        <f>IF(OR(T437="",O437="",P437=""),"",T437-O437+P437)</f>
        <v/>
      </c>
    </row>
    <row r="438">
      <c r="A438" s="30" t="n">
        <v>46092</v>
      </c>
      <c r="B438" s="36" t="n">
        <v>6687793626.489841</v>
      </c>
      <c r="C438" s="36" t="n">
        <v>141351863.8007376</v>
      </c>
      <c r="D438" s="36" t="n">
        <v>2294076704</v>
      </c>
      <c r="E438" s="36" t="n">
        <v>1392462.79</v>
      </c>
      <c r="F438" s="36" t="n">
        <v>114037</v>
      </c>
      <c r="G438" s="36" t="n">
        <v>0</v>
      </c>
      <c r="H438" s="36" t="n">
        <v>63829</v>
      </c>
      <c r="I438" s="36" t="n">
        <v>79918</v>
      </c>
      <c r="J438" s="36" t="n">
        <v>12195.85981347196</v>
      </c>
      <c r="K438" s="36" t="n">
        <v>0</v>
      </c>
      <c r="L438" s="37" t="n">
        <v>38974.26</v>
      </c>
      <c r="M438" s="36" t="n">
        <v>1392462.79</v>
      </c>
      <c r="N438" s="37" t="n">
        <v>42073712.93255512</v>
      </c>
      <c r="O438" s="37" t="n">
        <v>26523.2199</v>
      </c>
      <c r="P438" s="37" t="n">
        <v>1078.4004</v>
      </c>
      <c r="Q438" s="36" t="n">
        <v>36989.13</v>
      </c>
      <c r="R438" s="37" t="n">
        <v>299501188.2938</v>
      </c>
      <c r="S438" s="37" t="n">
        <v>999284442.8109</v>
      </c>
      <c r="T438" s="38">
        <f>IF(OR(R438="",R437=""),"",R438-R437)</f>
        <v/>
      </c>
      <c r="U438" s="38">
        <f>IF(OR(S438="",S437=""),"",S438-S437)</f>
        <v/>
      </c>
      <c r="V438" s="38">
        <f>IF(OR(U438="",P438=""),"",U438+P438)</f>
        <v/>
      </c>
      <c r="W438" s="38">
        <f>IF(OR(T438="",O438="",P438=""),"",T438-O438+P438)</f>
        <v/>
      </c>
    </row>
    <row r="439">
      <c r="A439" s="30" t="n">
        <v>46093</v>
      </c>
      <c r="B439" s="36" t="n">
        <v>6943645559.818059</v>
      </c>
      <c r="C439" s="36" t="n">
        <v>171424756.2817958</v>
      </c>
      <c r="D439" s="36" t="n">
        <v>2717272316</v>
      </c>
      <c r="E439" s="36" t="n">
        <v>1366566.18</v>
      </c>
      <c r="F439" s="36" t="n">
        <v>153245</v>
      </c>
      <c r="G439" s="36" t="n">
        <v>0</v>
      </c>
      <c r="H439" s="36" t="n">
        <v>54617</v>
      </c>
      <c r="I439" s="36" t="n">
        <v>74559</v>
      </c>
      <c r="J439" s="36" t="n">
        <v>10948.83405114849</v>
      </c>
      <c r="K439" s="36" t="n">
        <v>0</v>
      </c>
      <c r="L439" s="37" t="n">
        <v>36803.51</v>
      </c>
      <c r="M439" s="36" t="n">
        <v>1366566.18</v>
      </c>
      <c r="N439" s="37" t="n">
        <v>42110129.65255512</v>
      </c>
      <c r="O439" s="37" t="n">
        <v>26526.8227</v>
      </c>
      <c r="P439" s="37" t="n">
        <v>608.4577</v>
      </c>
      <c r="Q439" s="36" t="n">
        <v>22132.65</v>
      </c>
      <c r="R439" s="37" t="n">
        <v>299474823.4809</v>
      </c>
      <c r="S439" s="37" t="n">
        <v>999283834.3532</v>
      </c>
      <c r="T439" s="38">
        <f>IF(OR(R439="",R438=""),"",R439-R438)</f>
        <v/>
      </c>
      <c r="U439" s="38">
        <f>IF(OR(S439="",S438=""),"",S439-S438)</f>
        <v/>
      </c>
      <c r="V439" s="38">
        <f>IF(OR(U439="",P439=""),"",U439+P439)</f>
        <v/>
      </c>
      <c r="W439" s="38">
        <f>IF(OR(T439="",O439="",P439=""),"",T439-O439+P439)</f>
        <v/>
      </c>
    </row>
    <row r="440">
      <c r="A440" s="30" t="n">
        <v>46094</v>
      </c>
      <c r="B440" s="36" t="n">
        <v>8047288735.296138</v>
      </c>
      <c r="C440" s="36" t="n">
        <v>186496713.3063975</v>
      </c>
      <c r="D440" s="36" t="n">
        <v>2099264511</v>
      </c>
      <c r="E440" s="36" t="n">
        <v>1830670.62</v>
      </c>
      <c r="F440" s="36" t="n">
        <v>116904</v>
      </c>
      <c r="G440" s="36" t="n">
        <v>0</v>
      </c>
      <c r="H440" s="36" t="n">
        <v>65639</v>
      </c>
      <c r="I440" s="36" t="n">
        <v>81922</v>
      </c>
      <c r="J440" s="36" t="n">
        <v>14537.46282295613</v>
      </c>
      <c r="K440" s="36" t="n">
        <v>0</v>
      </c>
      <c r="L440" s="37" t="n">
        <v>49323.48</v>
      </c>
      <c r="M440" s="36" t="n">
        <v>1830670.62</v>
      </c>
      <c r="N440" s="37" t="n">
        <v>42160887.05255512</v>
      </c>
      <c r="O440" s="37" t="n">
        <v>26531.6758</v>
      </c>
      <c r="P440" s="37" t="n">
        <v>1118.0109</v>
      </c>
      <c r="Q440" s="36" t="n">
        <v>42274.23</v>
      </c>
      <c r="R440" s="37" t="n">
        <v>299449505.8242</v>
      </c>
      <c r="S440" s="37" t="n">
        <v>999282716.3422</v>
      </c>
      <c r="T440" s="38">
        <f>IF(OR(R440="",R439=""),"",R440-R439)</f>
        <v/>
      </c>
      <c r="U440" s="38">
        <f>IF(OR(S440="",S439=""),"",S440-S439)</f>
        <v/>
      </c>
      <c r="V440" s="38">
        <f>IF(OR(U440="",P440=""),"",U440+P440)</f>
        <v/>
      </c>
      <c r="W440" s="38">
        <f>IF(OR(T440="",O440="",P440=""),"",T440-O440+P440)</f>
        <v/>
      </c>
    </row>
    <row r="441">
      <c r="A441" s="30" t="n">
        <v>46095</v>
      </c>
      <c r="B441" s="36" t="n">
        <v>2593956612.152651</v>
      </c>
      <c r="C441" s="36" t="n">
        <v>186603930.1799989</v>
      </c>
      <c r="D441" s="36" t="n">
        <v>639797548</v>
      </c>
      <c r="E441" s="36" t="n">
        <v>628780.0600000001</v>
      </c>
      <c r="F441" s="36" t="n">
        <v>57292</v>
      </c>
      <c r="G441" s="36" t="n">
        <v>0</v>
      </c>
      <c r="H441" s="36" t="n">
        <v>34134</v>
      </c>
      <c r="I441" s="36" t="n">
        <v>42502</v>
      </c>
      <c r="J441" s="36" t="n">
        <v>7548.847382987662</v>
      </c>
      <c r="K441" s="36" t="n">
        <v>0</v>
      </c>
      <c r="L441" s="37" t="n">
        <v>16809.89</v>
      </c>
      <c r="M441" s="36" t="n">
        <v>628780.0600000001</v>
      </c>
      <c r="N441" s="37" t="n">
        <v>42176729.40255512</v>
      </c>
      <c r="O441" s="37" t="n">
        <v>26522.5569</v>
      </c>
      <c r="P441" s="37" t="n">
        <v>1169.2845</v>
      </c>
      <c r="Q441" s="36" t="n">
        <v>42788.8</v>
      </c>
      <c r="R441" s="37" t="n">
        <v>299409786.0938</v>
      </c>
      <c r="S441" s="37" t="n">
        <v>999281547.0577</v>
      </c>
      <c r="T441" s="38">
        <f>IF(OR(R441="",R440=""),"",R441-R440)</f>
        <v/>
      </c>
      <c r="U441" s="38">
        <f>IF(OR(S441="",S440=""),"",S441-S440)</f>
        <v/>
      </c>
      <c r="V441" s="38">
        <f>IF(OR(U441="",P441=""),"",U441+P441)</f>
        <v/>
      </c>
      <c r="W441" s="38">
        <f>IF(OR(T441="",O441="",P441=""),"",T441-O441+P441)</f>
        <v/>
      </c>
    </row>
    <row r="442">
      <c r="A442" s="30" t="n">
        <v>46096</v>
      </c>
      <c r="B442" s="36" t="n">
        <v>3894224785.705148</v>
      </c>
      <c r="C442" s="36" t="n">
        <v>86907762.43767184</v>
      </c>
      <c r="D442" s="36" t="n">
        <v>965658589</v>
      </c>
      <c r="E442" s="36" t="n">
        <v>929730.28</v>
      </c>
      <c r="F442" s="36" t="n">
        <v>78934</v>
      </c>
      <c r="G442" s="36" t="n">
        <v>0</v>
      </c>
      <c r="H442" s="36" t="n">
        <v>22322</v>
      </c>
      <c r="I442" s="36" t="n">
        <v>31407</v>
      </c>
      <c r="J442" s="36" t="n">
        <v>6731.896899871463</v>
      </c>
      <c r="K442" s="36" t="n">
        <v>0</v>
      </c>
      <c r="L442" s="37" t="n">
        <v>24882.62</v>
      </c>
      <c r="M442" s="36" t="n">
        <v>929730.28</v>
      </c>
      <c r="N442" s="37" t="n">
        <v>42202159.96255512</v>
      </c>
      <c r="O442" s="37" t="n">
        <v>26513.68</v>
      </c>
      <c r="P442" s="37" t="n">
        <v>280.2648</v>
      </c>
      <c r="Q442" s="36" t="n">
        <v>10558.27</v>
      </c>
      <c r="R442" s="37" t="n">
        <v>299405846.2805</v>
      </c>
      <c r="S442" s="37" t="n">
        <v>999281266.793</v>
      </c>
      <c r="T442" s="38">
        <f>IF(OR(R442="",R441=""),"",R442-R441)</f>
        <v/>
      </c>
      <c r="U442" s="38">
        <f>IF(OR(S442="",S441=""),"",S442-S441)</f>
        <v/>
      </c>
      <c r="V442" s="38">
        <f>IF(OR(U442="",P442=""),"",U442+P442)</f>
        <v/>
      </c>
      <c r="W442" s="38">
        <f>IF(OR(T442="",O442="",P442=""),"",T442-O442+P442)</f>
        <v/>
      </c>
    </row>
    <row r="443">
      <c r="A443" s="30" t="n">
        <v>46097</v>
      </c>
      <c r="B443" s="36" t="n">
        <v>8598167486.062836</v>
      </c>
      <c r="C443" s="36" t="n">
        <v>80040948.69352907</v>
      </c>
      <c r="D443" s="36" t="n">
        <v>2053387348</v>
      </c>
      <c r="E443" s="36" t="n">
        <v>2056534.62</v>
      </c>
      <c r="F443" s="36" t="n">
        <v>121437</v>
      </c>
      <c r="G443" s="36" t="n">
        <v>0</v>
      </c>
      <c r="H443" s="36" t="n">
        <v>69669</v>
      </c>
      <c r="I443" s="36" t="n">
        <v>90856</v>
      </c>
      <c r="J443" s="36" t="n">
        <v>18142.36376332987</v>
      </c>
      <c r="K443" s="36" t="n">
        <v>0</v>
      </c>
      <c r="L443" s="37" t="n">
        <v>52403.88</v>
      </c>
      <c r="M443" s="36" t="n">
        <v>2056534.62</v>
      </c>
      <c r="N443" s="37" t="n">
        <v>42256895.91255512</v>
      </c>
      <c r="O443" s="37" t="n">
        <v>26158.1654</v>
      </c>
      <c r="P443" s="37" t="n">
        <v>690.6835</v>
      </c>
      <c r="Q443" s="36" t="n">
        <v>25819.48</v>
      </c>
      <c r="R443" s="37" t="n">
        <v>299391746.5244</v>
      </c>
      <c r="S443" s="37" t="n">
        <v>999280576.1095001</v>
      </c>
      <c r="T443" s="38">
        <f>IF(OR(R443="",R442=""),"",R443-R442)</f>
        <v/>
      </c>
      <c r="U443" s="38">
        <f>IF(OR(S443="",S442=""),"",S443-S442)</f>
        <v/>
      </c>
      <c r="V443" s="38">
        <f>IF(OR(U443="",P443=""),"",U443+P443)</f>
        <v/>
      </c>
      <c r="W443" s="38">
        <f>IF(OR(T443="",O443="",P443=""),"",T443-O443+P443)</f>
        <v/>
      </c>
    </row>
    <row r="444">
      <c r="A444" s="30" t="n">
        <v>46098</v>
      </c>
      <c r="B444" s="36" t="n">
        <v>7046522876.949989</v>
      </c>
      <c r="C444" s="36" t="n">
        <v>216207870.8173871</v>
      </c>
      <c r="D444" s="36" t="n">
        <v>1419520859</v>
      </c>
      <c r="E444" s="36" t="n">
        <v>1717663.47</v>
      </c>
      <c r="F444" s="36" t="n">
        <v>85816</v>
      </c>
      <c r="G444" s="36" t="n">
        <v>0</v>
      </c>
      <c r="H444" s="36" t="n">
        <v>54316</v>
      </c>
      <c r="I444" s="36" t="n">
        <v>71225</v>
      </c>
      <c r="J444" s="36" t="n">
        <v>16207.24801841554</v>
      </c>
      <c r="K444" s="36" t="n">
        <v>0</v>
      </c>
      <c r="L444" s="37" t="n">
        <v>42168.48</v>
      </c>
      <c r="M444" s="36" t="n">
        <v>1717663.47</v>
      </c>
      <c r="N444" s="37" t="n">
        <v>42296551.71255512</v>
      </c>
      <c r="O444" s="37" t="n">
        <v>25920.2501</v>
      </c>
      <c r="P444" s="37" t="n">
        <v>688.104</v>
      </c>
      <c r="Q444" s="36" t="n">
        <v>27954.91</v>
      </c>
      <c r="R444" s="37" t="n">
        <v>299348082.7477</v>
      </c>
      <c r="S444" s="37" t="n">
        <v>999279888.0055</v>
      </c>
      <c r="T444" s="38">
        <f>IF(OR(R444="",R443=""),"",R444-R443)</f>
        <v/>
      </c>
      <c r="U444" s="38">
        <f>IF(OR(S444="",S443=""),"",S444-S443)</f>
        <v/>
      </c>
      <c r="V444" s="38">
        <f>IF(OR(U444="",P444=""),"",U444+P444)</f>
        <v/>
      </c>
      <c r="W444" s="38">
        <f>IF(OR(T444="",O444="",P444=""),"",T444-O444+P444)</f>
        <v/>
      </c>
    </row>
    <row r="445">
      <c r="A445" s="30" t="n">
        <v>46099</v>
      </c>
      <c r="B445" s="36" t="n">
        <v>8536674451.100798</v>
      </c>
      <c r="C445" s="36" t="n">
        <v>163398516.5322244</v>
      </c>
      <c r="D445" s="36" t="n">
        <v>2455343214</v>
      </c>
      <c r="E445" s="36" t="n">
        <v>1931952.06</v>
      </c>
      <c r="F445" s="36" t="n">
        <v>136564</v>
      </c>
      <c r="G445" s="36" t="n">
        <v>0</v>
      </c>
      <c r="H445" s="36" t="n">
        <v>85894</v>
      </c>
      <c r="I445" s="36" t="n">
        <v>100923</v>
      </c>
      <c r="J445" s="36" t="n">
        <v>37957.11321834336</v>
      </c>
      <c r="K445" s="36" t="n">
        <v>0</v>
      </c>
      <c r="L445" s="37" t="n">
        <v>46408.79</v>
      </c>
      <c r="M445" s="36" t="n">
        <v>1931952.06</v>
      </c>
      <c r="N445" s="37" t="n">
        <v>42343472.10255512</v>
      </c>
      <c r="O445" s="37" t="n">
        <v>26481.1709</v>
      </c>
      <c r="P445" s="37" t="n">
        <v>1001.0048</v>
      </c>
      <c r="Q445" s="36" t="n">
        <v>40770.43</v>
      </c>
      <c r="R445" s="37" t="n">
        <v>299319559.7461</v>
      </c>
      <c r="S445" s="37" t="n">
        <v>999278887.0007</v>
      </c>
      <c r="T445" s="38">
        <f>IF(OR(R445="",R444=""),"",R445-R444)</f>
        <v/>
      </c>
      <c r="U445" s="38">
        <f>IF(OR(S445="",S444=""),"",S445-S444)</f>
        <v/>
      </c>
      <c r="V445" s="38">
        <f>IF(OR(U445="",P445=""),"",U445+P445)</f>
        <v/>
      </c>
      <c r="W445" s="38">
        <f>IF(OR(T445="",O445="",P445=""),"",T445-O445+P445)</f>
        <v/>
      </c>
    </row>
    <row r="446">
      <c r="A446" s="30" t="n">
        <v>46100</v>
      </c>
      <c r="B446" s="36" t="n">
        <v>9692762771.35549</v>
      </c>
      <c r="C446" s="36" t="n">
        <v>220284790.447655</v>
      </c>
      <c r="D446" s="36" t="n">
        <v>3916618768</v>
      </c>
      <c r="E446" s="36" t="n">
        <v>1919269.57</v>
      </c>
      <c r="F446" s="36" t="n">
        <v>240404</v>
      </c>
      <c r="G446" s="36" t="n">
        <v>0</v>
      </c>
      <c r="H446" s="36" t="n">
        <v>72863</v>
      </c>
      <c r="I446" s="36" t="n">
        <v>85429</v>
      </c>
      <c r="J446" s="36" t="n">
        <v>20312.05724812334</v>
      </c>
      <c r="K446" s="36" t="n">
        <v>0</v>
      </c>
      <c r="L446" s="37" t="n">
        <v>48083.94</v>
      </c>
      <c r="M446" s="36" t="n">
        <v>1919269.57</v>
      </c>
      <c r="N446" s="37" t="n">
        <v>42390511.50255512</v>
      </c>
      <c r="O446" s="37" t="n">
        <v>26434.5099</v>
      </c>
      <c r="P446" s="37" t="n">
        <v>1559.2383</v>
      </c>
      <c r="Q446" s="36" t="n">
        <v>65601.83</v>
      </c>
      <c r="R446" s="37" t="n">
        <v>299283166.7978</v>
      </c>
      <c r="S446" s="37" t="n">
        <v>999277327.7625</v>
      </c>
      <c r="T446" s="38">
        <f>IF(OR(R446="",R445=""),"",R446-R445)</f>
        <v/>
      </c>
      <c r="U446" s="38">
        <f>IF(OR(S446="",S445=""),"",S446-S445)</f>
        <v/>
      </c>
      <c r="V446" s="38">
        <f>IF(OR(U446="",P446=""),"",U446+P446)</f>
        <v/>
      </c>
      <c r="W446" s="38">
        <f>IF(OR(T446="",O446="",P446=""),"",T446-O446+P446)</f>
        <v/>
      </c>
    </row>
    <row r="447">
      <c r="A447" s="30" t="n">
        <v>46101</v>
      </c>
      <c r="B447" s="36" t="n">
        <v>6712506593.314795</v>
      </c>
      <c r="C447" s="36" t="n">
        <v>184213402.9615119</v>
      </c>
      <c r="D447" s="36" t="n">
        <v>2327726300</v>
      </c>
      <c r="E447" s="36" t="n">
        <v>1398791.89</v>
      </c>
      <c r="F447" s="36" t="n">
        <v>147882</v>
      </c>
      <c r="G447" s="36" t="n">
        <v>0</v>
      </c>
      <c r="H447" s="36" t="n">
        <v>44927</v>
      </c>
      <c r="I447" s="36" t="n">
        <v>55418</v>
      </c>
      <c r="J447" s="36" t="n">
        <v>20215.87673919038</v>
      </c>
      <c r="K447" s="36" t="n">
        <v>0</v>
      </c>
      <c r="L447" s="37" t="n">
        <v>35474.14</v>
      </c>
      <c r="M447" s="36" t="n">
        <v>1398791.89</v>
      </c>
      <c r="N447" s="37" t="n">
        <v>42426049.16255512</v>
      </c>
      <c r="O447" s="37" t="n">
        <v>26463.4663</v>
      </c>
      <c r="P447" s="37" t="n">
        <v>563.0605</v>
      </c>
      <c r="Q447" s="36" t="n">
        <v>22415.16</v>
      </c>
      <c r="R447" s="37" t="n">
        <v>299247678.4361</v>
      </c>
      <c r="S447" s="37" t="n">
        <v>999276764.702</v>
      </c>
      <c r="T447" s="38">
        <f>IF(OR(R447="",R446=""),"",R447-R446)</f>
        <v/>
      </c>
      <c r="U447" s="38">
        <f>IF(OR(S447="",S446=""),"",S447-S446)</f>
        <v/>
      </c>
      <c r="V447" s="38">
        <f>IF(OR(U447="",P447=""),"",U447+P447)</f>
        <v/>
      </c>
      <c r="W447" s="38">
        <f>IF(OR(T447="",O447="",P447=""),"",T447-O447+P447)</f>
        <v/>
      </c>
    </row>
    <row r="448">
      <c r="A448" s="30" t="n">
        <v>46102</v>
      </c>
      <c r="B448" s="36" t="n">
        <v>2206796375.075761</v>
      </c>
      <c r="C448" s="36" t="n">
        <v>130241782.6984513</v>
      </c>
      <c r="D448" s="36" t="n">
        <v>385886655</v>
      </c>
      <c r="E448" s="36" t="n">
        <v>565820.13</v>
      </c>
      <c r="F448" s="36" t="n">
        <v>48618</v>
      </c>
      <c r="G448" s="36" t="n">
        <v>8655</v>
      </c>
      <c r="H448" s="36" t="n">
        <v>20586</v>
      </c>
      <c r="I448" s="36" t="n">
        <v>25527</v>
      </c>
      <c r="J448" s="36" t="n">
        <v>4802.687313533955</v>
      </c>
      <c r="K448" s="36" t="n">
        <v>0</v>
      </c>
      <c r="L448" s="37" t="n">
        <v>14254.91</v>
      </c>
      <c r="M448" s="36" t="n">
        <v>565820.13</v>
      </c>
      <c r="N448" s="37" t="n">
        <v>42443640.52255512</v>
      </c>
      <c r="O448" s="37" t="n">
        <v>26474.8084</v>
      </c>
      <c r="P448" s="37" t="n">
        <v>863.7541</v>
      </c>
      <c r="Q448" s="36" t="n">
        <v>34269.44</v>
      </c>
      <c r="R448" s="37" t="n">
        <v>299223411.2035</v>
      </c>
      <c r="S448" s="37" t="n">
        <v>999275900.9479001</v>
      </c>
      <c r="T448" s="38">
        <f>IF(OR(R448="",R447=""),"",R448-R447)</f>
        <v/>
      </c>
      <c r="U448" s="38">
        <f>IF(OR(S448="",S447=""),"",S448-S447)</f>
        <v/>
      </c>
      <c r="V448" s="38">
        <f>IF(OR(U448="",P448=""),"",U448+P448)</f>
        <v/>
      </c>
      <c r="W448" s="38">
        <f>IF(OR(T448="",O448="",P448=""),"",T448-O448+P448)</f>
        <v/>
      </c>
    </row>
    <row r="449">
      <c r="A449" s="30" t="n">
        <v>46103</v>
      </c>
      <c r="B449" s="36" t="n">
        <v>5058074585.563858</v>
      </c>
      <c r="C449" s="36" t="n">
        <v>60945818.35635647</v>
      </c>
      <c r="D449" s="36" t="n">
        <v>931981429</v>
      </c>
      <c r="E449" s="36" t="n">
        <v>1226196.43</v>
      </c>
      <c r="F449" s="36" t="n">
        <v>83123</v>
      </c>
      <c r="G449" s="36" t="n">
        <v>27974</v>
      </c>
      <c r="H449" s="36" t="n">
        <v>34921</v>
      </c>
      <c r="I449" s="36" t="n">
        <v>46563</v>
      </c>
      <c r="J449" s="36" t="n">
        <v>8939.900559362892</v>
      </c>
      <c r="K449" s="36" t="n">
        <v>0</v>
      </c>
      <c r="L449" s="37" t="n">
        <v>31939.5</v>
      </c>
      <c r="M449" s="36" t="n">
        <v>1226196.43</v>
      </c>
      <c r="N449" s="37" t="n">
        <v>42472662.50255512</v>
      </c>
      <c r="O449" s="37" t="n">
        <v>26473.247</v>
      </c>
      <c r="P449" s="37" t="n">
        <v>166.6936</v>
      </c>
      <c r="Q449" s="36" t="n">
        <v>6562.48</v>
      </c>
      <c r="R449" s="37" t="n">
        <v>299217786.0155</v>
      </c>
      <c r="S449" s="37" t="n">
        <v>999275734.2543</v>
      </c>
      <c r="T449" s="38">
        <f>IF(OR(R449="",R448=""),"",R449-R448)</f>
        <v/>
      </c>
      <c r="U449" s="38">
        <f>IF(OR(S449="",S448=""),"",S449-S448)</f>
        <v/>
      </c>
      <c r="V449" s="38">
        <f>IF(OR(U449="",P449=""),"",U449+P449)</f>
        <v/>
      </c>
      <c r="W449" s="38">
        <f>IF(OR(T449="",O449="",P449=""),"",T449-O449+P449)</f>
        <v/>
      </c>
    </row>
    <row r="450">
      <c r="A450" s="30" t="n">
        <v>46104</v>
      </c>
      <c r="B450" s="36" t="n">
        <v>12467296863.48761</v>
      </c>
      <c r="C450" s="36" t="n">
        <v>102290418.4477309</v>
      </c>
      <c r="D450" s="36" t="n">
        <v>5939022744</v>
      </c>
      <c r="E450" s="36" t="n">
        <v>2320660.87</v>
      </c>
      <c r="F450" s="36" t="n">
        <v>377852</v>
      </c>
      <c r="G450" s="36" t="n">
        <v>153142</v>
      </c>
      <c r="H450" s="36" t="n">
        <v>92233</v>
      </c>
      <c r="I450" s="36" t="n">
        <v>112724</v>
      </c>
      <c r="J450" s="36" t="n">
        <v>26925.80792680451</v>
      </c>
      <c r="K450" s="36" t="n">
        <v>0</v>
      </c>
      <c r="L450" s="37" t="n">
        <v>61301.8</v>
      </c>
      <c r="M450" s="36" t="n">
        <v>2320660.87</v>
      </c>
      <c r="N450" s="37" t="n">
        <v>42533972.38255512</v>
      </c>
      <c r="O450" s="37" t="n">
        <v>26478.5054</v>
      </c>
      <c r="P450" s="37" t="n">
        <v>229.8099</v>
      </c>
      <c r="Q450" s="36" t="n">
        <v>8702.9</v>
      </c>
      <c r="R450" s="37" t="n">
        <v>299200668.7542</v>
      </c>
      <c r="S450" s="37" t="n">
        <v>999275504.4443001</v>
      </c>
      <c r="T450" s="38">
        <f>IF(OR(R450="",R449=""),"",R450-R449)</f>
        <v/>
      </c>
      <c r="U450" s="38">
        <f>IF(OR(S450="",S449=""),"",S450-S449)</f>
        <v/>
      </c>
      <c r="V450" s="38">
        <f>IF(OR(U450="",P450=""),"",U450+P450)</f>
        <v/>
      </c>
      <c r="W450" s="38">
        <f>IF(OR(T450="",O450="",P450=""),"",T450-O450+P450)</f>
        <v/>
      </c>
    </row>
    <row r="451">
      <c r="A451" s="30" t="n">
        <v>46105</v>
      </c>
      <c r="B451" s="36" t="n">
        <v>8103587033.594982</v>
      </c>
      <c r="C451" s="36" t="n">
        <v>251112953.3421047</v>
      </c>
      <c r="D451" s="36" t="n">
        <v>3469124699</v>
      </c>
      <c r="E451" s="36" t="n">
        <v>1474551.66</v>
      </c>
      <c r="F451" s="36" t="n">
        <v>214719</v>
      </c>
      <c r="G451" s="36" t="n">
        <v>84331</v>
      </c>
      <c r="H451" s="36" t="n">
        <v>46696</v>
      </c>
      <c r="I451" s="36" t="n">
        <v>57914</v>
      </c>
      <c r="J451" s="36" t="n">
        <v>12817.79610248204</v>
      </c>
      <c r="K451" s="36" t="n">
        <v>18599.6</v>
      </c>
      <c r="L451" s="37" t="n">
        <v>38003.95</v>
      </c>
      <c r="M451" s="36" t="n">
        <v>1474551.66</v>
      </c>
      <c r="N451" s="37" t="n">
        <v>42571128.28255512</v>
      </c>
      <c r="O451" s="37" t="n">
        <v>26477.2033</v>
      </c>
      <c r="P451" s="37" t="n">
        <v>1259.6123</v>
      </c>
      <c r="Q451" s="36" t="n">
        <v>47323.64</v>
      </c>
      <c r="R451" s="37" t="n">
        <v>299150227.485</v>
      </c>
      <c r="S451" s="37" t="n">
        <v>999274244.832</v>
      </c>
      <c r="T451" s="38">
        <f>IF(OR(R451="",R450=""),"",R451-R450)</f>
        <v/>
      </c>
      <c r="U451" s="38">
        <f>IF(OR(S451="",S450=""),"",S451-S450)</f>
        <v/>
      </c>
      <c r="V451" s="38">
        <f>IF(OR(U451="",P451=""),"",U451+P451)</f>
        <v/>
      </c>
      <c r="W451" s="38">
        <f>IF(OR(T451="",O451="",P451=""),"",T451-O451+P451)</f>
        <v/>
      </c>
    </row>
    <row r="452">
      <c r="A452" s="30" t="n">
        <v>46106</v>
      </c>
      <c r="B452" s="36" t="n">
        <v>7137028279.616254</v>
      </c>
      <c r="C452" s="36" t="n">
        <v>126821355.1988578</v>
      </c>
      <c r="D452" s="36" t="n">
        <v>2544010665</v>
      </c>
      <c r="E452" s="36" t="n">
        <v>1489905.01</v>
      </c>
      <c r="F452" s="36" t="n">
        <v>146699</v>
      </c>
      <c r="G452" s="36" t="n">
        <v>51843</v>
      </c>
      <c r="H452" s="36" t="n">
        <v>38141</v>
      </c>
      <c r="I452" s="36" t="n">
        <v>46508</v>
      </c>
      <c r="J452" s="36" t="n">
        <v>8814.31290329727</v>
      </c>
      <c r="K452" s="36" t="n">
        <v>0</v>
      </c>
      <c r="L452" s="37" t="n">
        <v>36745.44</v>
      </c>
      <c r="M452" s="36" t="n">
        <v>1489905.01</v>
      </c>
      <c r="N452" s="37" t="n">
        <v>42608216.20255512</v>
      </c>
      <c r="O452" s="37" t="n">
        <v>26474.6328</v>
      </c>
      <c r="P452" s="37" t="n">
        <v>1004.2188</v>
      </c>
      <c r="Q452" s="36" t="n">
        <v>40829.53</v>
      </c>
      <c r="R452" s="37" t="n">
        <v>299124196.548</v>
      </c>
      <c r="S452" s="37" t="n">
        <v>999273240.6131999</v>
      </c>
      <c r="T452" s="38">
        <f>IF(OR(R452="",R451=""),"",R452-R451)</f>
        <v/>
      </c>
      <c r="U452" s="38">
        <f>IF(OR(S452="",S451=""),"",S452-S451)</f>
        <v/>
      </c>
      <c r="V452" s="38">
        <f>IF(OR(U452="",P452=""),"",U452+P452)</f>
        <v/>
      </c>
      <c r="W452" s="38">
        <f>IF(OR(T452="",O452="",P452=""),"",T452-O452+P452)</f>
        <v/>
      </c>
    </row>
    <row r="453">
      <c r="A453" s="30" t="n">
        <v>46107</v>
      </c>
      <c r="B453" s="36" t="n">
        <v>6882272122.883001</v>
      </c>
      <c r="C453" s="36" t="n">
        <v>101150775.2930952</v>
      </c>
      <c r="D453" s="36" t="n">
        <v>2413494093</v>
      </c>
      <c r="E453" s="36" t="n">
        <v>1376153.56</v>
      </c>
      <c r="F453" s="36" t="n">
        <v>146611</v>
      </c>
      <c r="G453" s="36" t="n">
        <v>49014</v>
      </c>
      <c r="H453" s="36" t="n">
        <v>38198</v>
      </c>
      <c r="I453" s="36" t="n">
        <v>52042</v>
      </c>
      <c r="J453" s="36" t="n">
        <v>7089.566958894238</v>
      </c>
      <c r="K453" s="36" t="n">
        <v>20132.06</v>
      </c>
      <c r="L453" s="37" t="n">
        <v>35190.32</v>
      </c>
      <c r="M453" s="36" t="n">
        <v>1376153.56</v>
      </c>
      <c r="N453" s="37" t="n">
        <v>42643822.48255512</v>
      </c>
      <c r="O453" s="37" t="n">
        <v>26439.4326</v>
      </c>
      <c r="P453" s="37" t="n">
        <v>798.0862</v>
      </c>
      <c r="Q453" s="36" t="n">
        <v>32079.47</v>
      </c>
      <c r="R453" s="37" t="n">
        <v>299098408.9834</v>
      </c>
      <c r="S453" s="37" t="n">
        <v>999272442.5271</v>
      </c>
      <c r="T453" s="38">
        <f>IF(OR(R453="",R452=""),"",R453-R452)</f>
        <v/>
      </c>
      <c r="U453" s="38">
        <f>IF(OR(S453="",S452=""),"",S453-S452)</f>
        <v/>
      </c>
      <c r="V453" s="38">
        <f>IF(OR(U453="",P453=""),"",U453+P453)</f>
        <v/>
      </c>
      <c r="W453" s="38">
        <f>IF(OR(T453="",O453="",P453=""),"",T453-O453+P453)</f>
        <v/>
      </c>
    </row>
    <row r="454">
      <c r="A454" s="30" t="n">
        <v>46108</v>
      </c>
      <c r="B454" s="36" t="n">
        <v>6407066367.05621</v>
      </c>
      <c r="C454" s="36" t="n">
        <v>112875680.5417804</v>
      </c>
      <c r="D454" s="36" t="n">
        <v>2331741264</v>
      </c>
      <c r="E454" s="36" t="n">
        <v>1328434.1</v>
      </c>
      <c r="F454" s="36" t="n">
        <v>161694</v>
      </c>
      <c r="G454" s="36" t="n">
        <v>52842</v>
      </c>
      <c r="H454" s="36" t="n">
        <v>40677</v>
      </c>
      <c r="I454" s="36" t="n">
        <v>56514</v>
      </c>
      <c r="J454" s="36" t="n">
        <v>7081.633351007457</v>
      </c>
      <c r="K454" s="36" t="n">
        <v>0</v>
      </c>
      <c r="L454" s="37" t="n">
        <v>34495.71</v>
      </c>
      <c r="M454" s="36" t="n">
        <v>1328434.1</v>
      </c>
      <c r="N454" s="37" t="n">
        <v>42678566.08255512</v>
      </c>
      <c r="O454" s="37" t="n">
        <v>26488.8466</v>
      </c>
      <c r="P454" s="37" t="n">
        <v>1296.0589</v>
      </c>
      <c r="Q454" s="36" t="n">
        <v>50712.19</v>
      </c>
      <c r="R454" s="37" t="n">
        <v>299073653.019</v>
      </c>
      <c r="S454" s="37" t="n">
        <v>999271146.4682</v>
      </c>
      <c r="T454" s="38">
        <f>IF(OR(R454="",R453=""),"",R454-R453)</f>
        <v/>
      </c>
      <c r="U454" s="38">
        <f>IF(OR(S454="",S453=""),"",S454-S453)</f>
        <v/>
      </c>
      <c r="V454" s="38">
        <f>IF(OR(U454="",P454=""),"",U454+P454)</f>
        <v/>
      </c>
      <c r="W454" s="38">
        <f>IF(OR(T454="",O454="",P454=""),"",T454-O454+P454)</f>
        <v/>
      </c>
    </row>
    <row r="455">
      <c r="A455" s="30" t="n">
        <v>46109</v>
      </c>
      <c r="B455" s="36" t="n">
        <v>2398083583.837348</v>
      </c>
      <c r="C455" s="36" t="n">
        <v>136060025.9179392</v>
      </c>
      <c r="D455" s="36" t="n">
        <v>386148347</v>
      </c>
      <c r="E455" s="36" t="n">
        <v>646955.66</v>
      </c>
      <c r="F455" s="36" t="n">
        <v>38935</v>
      </c>
      <c r="G455" s="36" t="n">
        <v>9378</v>
      </c>
      <c r="H455" s="36" t="n">
        <v>28275</v>
      </c>
      <c r="I455" s="36" t="n">
        <v>36535</v>
      </c>
      <c r="J455" s="36" t="n">
        <v>4089.846242555367</v>
      </c>
      <c r="K455" s="36" t="n">
        <v>0</v>
      </c>
      <c r="L455" s="37" t="n">
        <v>16409.18</v>
      </c>
      <c r="M455" s="36" t="n">
        <v>646955.66</v>
      </c>
      <c r="N455" s="37" t="n">
        <v>42694298.92255512</v>
      </c>
      <c r="O455" s="37" t="n">
        <v>26478.2252</v>
      </c>
      <c r="P455" s="37" t="n">
        <v>884.5664</v>
      </c>
      <c r="Q455" s="36" t="n">
        <v>33685.61</v>
      </c>
      <c r="R455" s="37" t="n">
        <v>299050164.9614</v>
      </c>
      <c r="S455" s="37" t="n">
        <v>999270261.9019001</v>
      </c>
      <c r="T455" s="38">
        <f>IF(OR(R455="",R454=""),"",R455-R454)</f>
        <v/>
      </c>
      <c r="U455" s="38">
        <f>IF(OR(S455="",S454=""),"",S455-S454)</f>
        <v/>
      </c>
      <c r="V455" s="38">
        <f>IF(OR(U455="",P455=""),"",U455+P455)</f>
        <v/>
      </c>
      <c r="W455" s="38">
        <f>IF(OR(T455="",O455="",P455=""),"",T455-O455+P455)</f>
        <v/>
      </c>
    </row>
    <row r="456">
      <c r="A456" s="30" t="n">
        <v>46110</v>
      </c>
      <c r="B456" s="36" t="n">
        <v>2845853165.343155</v>
      </c>
      <c r="C456" s="36" t="n">
        <v>82146976.40137269</v>
      </c>
      <c r="D456" s="36" t="n">
        <v>644708859</v>
      </c>
      <c r="E456" s="36" t="n">
        <v>700025.42</v>
      </c>
      <c r="F456" s="36" t="n">
        <v>54281</v>
      </c>
      <c r="G456" s="36" t="n">
        <v>15431</v>
      </c>
      <c r="H456" s="36" t="n">
        <v>24415</v>
      </c>
      <c r="I456" s="36" t="n">
        <v>31483</v>
      </c>
      <c r="J456" s="36" t="n">
        <v>4275.559562977322</v>
      </c>
      <c r="K456" s="36" t="n">
        <v>19737.21</v>
      </c>
      <c r="L456" s="37" t="n">
        <v>18038.83</v>
      </c>
      <c r="M456" s="36" t="n">
        <v>700025.42</v>
      </c>
      <c r="N456" s="37" t="n">
        <v>42712619.23255512</v>
      </c>
      <c r="O456" s="37" t="n">
        <v>26489.1993</v>
      </c>
      <c r="P456" s="37" t="n">
        <v>252.1519</v>
      </c>
      <c r="Q456" s="36" t="n">
        <v>9946.639999999999</v>
      </c>
      <c r="R456" s="37" t="n">
        <v>299046325.1907</v>
      </c>
      <c r="S456" s="37" t="n">
        <v>999270009.7499</v>
      </c>
      <c r="T456" s="38">
        <f>IF(OR(R456="",R455=""),"",R456-R455)</f>
        <v/>
      </c>
      <c r="U456" s="38">
        <f>IF(OR(S456="",S455=""),"",S456-S455)</f>
        <v/>
      </c>
      <c r="V456" s="38">
        <f>IF(OR(U456="",P456=""),"",U456+P456)</f>
        <v/>
      </c>
      <c r="W456" s="38">
        <f>IF(OR(T456="",O456="",P456=""),"",T456-O456+P456)</f>
        <v/>
      </c>
    </row>
    <row r="457">
      <c r="A457" s="30" t="n">
        <v>46111</v>
      </c>
      <c r="B457" s="36" t="n">
        <v>6146955291.345793</v>
      </c>
      <c r="C457" s="36" t="n">
        <v>79367279.21817394</v>
      </c>
      <c r="D457" s="36" t="n">
        <v>2297079678</v>
      </c>
      <c r="E457" s="36" t="n">
        <v>1240450.63</v>
      </c>
      <c r="F457" s="36" t="n">
        <v>119402</v>
      </c>
      <c r="G457" s="36" t="n">
        <v>42372</v>
      </c>
      <c r="H457" s="36" t="n">
        <v>47024</v>
      </c>
      <c r="I457" s="36" t="n">
        <v>54539</v>
      </c>
      <c r="J457" s="36" t="n">
        <v>13433.30876071424</v>
      </c>
      <c r="K457" s="36" t="n">
        <v>19945.95</v>
      </c>
      <c r="L457" s="37" t="n">
        <v>32787.89</v>
      </c>
      <c r="M457" s="36" t="n">
        <v>1240450.63</v>
      </c>
      <c r="N457" s="37" t="n">
        <v>42745268.37255512</v>
      </c>
      <c r="O457" s="37" t="n">
        <v>26454.5544</v>
      </c>
      <c r="P457" s="37" t="n">
        <v>1138.5131</v>
      </c>
      <c r="Q457" s="36" t="n">
        <v>43695.57</v>
      </c>
      <c r="R457" s="37" t="n">
        <v>299038986.6481</v>
      </c>
      <c r="S457" s="37" t="n">
        <v>999268871.2368</v>
      </c>
      <c r="T457" s="38">
        <f>IF(OR(R457="",R456=""),"",R457-R456)</f>
        <v/>
      </c>
      <c r="U457" s="38">
        <f>IF(OR(S457="",S456=""),"",S457-S456)</f>
        <v/>
      </c>
      <c r="V457" s="38">
        <f>IF(OR(U457="",P457=""),"",U457+P457)</f>
        <v/>
      </c>
      <c r="W457" s="38">
        <f>IF(OR(T457="",O457="",P457=""),"",T457-O457+P457)</f>
        <v/>
      </c>
    </row>
    <row r="458">
      <c r="A458" s="30" t="n">
        <v>46112</v>
      </c>
      <c r="B458" s="36" t="n">
        <v>9760594861.671038</v>
      </c>
      <c r="C458" s="36" t="n">
        <v>118096372.7576319</v>
      </c>
      <c r="D458" s="36" t="n">
        <v>3631296644</v>
      </c>
      <c r="E458" s="36" t="n">
        <v>1834915.22</v>
      </c>
      <c r="F458" s="36" t="n">
        <v>184617</v>
      </c>
      <c r="G458" s="36" t="n">
        <v>70753</v>
      </c>
      <c r="H458" s="36" t="n">
        <v>52106</v>
      </c>
      <c r="I458" s="36" t="n">
        <v>62621</v>
      </c>
      <c r="J458" s="36" t="n">
        <v>8633.906741899928</v>
      </c>
      <c r="K458" s="36" t="n">
        <v>0</v>
      </c>
      <c r="L458" s="37" t="n">
        <v>50158.6</v>
      </c>
      <c r="M458" s="36" t="n">
        <v>1834915.22</v>
      </c>
      <c r="N458" s="37" t="n">
        <v>42797054.99255512</v>
      </c>
      <c r="O458" s="37" t="n">
        <v>26387.6955</v>
      </c>
      <c r="P458" s="37" t="n">
        <v>794.1036</v>
      </c>
      <c r="Q458" s="36" t="n">
        <v>29264.3</v>
      </c>
      <c r="R458" s="37" t="n">
        <v>299017614.5581</v>
      </c>
      <c r="S458" s="37" t="n">
        <v>999268077.1332</v>
      </c>
      <c r="T458" s="38">
        <f>IF(OR(R458="",R457=""),"",R458-R457)</f>
        <v/>
      </c>
      <c r="U458" s="38">
        <f>IF(OR(S458="",S457=""),"",S458-S457)</f>
        <v/>
      </c>
      <c r="V458" s="38">
        <f>IF(OR(U458="",P458=""),"",U458+P458)</f>
        <v/>
      </c>
      <c r="W458" s="38">
        <f>IF(OR(T458="",O458="",P458=""),"",T458-O458+P458)</f>
        <v/>
      </c>
    </row>
    <row r="459">
      <c r="A459" s="30" t="n">
        <v>46113</v>
      </c>
      <c r="B459" s="36" t="n">
        <v>8220480654.730229</v>
      </c>
      <c r="C459" s="36" t="n">
        <v>144809136.1577418</v>
      </c>
      <c r="D459" s="36" t="n">
        <v>3215167235</v>
      </c>
      <c r="E459" s="36" t="n">
        <v>1608560.48</v>
      </c>
      <c r="F459" s="36" t="n">
        <v>171162</v>
      </c>
      <c r="G459" s="36" t="n">
        <v>59465</v>
      </c>
      <c r="H459" s="36" t="n">
        <v>34405</v>
      </c>
      <c r="I459" s="36" t="n">
        <v>47354</v>
      </c>
      <c r="J459" s="36" t="n">
        <v>6777.793290454058</v>
      </c>
      <c r="K459" s="36" t="n">
        <v>0</v>
      </c>
      <c r="L459" s="37" t="n">
        <v>43749.54</v>
      </c>
      <c r="M459" s="36" t="n">
        <v>1608560.48</v>
      </c>
      <c r="N459" s="37" t="n">
        <v>42839299.65255512</v>
      </c>
      <c r="O459" s="37" t="n">
        <v>26478.4995</v>
      </c>
      <c r="P459" s="37" t="n">
        <v>971.313</v>
      </c>
      <c r="Q459" s="36" t="n">
        <v>35454.38</v>
      </c>
      <c r="R459" s="37" t="n">
        <v>298977020.8685</v>
      </c>
      <c r="S459" s="37" t="n">
        <v>999267105.8202</v>
      </c>
      <c r="T459" s="38">
        <f>IF(OR(R459="",R458=""),"",R459-R458)</f>
        <v/>
      </c>
      <c r="U459" s="38">
        <f>IF(OR(S459="",S458=""),"",S459-S458)</f>
        <v/>
      </c>
      <c r="V459" s="38">
        <f>IF(OR(U459="",P459=""),"",U459+P459)</f>
        <v/>
      </c>
      <c r="W459" s="38">
        <f>IF(OR(T459="",O459="",P459=""),"",T459-O459+P459)</f>
        <v/>
      </c>
    </row>
    <row r="460">
      <c r="A460" s="30" t="n">
        <v>46114</v>
      </c>
      <c r="B460" s="36" t="n">
        <v>9535049283.895729</v>
      </c>
      <c r="C460" s="36" t="n">
        <v>108279589.3855927</v>
      </c>
      <c r="D460" s="36" t="n">
        <v>4284546572</v>
      </c>
      <c r="E460" s="36" t="n">
        <v>1732229.66</v>
      </c>
      <c r="F460" s="36" t="n">
        <v>256950</v>
      </c>
      <c r="G460" s="36" t="n">
        <v>96227</v>
      </c>
      <c r="H460" s="36" t="n">
        <v>49147</v>
      </c>
      <c r="I460" s="36" t="n">
        <v>58823</v>
      </c>
      <c r="J460" s="36" t="n">
        <v>5138.851470896767</v>
      </c>
      <c r="K460" s="36" t="n">
        <v>0</v>
      </c>
      <c r="L460" s="37" t="n">
        <v>49360.33</v>
      </c>
      <c r="M460" s="36" t="n">
        <v>1732229.66</v>
      </c>
      <c r="N460" s="37" t="n">
        <v>42888622.73255512</v>
      </c>
      <c r="O460" s="37" t="n">
        <v>26459.0968</v>
      </c>
      <c r="P460" s="37" t="n">
        <v>283.5728</v>
      </c>
      <c r="Q460" s="36" t="n">
        <v>10209.75</v>
      </c>
      <c r="R460" s="37" t="n">
        <v>298946538.5256</v>
      </c>
      <c r="S460" s="37" t="n">
        <v>999266822.2474</v>
      </c>
      <c r="T460" s="38">
        <f>IF(OR(R460="",R459=""),"",R460-R459)</f>
        <v/>
      </c>
      <c r="U460" s="38">
        <f>IF(OR(S460="",S459=""),"",S460-S459)</f>
        <v/>
      </c>
      <c r="V460" s="38">
        <f>IF(OR(U460="",P460=""),"",U460+P460)</f>
        <v/>
      </c>
      <c r="W460" s="38">
        <f>IF(OR(T460="",O460="",P460=""),"",T460-O460+P460)</f>
        <v/>
      </c>
    </row>
    <row r="461">
      <c r="A461" s="30" t="n">
        <v>46115</v>
      </c>
      <c r="B461" s="36" t="n">
        <v>2907056147.88027</v>
      </c>
      <c r="C461" s="36" t="n">
        <v>139050159.3879819</v>
      </c>
      <c r="D461" s="36" t="n">
        <v>475921997</v>
      </c>
      <c r="E461" s="36" t="n">
        <v>750398.22</v>
      </c>
      <c r="F461" s="36" t="n">
        <v>43742</v>
      </c>
      <c r="G461" s="36" t="n">
        <v>12000</v>
      </c>
      <c r="H461" s="36" t="n">
        <v>22768</v>
      </c>
      <c r="I461" s="36" t="n">
        <v>28451</v>
      </c>
      <c r="J461" s="36" t="n">
        <v>2730.180522242762</v>
      </c>
      <c r="K461" s="36" t="n">
        <v>0</v>
      </c>
      <c r="L461" s="37" t="n">
        <v>21013.16</v>
      </c>
      <c r="M461" s="36" t="n">
        <v>750398.22</v>
      </c>
      <c r="N461" s="37" t="n">
        <v>42909162.12255512</v>
      </c>
      <c r="O461" s="37" t="n">
        <v>26361.2491</v>
      </c>
      <c r="P461" s="37" t="n">
        <v>985.9113</v>
      </c>
      <c r="Q461" s="36" t="n">
        <v>34735.13</v>
      </c>
      <c r="R461" s="37" t="n">
        <v>298908202.9179</v>
      </c>
      <c r="S461" s="37" t="n">
        <v>999265836.3361</v>
      </c>
      <c r="T461" s="38">
        <f>IF(OR(R461="",R460=""),"",R461-R460)</f>
        <v/>
      </c>
      <c r="U461" s="38">
        <f>IF(OR(S461="",S460=""),"",S461-S460)</f>
        <v/>
      </c>
      <c r="V461" s="38">
        <f>IF(OR(U461="",P461=""),"",U461+P461)</f>
        <v/>
      </c>
      <c r="W461" s="38">
        <f>IF(OR(T461="",O461="",P461=""),"",T461-O461+P461)</f>
        <v/>
      </c>
    </row>
    <row r="462">
      <c r="A462" s="30" t="n">
        <v>46116</v>
      </c>
      <c r="B462" s="36" t="n">
        <v>1440116163.053999</v>
      </c>
      <c r="C462" s="36" t="n">
        <v>72708449.84804694</v>
      </c>
      <c r="D462" s="36" t="n">
        <v>213968572</v>
      </c>
      <c r="E462" s="36" t="n">
        <v>387540.53</v>
      </c>
      <c r="F462" s="36" t="n">
        <v>22577</v>
      </c>
      <c r="G462" s="36" t="n">
        <v>5076</v>
      </c>
      <c r="H462" s="36" t="n">
        <v>16977</v>
      </c>
      <c r="I462" s="36" t="n">
        <v>23303</v>
      </c>
      <c r="J462" s="36" t="n">
        <v>1772.13652051325</v>
      </c>
      <c r="K462" s="36" t="n">
        <v>0</v>
      </c>
      <c r="L462" s="37" t="n">
        <v>10794.08</v>
      </c>
      <c r="M462" s="36" t="n">
        <v>387540.53</v>
      </c>
      <c r="N462" s="37" t="n">
        <v>42920232.58255512</v>
      </c>
      <c r="O462" s="37" t="n">
        <v>26401.5238</v>
      </c>
      <c r="P462" s="37" t="n">
        <v>800.5732</v>
      </c>
      <c r="Q462" s="36" t="n">
        <v>28521.62</v>
      </c>
      <c r="R462" s="37" t="n">
        <v>298898899.9127</v>
      </c>
      <c r="S462" s="37" t="n">
        <v>999265035.7629</v>
      </c>
      <c r="T462" s="38">
        <f>IF(OR(R462="",R461=""),"",R462-R461)</f>
        <v/>
      </c>
      <c r="U462" s="38">
        <f>IF(OR(S462="",S461=""),"",S462-S461)</f>
        <v/>
      </c>
      <c r="V462" s="38">
        <f>IF(OR(U462="",P462=""),"",U462+P462)</f>
        <v/>
      </c>
      <c r="W462" s="38">
        <f>IF(OR(T462="",O462="",P462=""),"",T462-O462+P462)</f>
        <v/>
      </c>
    </row>
    <row r="463">
      <c r="A463" s="30" t="n">
        <v>46117</v>
      </c>
      <c r="B463" s="36" t="n">
        <v>3174503601.02593</v>
      </c>
      <c r="C463" s="36" t="n">
        <v>44176365.32007252</v>
      </c>
      <c r="D463" s="36" t="n">
        <v>760846881</v>
      </c>
      <c r="E463" s="36" t="n">
        <v>584199.17</v>
      </c>
      <c r="F463" s="36" t="n">
        <v>50131</v>
      </c>
      <c r="G463" s="36" t="n">
        <v>17048</v>
      </c>
      <c r="H463" s="36" t="n">
        <v>25904</v>
      </c>
      <c r="I463" s="36" t="n">
        <v>33119</v>
      </c>
      <c r="J463" s="36" t="n">
        <v>2894.024783761015</v>
      </c>
      <c r="K463" s="36" t="n">
        <v>0</v>
      </c>
      <c r="L463" s="37" t="n">
        <v>16362.22</v>
      </c>
      <c r="M463" s="36" t="n">
        <v>584199.17</v>
      </c>
      <c r="N463" s="37" t="n">
        <v>42945222.82255512</v>
      </c>
      <c r="O463" s="37" t="n">
        <v>26393.4448</v>
      </c>
      <c r="P463" s="37" t="n">
        <v>125.9566</v>
      </c>
      <c r="Q463" s="36" t="n">
        <v>4563.72</v>
      </c>
      <c r="R463" s="37" t="n">
        <v>298899737.2242</v>
      </c>
      <c r="S463" s="37" t="n">
        <v>999264909.8063999</v>
      </c>
      <c r="T463" s="38">
        <f>IF(OR(R463="",R462=""),"",R463-R462)</f>
        <v/>
      </c>
      <c r="U463" s="38">
        <f>IF(OR(S463="",S462=""),"",S463-S462)</f>
        <v/>
      </c>
      <c r="V463" s="38">
        <f>IF(OR(U463="",P463=""),"",U463+P463)</f>
        <v/>
      </c>
      <c r="W463" s="38">
        <f>IF(OR(T463="",O463="",P463=""),"",T463-O463+P463)</f>
        <v/>
      </c>
    </row>
    <row r="464">
      <c r="A464" s="30" t="n">
        <v>46118</v>
      </c>
      <c r="B464" s="36" t="n">
        <v>7265568390.712321</v>
      </c>
      <c r="C464" s="36" t="n">
        <v>66191263.26683038</v>
      </c>
      <c r="D464" s="36" t="n">
        <v>2682336979</v>
      </c>
      <c r="E464" s="36" t="n">
        <v>1704830.87</v>
      </c>
      <c r="F464" s="36" t="n">
        <v>135791</v>
      </c>
      <c r="G464" s="36" t="n">
        <v>47895</v>
      </c>
      <c r="H464" s="36" t="n">
        <v>34608</v>
      </c>
      <c r="I464" s="36" t="n">
        <v>47287</v>
      </c>
      <c r="J464" s="36" t="n">
        <v>6572.948748723747</v>
      </c>
      <c r="K464" s="36" t="n">
        <v>0</v>
      </c>
      <c r="L464" s="37" t="n">
        <v>46080.62</v>
      </c>
      <c r="M464" s="36" t="n">
        <v>1704830.87</v>
      </c>
      <c r="N464" s="37" t="n">
        <v>42982589.28255512</v>
      </c>
      <c r="O464" s="37" t="n">
        <v>26398.4528</v>
      </c>
      <c r="P464" s="37" t="n">
        <v>170.212</v>
      </c>
      <c r="Q464" s="36" t="n">
        <v>6242.53</v>
      </c>
      <c r="R464" s="37" t="n">
        <v>298886612.1286</v>
      </c>
      <c r="S464" s="37" t="n">
        <v>999264739.5943</v>
      </c>
      <c r="T464" s="38">
        <f>IF(OR(R464="",R463=""),"",R464-R463)</f>
        <v/>
      </c>
      <c r="U464" s="38">
        <f>IF(OR(S464="",S463=""),"",S464-S463)</f>
        <v/>
      </c>
      <c r="V464" s="38">
        <f>IF(OR(U464="",P464=""),"",U464+P464)</f>
        <v/>
      </c>
      <c r="W464" s="38">
        <f>IF(OR(T464="",O464="",P464=""),"",T464-O464+P464)</f>
        <v/>
      </c>
    </row>
    <row r="465">
      <c r="A465" s="30" t="n">
        <v>46119</v>
      </c>
      <c r="B465" s="36" t="n">
        <v>11809515472.65211</v>
      </c>
      <c r="C465" s="36" t="n">
        <v>99855394.43560618</v>
      </c>
      <c r="D465" s="36" t="n">
        <v>5528092258</v>
      </c>
      <c r="E465" s="36" t="n">
        <v>1312533.34</v>
      </c>
      <c r="F465" s="36" t="n">
        <v>253114</v>
      </c>
      <c r="G465" s="36" t="n">
        <v>95340</v>
      </c>
      <c r="H465" s="36" t="n">
        <v>53908</v>
      </c>
      <c r="I465" s="36" t="n">
        <v>75695</v>
      </c>
      <c r="J465" s="36" t="n">
        <v>9696.05685814286</v>
      </c>
      <c r="K465" s="36" t="n">
        <v>18167.93</v>
      </c>
      <c r="L465" s="37" t="n">
        <v>35674.93</v>
      </c>
      <c r="M465" s="36" t="n">
        <v>1312533.34</v>
      </c>
      <c r="N465" s="37" t="n">
        <v>43028187.78255512</v>
      </c>
      <c r="O465" s="37" t="n">
        <v>26394.3754</v>
      </c>
      <c r="P465" s="37" t="n">
        <v>1310.5848</v>
      </c>
      <c r="Q465" s="36" t="n">
        <v>47794.41</v>
      </c>
      <c r="R465" s="37" t="n">
        <v>299193305.0433</v>
      </c>
      <c r="S465" s="37" t="n">
        <v>999263429.0095</v>
      </c>
      <c r="T465" s="38">
        <f>IF(OR(R465="",R464=""),"",R465-R464)</f>
        <v/>
      </c>
      <c r="U465" s="38">
        <f>IF(OR(S465="",S464=""),"",S465-S464)</f>
        <v/>
      </c>
      <c r="V465" s="38">
        <f>IF(OR(U465="",P465=""),"",U465+P465)</f>
        <v/>
      </c>
      <c r="W465" s="38">
        <f>IF(OR(T465="",O465="",P465=""),"",T465-O465+P465)</f>
        <v/>
      </c>
    </row>
    <row r="466">
      <c r="A466" s="30" t="n">
        <v>46120</v>
      </c>
      <c r="B466" s="36" t="n">
        <v>9759580353.680683</v>
      </c>
      <c r="C466" s="36" t="n">
        <v>174585200.9165753</v>
      </c>
      <c r="D466" s="36" t="n">
        <v>4699564622</v>
      </c>
      <c r="E466" s="36" t="n">
        <v>2524696.89</v>
      </c>
      <c r="F466" s="36" t="n">
        <v>189252</v>
      </c>
      <c r="G466" s="36" t="n">
        <v>74140</v>
      </c>
      <c r="H466" s="36" t="n">
        <v>74580</v>
      </c>
      <c r="I466" s="36" t="n">
        <v>97142</v>
      </c>
      <c r="J466" s="36" t="n">
        <v>12612.89212441474</v>
      </c>
      <c r="K466" s="36" t="n">
        <v>0</v>
      </c>
      <c r="L466" s="37" t="n">
        <v>65114.98</v>
      </c>
      <c r="M466" s="36" t="n">
        <v>2524696.89</v>
      </c>
      <c r="N466" s="37" t="n">
        <v>43083756.47255512</v>
      </c>
      <c r="O466" s="37" t="n">
        <v>26391.4274</v>
      </c>
      <c r="P466" s="37" t="n">
        <v>961.1906</v>
      </c>
      <c r="Q466" s="36" t="n">
        <v>37090.42</v>
      </c>
      <c r="R466" s="37" t="n">
        <v>299158782.7241</v>
      </c>
      <c r="S466" s="37" t="n">
        <v>999262467.8189</v>
      </c>
      <c r="T466" s="38">
        <f>IF(OR(R466="",R465=""),"",R466-R465)</f>
        <v/>
      </c>
      <c r="U466" s="38">
        <f>IF(OR(S466="",S465=""),"",S466-S465)</f>
        <v/>
      </c>
      <c r="V466" s="38">
        <f>IF(OR(U466="",P466=""),"",U466+P466)</f>
        <v/>
      </c>
      <c r="W466" s="38">
        <f>IF(OR(T466="",O466="",P466=""),"",T466-O466+P466)</f>
        <v/>
      </c>
    </row>
    <row r="467">
      <c r="A467" s="30" t="n">
        <v>46121</v>
      </c>
      <c r="B467" s="36" t="n">
        <v>8433468336.966206</v>
      </c>
      <c r="C467" s="36" t="n">
        <v>217216099.0531068</v>
      </c>
      <c r="D467" s="36" t="n">
        <v>3302527668</v>
      </c>
      <c r="E467" s="36" t="n">
        <v>1671725.46</v>
      </c>
      <c r="F467" s="36" t="n">
        <v>150897</v>
      </c>
      <c r="G467" s="36" t="n">
        <v>57680</v>
      </c>
      <c r="H467" s="36" t="n">
        <v>45143</v>
      </c>
      <c r="I467" s="36" t="n">
        <v>60612</v>
      </c>
      <c r="J467" s="36" t="n">
        <v>7924.158229249182</v>
      </c>
      <c r="K467" s="36" t="n">
        <v>19396.77</v>
      </c>
      <c r="L467" s="37" t="n">
        <v>42446.07</v>
      </c>
      <c r="M467" s="36" t="n">
        <v>1671725.46</v>
      </c>
      <c r="N467" s="37" t="n">
        <v>43125924.83255512</v>
      </c>
      <c r="O467" s="37" t="n">
        <v>26388.9572</v>
      </c>
      <c r="P467" s="37" t="n">
        <v>1181.5189</v>
      </c>
      <c r="Q467" s="36" t="n">
        <v>45311.25</v>
      </c>
      <c r="R467" s="37" t="n">
        <v>299114078.7858</v>
      </c>
      <c r="S467" s="37" t="n">
        <v>999261286.3</v>
      </c>
      <c r="T467" s="38">
        <f>IF(OR(R467="",R466=""),"",R467-R466)</f>
        <v/>
      </c>
      <c r="U467" s="38">
        <f>IF(OR(S467="",S466=""),"",S467-S466)</f>
        <v/>
      </c>
      <c r="V467" s="38">
        <f>IF(OR(U467="",P467=""),"",U467+P467)</f>
        <v/>
      </c>
      <c r="W467" s="38">
        <f>IF(OR(T467="",O467="",P467=""),"",T467-O467+P467)</f>
        <v/>
      </c>
    </row>
    <row r="468">
      <c r="A468" s="30" t="n">
        <v>46122</v>
      </c>
      <c r="B468" s="36" t="n">
        <v>5924398791.607639</v>
      </c>
      <c r="C468" s="36" t="n">
        <v>127150110.44166</v>
      </c>
      <c r="D468" s="36" t="n">
        <v>2007679018</v>
      </c>
      <c r="E468" s="36" t="n">
        <v>1295503.62</v>
      </c>
      <c r="F468" s="36" t="n">
        <v>101567</v>
      </c>
      <c r="G468" s="36" t="n">
        <v>37464</v>
      </c>
      <c r="H468" s="36" t="n">
        <v>56613</v>
      </c>
      <c r="I468" s="36" t="n">
        <v>69574</v>
      </c>
      <c r="J468" s="36" t="n">
        <v>10642.36891291499</v>
      </c>
      <c r="K468" s="36" t="n">
        <v>0</v>
      </c>
      <c r="L468" s="37" t="n">
        <v>31405.46</v>
      </c>
      <c r="M468" s="36" t="n">
        <v>1295503.62</v>
      </c>
      <c r="N468" s="37" t="n">
        <v>43157463.56255512</v>
      </c>
      <c r="O468" s="37" t="n">
        <v>26243.2147</v>
      </c>
      <c r="P468" s="37" t="n">
        <v>841.2268</v>
      </c>
      <c r="Q468" s="36" t="n">
        <v>33605.33</v>
      </c>
      <c r="R468" s="37" t="n">
        <v>299082847.4439</v>
      </c>
      <c r="S468" s="37" t="n">
        <v>999260445.0732</v>
      </c>
      <c r="T468" s="38">
        <f>IF(OR(R468="",R467=""),"",R468-R467)</f>
        <v/>
      </c>
      <c r="U468" s="38">
        <f>IF(OR(S468="",S467=""),"",S468-S467)</f>
        <v/>
      </c>
      <c r="V468" s="38">
        <f>IF(OR(U468="",P468=""),"",U468+P468)</f>
        <v/>
      </c>
      <c r="W468" s="38">
        <f>IF(OR(T468="",O468="",P468=""),"",T468-O468+P468)</f>
        <v/>
      </c>
    </row>
    <row r="469">
      <c r="A469" s="30" t="n">
        <v>46123</v>
      </c>
      <c r="B469" s="36" t="n">
        <v>2809142896.854682</v>
      </c>
      <c r="C469" s="36" t="n">
        <v>138249908.4593867</v>
      </c>
      <c r="D469" s="36" t="n">
        <v>545436419</v>
      </c>
      <c r="E469" s="36" t="n">
        <v>751239.75</v>
      </c>
      <c r="F469" s="36" t="n">
        <v>46194</v>
      </c>
      <c r="G469" s="36" t="n">
        <v>11967</v>
      </c>
      <c r="H469" s="36" t="n">
        <v>36400</v>
      </c>
      <c r="I469" s="36" t="n">
        <v>49045</v>
      </c>
      <c r="J469" s="36" t="n">
        <v>6216.601956952431</v>
      </c>
      <c r="K469" s="36" t="n">
        <v>0</v>
      </c>
      <c r="L469" s="37" t="n">
        <v>17727.89</v>
      </c>
      <c r="M469" s="36" t="n">
        <v>751239.75</v>
      </c>
      <c r="N469" s="37" t="n">
        <v>43175392.31255512</v>
      </c>
      <c r="O469" s="37" t="n">
        <v>26333.5006</v>
      </c>
      <c r="P469" s="37" t="n">
        <v>435.9036</v>
      </c>
      <c r="Q469" s="36" t="n">
        <v>18129.89</v>
      </c>
      <c r="R469" s="37" t="n">
        <v>299062790.4496</v>
      </c>
      <c r="S469" s="37" t="n">
        <v>999260009.1696</v>
      </c>
      <c r="T469" s="38">
        <f>IF(OR(R469="",R468=""),"",R469-R468)</f>
        <v/>
      </c>
      <c r="U469" s="38">
        <f>IF(OR(S469="",S468=""),"",S469-S468)</f>
        <v/>
      </c>
      <c r="V469" s="38">
        <f>IF(OR(U469="",P469=""),"",U469+P469)</f>
        <v/>
      </c>
      <c r="W469" s="38">
        <f>IF(OR(T469="",O469="",P469=""),"",T469-O469+P469)</f>
        <v/>
      </c>
    </row>
    <row r="470">
      <c r="A470" s="30" t="n">
        <v>46124</v>
      </c>
      <c r="B470" s="36" t="n">
        <v>5420791130.786279</v>
      </c>
      <c r="C470" s="36" t="n">
        <v>88217601.30907029</v>
      </c>
      <c r="D470" s="36" t="n">
        <v>1980231785</v>
      </c>
      <c r="E470" s="36" t="n">
        <v>1138369.82</v>
      </c>
      <c r="F470" s="36" t="n">
        <v>132906</v>
      </c>
      <c r="G470" s="36" t="n">
        <v>43429</v>
      </c>
      <c r="H470" s="36" t="n">
        <v>31665</v>
      </c>
      <c r="I470" s="36" t="n">
        <v>42336</v>
      </c>
      <c r="J470" s="36" t="n">
        <v>7164.283884746272</v>
      </c>
      <c r="K470" s="36" t="n">
        <v>0</v>
      </c>
      <c r="L470" s="37" t="n">
        <v>27717.87</v>
      </c>
      <c r="M470" s="36" t="n">
        <v>1138369.82</v>
      </c>
      <c r="N470" s="37" t="n">
        <v>43202403.85255512</v>
      </c>
      <c r="O470" s="37" t="n">
        <v>26419.8127</v>
      </c>
      <c r="P470" s="37" t="n">
        <v>718.5359</v>
      </c>
      <c r="Q470" s="36" t="n">
        <v>30568.67</v>
      </c>
      <c r="R470" s="37" t="n">
        <v>299056151.4334</v>
      </c>
      <c r="S470" s="37" t="n">
        <v>999259290.6337</v>
      </c>
      <c r="T470" s="38">
        <f>IF(OR(R470="",R469=""),"",R470-R469)</f>
        <v/>
      </c>
      <c r="U470" s="38">
        <f>IF(OR(S470="",S469=""),"",S470-S469)</f>
        <v/>
      </c>
      <c r="V470" s="38">
        <f>IF(OR(U470="",P470=""),"",U470+P470)</f>
        <v/>
      </c>
      <c r="W470" s="38">
        <f>IF(OR(T470="",O470="",P470=""),"",T470-O470+P470)</f>
        <v/>
      </c>
    </row>
    <row r="471">
      <c r="A471" s="30" t="n">
        <v>46125</v>
      </c>
      <c r="B471" s="36" t="n">
        <v>7903974831.533886</v>
      </c>
      <c r="C471" s="36" t="n">
        <v>96866263.05458033</v>
      </c>
      <c r="D471" s="36" t="n">
        <v>2678545110</v>
      </c>
      <c r="E471" s="36" t="n">
        <v>1682047.23</v>
      </c>
      <c r="F471" s="36" t="n">
        <v>141637</v>
      </c>
      <c r="G471" s="36" t="n">
        <v>50175</v>
      </c>
      <c r="H471" s="36" t="n">
        <v>48527</v>
      </c>
      <c r="I471" s="36" t="n">
        <v>59322</v>
      </c>
      <c r="J471" s="36" t="n">
        <v>11927.58847312924</v>
      </c>
      <c r="K471" s="36" t="n">
        <v>0</v>
      </c>
      <c r="L471" s="37" t="n">
        <v>39230.22</v>
      </c>
      <c r="M471" s="36" t="n">
        <v>1682047.23</v>
      </c>
      <c r="N471" s="37" t="n">
        <v>43242557.68255512</v>
      </c>
      <c r="O471" s="37" t="n">
        <v>26416.9001</v>
      </c>
      <c r="P471" s="37" t="n">
        <v>228.6712</v>
      </c>
      <c r="Q471" s="36" t="n">
        <v>9385.92</v>
      </c>
      <c r="R471" s="37" t="n">
        <v>299040913.9903</v>
      </c>
      <c r="S471" s="37" t="n">
        <v>999259061.9625</v>
      </c>
      <c r="T471" s="38">
        <f>IF(OR(R471="",R470=""),"",R471-R470)</f>
        <v/>
      </c>
      <c r="U471" s="38">
        <f>IF(OR(S471="",S470=""),"",S471-S470)</f>
        <v/>
      </c>
      <c r="V471" s="38">
        <f>IF(OR(U471="",P471=""),"",U471+P471)</f>
        <v/>
      </c>
      <c r="W471" s="38">
        <f>IF(OR(T471="",O471="",P471=""),"",T471-O471+P471)</f>
        <v/>
      </c>
    </row>
    <row r="472">
      <c r="A472" s="30" t="n">
        <v>46126</v>
      </c>
      <c r="B472" s="36" t="n">
        <v>7867685762.843938</v>
      </c>
      <c r="C472" s="36" t="n">
        <v>141907133.3442721</v>
      </c>
      <c r="D472" s="36" t="n">
        <v>2231679330</v>
      </c>
      <c r="E472" s="36" t="n">
        <v>1896392.55</v>
      </c>
      <c r="F472" s="36" t="n">
        <v>111623</v>
      </c>
      <c r="G472" s="36" t="n">
        <v>39313</v>
      </c>
      <c r="H472" s="36" t="n">
        <v>64541</v>
      </c>
      <c r="I472" s="36" t="n">
        <v>83581</v>
      </c>
      <c r="J472" s="36" t="n">
        <v>13024.60045250609</v>
      </c>
      <c r="K472" s="36" t="n">
        <v>0</v>
      </c>
      <c r="L472" s="37" t="n">
        <v>42938.42</v>
      </c>
      <c r="M472" s="36" t="n">
        <v>1896392.55</v>
      </c>
      <c r="N472" s="37" t="n">
        <v>43285637.74255512</v>
      </c>
      <c r="O472" s="37" t="n">
        <v>26453.2855</v>
      </c>
      <c r="P472" s="37" t="n">
        <v>997.557</v>
      </c>
      <c r="Q472" s="36" t="n">
        <v>44660.13</v>
      </c>
      <c r="R472" s="37" t="n">
        <v>299011827.7756</v>
      </c>
      <c r="S472" s="37" t="n">
        <v>999258064.4055001</v>
      </c>
      <c r="T472" s="38">
        <f>IF(OR(R472="",R471=""),"",R472-R471)</f>
        <v/>
      </c>
      <c r="U472" s="38">
        <f>IF(OR(S472="",S471=""),"",S472-S471)</f>
        <v/>
      </c>
      <c r="V472" s="38">
        <f>IF(OR(U472="",P472=""),"",U472+P472)</f>
        <v/>
      </c>
      <c r="W472" s="38">
        <f>IF(OR(T472="",O472="",P472=""),"",T472-O472+P472)</f>
        <v/>
      </c>
    </row>
    <row r="473">
      <c r="A473" s="30" t="n">
        <v>46127</v>
      </c>
      <c r="B473" s="36" t="n">
        <v>6037656706.4945</v>
      </c>
      <c r="C473" s="36" t="n">
        <v>171403754.2884946</v>
      </c>
      <c r="D473" s="36" t="n">
        <v>2053939952</v>
      </c>
      <c r="E473" s="36" t="n">
        <v>1324651.59</v>
      </c>
      <c r="F473" s="36" t="n">
        <v>108923</v>
      </c>
      <c r="G473" s="36" t="n">
        <v>39406</v>
      </c>
      <c r="H473" s="36" t="n">
        <v>44217</v>
      </c>
      <c r="I473" s="36" t="n">
        <v>58909</v>
      </c>
      <c r="J473" s="36" t="n">
        <v>10306.39943497868</v>
      </c>
      <c r="K473" s="36" t="n">
        <v>21750.05</v>
      </c>
      <c r="L473" s="37" t="n">
        <v>29919.89</v>
      </c>
      <c r="M473" s="36" t="n">
        <v>1324651.59</v>
      </c>
      <c r="N473" s="37" t="n">
        <v>43315329.98255512</v>
      </c>
      <c r="O473" s="37" t="n">
        <v>26464.6572</v>
      </c>
      <c r="P473" s="37" t="n">
        <v>421.2748</v>
      </c>
      <c r="Q473" s="36" t="n">
        <v>18450.78</v>
      </c>
      <c r="R473" s="37" t="n">
        <v>298980404.585</v>
      </c>
      <c r="S473" s="37" t="n">
        <v>999257643.1308</v>
      </c>
      <c r="T473" s="38">
        <f>IF(OR(R473="",R472=""),"",R473-R472)</f>
        <v/>
      </c>
      <c r="U473" s="38">
        <f>IF(OR(S473="",S472=""),"",S473-S472)</f>
        <v/>
      </c>
      <c r="V473" s="38">
        <f>IF(OR(U473="",P473=""),"",U473+P473)</f>
        <v/>
      </c>
      <c r="W473" s="38">
        <f>IF(OR(T473="",O473="",P473=""),"",T473-O473+P473)</f>
        <v/>
      </c>
    </row>
    <row r="474">
      <c r="A474" s="30" t="n">
        <v>46128</v>
      </c>
      <c r="B474" s="36" t="n">
        <v>6947947593.796581</v>
      </c>
      <c r="C474" s="36" t="n">
        <v>124970589.2392997</v>
      </c>
      <c r="D474" s="36" t="n">
        <v>1795518681</v>
      </c>
      <c r="E474" s="36" t="n">
        <v>1662817.42</v>
      </c>
      <c r="F474" s="36" t="n">
        <v>89009</v>
      </c>
      <c r="G474" s="36" t="n">
        <v>30197</v>
      </c>
      <c r="H474" s="36" t="n">
        <v>62800</v>
      </c>
      <c r="I474" s="36" t="n">
        <v>79066</v>
      </c>
      <c r="J474" s="36" t="n">
        <v>9956.86262909146</v>
      </c>
      <c r="K474" s="36" t="n">
        <v>0</v>
      </c>
      <c r="L474" s="37" t="n">
        <v>37404.67</v>
      </c>
      <c r="M474" s="36" t="n">
        <v>1662817.42</v>
      </c>
      <c r="N474" s="37" t="n">
        <v>43352296.74255512</v>
      </c>
      <c r="O474" s="37" t="n">
        <v>26464.5846</v>
      </c>
      <c r="P474" s="37" t="n">
        <v>1297.7344</v>
      </c>
      <c r="Q474" s="36" t="n">
        <v>57784.87</v>
      </c>
      <c r="R474" s="37" t="n">
        <v>298961489.8644</v>
      </c>
      <c r="S474" s="37" t="n">
        <v>999256345.3963</v>
      </c>
      <c r="T474" s="38">
        <f>IF(OR(R474="",R473=""),"",R474-R473)</f>
        <v/>
      </c>
      <c r="U474" s="38">
        <f>IF(OR(S474="",S473=""),"",S474-S473)</f>
        <v/>
      </c>
      <c r="V474" s="38">
        <f>IF(OR(U474="",P474=""),"",U474+P474)</f>
        <v/>
      </c>
      <c r="W474" s="38">
        <f>IF(OR(T474="",O474="",P474=""),"",T474-O474+P474)</f>
        <v/>
      </c>
    </row>
    <row r="475">
      <c r="A475" s="30" t="n">
        <v>46129</v>
      </c>
      <c r="B475" s="36" t="n">
        <v>8498968892.536205</v>
      </c>
      <c r="C475" s="36" t="n">
        <v>172639204.0934757</v>
      </c>
      <c r="D475" s="36" t="n">
        <v>2653685902</v>
      </c>
      <c r="E475" s="36" t="n">
        <v>1926748.5</v>
      </c>
      <c r="F475" s="36" t="n">
        <v>131751</v>
      </c>
      <c r="G475" s="36" t="n">
        <v>46442</v>
      </c>
      <c r="H475" s="36" t="n">
        <v>62537</v>
      </c>
      <c r="I475" s="36" t="n">
        <v>84416</v>
      </c>
      <c r="J475" s="36" t="n">
        <v>11526.6433888988</v>
      </c>
      <c r="K475" s="36" t="n">
        <v>22399.3</v>
      </c>
      <c r="L475" s="37" t="n">
        <v>43321.04</v>
      </c>
      <c r="M475" s="36" t="n">
        <v>1926748.5</v>
      </c>
      <c r="N475" s="37" t="n">
        <v>43395448.83255512</v>
      </c>
      <c r="O475" s="37" t="n">
        <v>26437.0983</v>
      </c>
      <c r="P475" s="37" t="n">
        <v>555.5300999999999</v>
      </c>
      <c r="Q475" s="36" t="n">
        <v>24494.99</v>
      </c>
      <c r="R475" s="37" t="n">
        <v>298936003.2527</v>
      </c>
      <c r="S475" s="37" t="n">
        <v>999255789.8663</v>
      </c>
      <c r="T475" s="38">
        <f>IF(OR(R475="",R474=""),"",R475-R474)</f>
        <v/>
      </c>
      <c r="U475" s="38">
        <f>IF(OR(S475="",S474=""),"",S475-S474)</f>
        <v/>
      </c>
      <c r="V475" s="38">
        <f>IF(OR(U475="",P475=""),"",U475+P475)</f>
        <v/>
      </c>
      <c r="W475" s="38">
        <f>IF(OR(T475="",O475="",P475=""),"",T475-O475+P475)</f>
        <v/>
      </c>
    </row>
    <row r="476">
      <c r="A476" s="30" t="n">
        <v>46130</v>
      </c>
      <c r="B476" s="36" t="n">
        <v>3392165208.957543</v>
      </c>
      <c r="C476" s="36" t="n">
        <v>184828362.4795361</v>
      </c>
      <c r="D476" s="36" t="n">
        <v>706595265</v>
      </c>
      <c r="E476" s="36" t="n">
        <v>877262.95</v>
      </c>
      <c r="F476" s="36" t="n">
        <v>64035</v>
      </c>
      <c r="G476" s="36" t="n">
        <v>18996</v>
      </c>
      <c r="H476" s="36" t="n">
        <v>30391</v>
      </c>
      <c r="I476" s="36" t="n">
        <v>38508</v>
      </c>
      <c r="J476" s="36" t="n">
        <v>6439.845551258521</v>
      </c>
      <c r="K476" s="36" t="n">
        <v>0</v>
      </c>
      <c r="L476" s="37" t="n">
        <v>19741.81</v>
      </c>
      <c r="M476" s="36" t="n">
        <v>877262.95</v>
      </c>
      <c r="N476" s="37" t="n">
        <v>43415762.77255512</v>
      </c>
      <c r="O476" s="37" t="n">
        <v>26451.3725</v>
      </c>
      <c r="P476" s="37" t="n">
        <v>1425.6598</v>
      </c>
      <c r="Q476" s="36" t="n">
        <v>63823.94</v>
      </c>
      <c r="R476" s="37" t="n">
        <v>298903478.0055</v>
      </c>
      <c r="S476" s="37" t="n">
        <v>999254364.2064</v>
      </c>
      <c r="T476" s="38">
        <f>IF(OR(R476="",R475=""),"",R476-R475)</f>
        <v/>
      </c>
      <c r="U476" s="38">
        <f>IF(OR(S476="",S475=""),"",S476-S475)</f>
        <v/>
      </c>
      <c r="V476" s="38">
        <f>IF(OR(U476="",P476=""),"",U476+P476)</f>
        <v/>
      </c>
      <c r="W476" s="38">
        <f>IF(OR(T476="",O476="",P476=""),"",T476-O476+P476)</f>
        <v/>
      </c>
    </row>
    <row r="477">
      <c r="A477" s="30" t="n">
        <v>46131</v>
      </c>
      <c r="B477" s="36" t="n">
        <v>5302966362.416595</v>
      </c>
      <c r="C477" s="36" t="n">
        <v>79542948.86399107</v>
      </c>
      <c r="D477" s="36" t="n">
        <v>1108742979</v>
      </c>
      <c r="E477" s="36" t="n">
        <v>1367863.42</v>
      </c>
      <c r="F477" s="36" t="n">
        <v>79880</v>
      </c>
      <c r="G477" s="36" t="n">
        <v>25193</v>
      </c>
      <c r="H477" s="36" t="n">
        <v>48237</v>
      </c>
      <c r="I477" s="36" t="n">
        <v>60343</v>
      </c>
      <c r="J477" s="36" t="n">
        <v>8494.466492733029</v>
      </c>
      <c r="K477" s="36" t="n">
        <v>0</v>
      </c>
      <c r="L477" s="37" t="n">
        <v>32142.71</v>
      </c>
      <c r="M477" s="36" t="n">
        <v>1367863.42</v>
      </c>
      <c r="N477" s="37" t="n">
        <v>43447726.66255512</v>
      </c>
      <c r="O477" s="37" t="n">
        <v>26456.7739</v>
      </c>
      <c r="P477" s="37" t="n">
        <v>153.5438</v>
      </c>
      <c r="Q477" s="36" t="n">
        <v>6711.01</v>
      </c>
      <c r="R477" s="37" t="n">
        <v>298895048.179</v>
      </c>
      <c r="S477" s="37" t="n">
        <v>999254210.6627001</v>
      </c>
      <c r="T477" s="38">
        <f>IF(OR(R477="",R476=""),"",R477-R476)</f>
        <v/>
      </c>
      <c r="U477" s="38">
        <f>IF(OR(S477="",S476=""),"",S477-S476)</f>
        <v/>
      </c>
      <c r="V477" s="38">
        <f>IF(OR(U477="",P477=""),"",U477+P477)</f>
        <v/>
      </c>
      <c r="W477" s="38">
        <f>IF(OR(T477="",O477="",P477=""),"",T477-O477+P477)</f>
        <v/>
      </c>
    </row>
    <row r="478">
      <c r="A478" s="30" t="n">
        <v>46132</v>
      </c>
      <c r="B478" s="36" t="n">
        <v>6201527275.987038</v>
      </c>
      <c r="C478" s="36" t="n">
        <v>138287498.5227357</v>
      </c>
      <c r="D478" s="36" t="n">
        <v>2138804366</v>
      </c>
      <c r="E478" s="36" t="n">
        <v>1298285.79</v>
      </c>
      <c r="F478" s="36" t="n">
        <v>105281</v>
      </c>
      <c r="G478" s="36" t="n">
        <v>38269</v>
      </c>
      <c r="H478" s="36" t="n">
        <v>35796</v>
      </c>
      <c r="I478" s="36" t="n">
        <v>49071</v>
      </c>
      <c r="J478" s="36" t="n">
        <v>8332.265406746117</v>
      </c>
      <c r="K478" s="36" t="n">
        <v>20321.64</v>
      </c>
      <c r="L478" s="37" t="n">
        <v>31533.61</v>
      </c>
      <c r="M478" s="36" t="n">
        <v>1298285.79</v>
      </c>
      <c r="N478" s="37" t="n">
        <v>43479794.67255512</v>
      </c>
      <c r="O478" s="37" t="n">
        <v>26450.7888</v>
      </c>
      <c r="P478" s="37" t="n">
        <v>773.1407</v>
      </c>
      <c r="Q478" s="36" t="n">
        <v>31767.97</v>
      </c>
      <c r="R478" s="37" t="n">
        <v>298874352.6987</v>
      </c>
      <c r="S478" s="37" t="n">
        <v>999253437.5219001</v>
      </c>
      <c r="T478" s="38">
        <f>IF(OR(R478="",R477=""),"",R478-R477)</f>
        <v/>
      </c>
      <c r="U478" s="38">
        <f>IF(OR(S478="",S477=""),"",S478-S477)</f>
        <v/>
      </c>
      <c r="V478" s="38">
        <f>IF(OR(U478="",P478=""),"",U478+P478)</f>
        <v/>
      </c>
      <c r="W478" s="38">
        <f>IF(OR(T478="",O478="",P478=""),"",T478-O478+P478)</f>
        <v/>
      </c>
    </row>
    <row r="479">
      <c r="A479" s="30" t="n">
        <v>46133</v>
      </c>
      <c r="B479" s="36" t="n">
        <v>7483213317.593317</v>
      </c>
      <c r="C479" s="36" t="n">
        <v>122420465.0404546</v>
      </c>
      <c r="D479" s="36" t="n">
        <v>2529732384</v>
      </c>
      <c r="E479" s="36" t="n">
        <v>1613418.45</v>
      </c>
      <c r="F479" s="36" t="n">
        <v>133363</v>
      </c>
      <c r="G479" s="36" t="n">
        <v>47499</v>
      </c>
      <c r="H479" s="36" t="n">
        <v>56201</v>
      </c>
      <c r="I479" s="36" t="n">
        <v>74746</v>
      </c>
      <c r="J479" s="36" t="n">
        <v>10976.8931625734</v>
      </c>
      <c r="K479" s="36" t="n">
        <v>20338.26</v>
      </c>
      <c r="L479" s="37" t="n">
        <v>40177.93</v>
      </c>
      <c r="M479" s="36" t="n">
        <v>1613418.45</v>
      </c>
      <c r="N479" s="37" t="n">
        <v>43520699.47255512</v>
      </c>
      <c r="O479" s="37" t="n">
        <v>26412.1852</v>
      </c>
      <c r="P479" s="37" t="n">
        <v>847.5674</v>
      </c>
      <c r="Q479" s="36" t="n">
        <v>34367.16</v>
      </c>
      <c r="R479" s="37" t="n">
        <v>298853454.0276</v>
      </c>
      <c r="S479" s="37" t="n">
        <v>999252589.9545</v>
      </c>
      <c r="T479" s="38">
        <f>IF(OR(R479="",R478=""),"",R479-R478)</f>
        <v/>
      </c>
      <c r="U479" s="38">
        <f>IF(OR(S479="",S478=""),"",S479-S478)</f>
        <v/>
      </c>
      <c r="V479" s="38">
        <f>IF(OR(U479="",P479=""),"",U479+P479)</f>
        <v/>
      </c>
      <c r="W479" s="38">
        <f>IF(OR(T479="",O479="",P479=""),"",T479-O479+P479)</f>
        <v/>
      </c>
    </row>
    <row r="480">
      <c r="A480" s="30" t="n">
        <v>46134</v>
      </c>
      <c r="B480" s="36" t="n">
        <v>6692098946.91682</v>
      </c>
      <c r="C480" s="36" t="n">
        <v>145899534.1127788</v>
      </c>
      <c r="D480" s="36" t="n">
        <v>1824491494</v>
      </c>
      <c r="E480" s="36" t="n">
        <v>1599024.3</v>
      </c>
      <c r="F480" s="36" t="n">
        <v>104584</v>
      </c>
      <c r="G480" s="36" t="n">
        <v>38229</v>
      </c>
      <c r="H480" s="36" t="n">
        <v>47656</v>
      </c>
      <c r="I480" s="36" t="n">
        <v>67009</v>
      </c>
      <c r="J480" s="36" t="n">
        <v>8501.708875351695</v>
      </c>
      <c r="K480" s="36" t="n">
        <v>0</v>
      </c>
      <c r="L480" s="37" t="n">
        <v>39255.84</v>
      </c>
      <c r="M480" s="36" t="n">
        <v>1599024.3</v>
      </c>
      <c r="N480" s="37" t="n">
        <v>43560852.33255512</v>
      </c>
      <c r="O480" s="37" t="n">
        <v>26430.8213</v>
      </c>
      <c r="P480" s="37" t="n">
        <v>985.4899</v>
      </c>
      <c r="Q480" s="36" t="n">
        <v>39235.8</v>
      </c>
      <c r="R480" s="37" t="n">
        <v>298823575.5293</v>
      </c>
      <c r="S480" s="37" t="n">
        <v>999251604.4646</v>
      </c>
      <c r="T480" s="38">
        <f>IF(OR(R480="",R479=""),"",R480-R479)</f>
        <v/>
      </c>
      <c r="U480" s="38">
        <f>IF(OR(S480="",S479=""),"",S480-S479)</f>
        <v/>
      </c>
      <c r="V480" s="38">
        <f>IF(OR(U480="",P480=""),"",U480+P480)</f>
        <v/>
      </c>
      <c r="W480" s="38">
        <f>IF(OR(T480="",O480="",P480=""),"",T480-O480+P480)</f>
        <v/>
      </c>
    </row>
    <row r="481">
      <c r="A481" s="30" t="n">
        <v>46135</v>
      </c>
      <c r="B481" s="36" t="n">
        <v>7629489707.016802</v>
      </c>
      <c r="C481" s="36" t="n">
        <v>133853956.7311297</v>
      </c>
      <c r="D481" s="36" t="n">
        <v>2696815733</v>
      </c>
      <c r="E481" s="36" t="n">
        <v>1550566.83</v>
      </c>
      <c r="F481" s="36" t="n">
        <v>123878</v>
      </c>
      <c r="G481" s="36" t="n">
        <v>42729</v>
      </c>
      <c r="H481" s="36" t="n">
        <v>38869</v>
      </c>
      <c r="I481" s="36" t="n">
        <v>53928</v>
      </c>
      <c r="J481" s="36" t="n">
        <v>9838.29461309434</v>
      </c>
      <c r="K481" s="36" t="n">
        <v>0</v>
      </c>
      <c r="L481" s="37" t="n">
        <v>37675.3</v>
      </c>
      <c r="M481" s="36" t="n">
        <v>1550566.83</v>
      </c>
      <c r="N481" s="37" t="n">
        <v>43596546.74255512</v>
      </c>
      <c r="O481" s="37" t="n">
        <v>26430.9951</v>
      </c>
      <c r="P481" s="37" t="n">
        <v>990.9312</v>
      </c>
      <c r="Q481" s="36" t="n">
        <v>40886.32</v>
      </c>
      <c r="R481" s="37" t="n">
        <v>298794440.1407</v>
      </c>
      <c r="S481" s="37" t="n">
        <v>999250613.5334001</v>
      </c>
      <c r="T481" s="38">
        <f>IF(OR(R481="",R480=""),"",R481-R480)</f>
        <v/>
      </c>
      <c r="U481" s="38">
        <f>IF(OR(S481="",S480=""),"",S481-S480)</f>
        <v/>
      </c>
      <c r="V481" s="38">
        <f>IF(OR(U481="",P481=""),"",U481+P481)</f>
        <v/>
      </c>
      <c r="W481" s="38">
        <f>IF(OR(T481="",O481="",P481=""),"",T481-O481+P481)</f>
        <v/>
      </c>
    </row>
    <row r="482">
      <c r="A482" s="30" t="n">
        <v>46136</v>
      </c>
      <c r="B482" s="36" t="n">
        <v>5537910318.100181</v>
      </c>
      <c r="C482" s="36" t="n">
        <v>106687405.3416997</v>
      </c>
      <c r="D482" s="36" t="n">
        <v>2240203300</v>
      </c>
      <c r="E482" s="36" t="n">
        <v>1038979.35</v>
      </c>
      <c r="F482" s="36" t="n">
        <v>104354</v>
      </c>
      <c r="G482" s="36" t="n">
        <v>35163</v>
      </c>
      <c r="H482" s="36" t="n">
        <v>31477</v>
      </c>
      <c r="I482" s="36" t="n">
        <v>44984</v>
      </c>
      <c r="J482" s="36" t="n">
        <v>3602.895434012749</v>
      </c>
      <c r="K482" s="36" t="n">
        <v>0</v>
      </c>
      <c r="L482" s="37" t="n">
        <v>25292.92</v>
      </c>
      <c r="M482" s="36" t="n">
        <v>1038979.35</v>
      </c>
      <c r="N482" s="37" t="n">
        <v>43621280.75255512</v>
      </c>
      <c r="O482" s="37" t="n">
        <v>26417.9951</v>
      </c>
      <c r="P482" s="37" t="n">
        <v>356.0936</v>
      </c>
      <c r="Q482" s="36" t="n">
        <v>14705.06</v>
      </c>
      <c r="R482" s="37" t="n">
        <v>298770375.4407</v>
      </c>
      <c r="S482" s="37" t="n">
        <v>999250257.4399</v>
      </c>
      <c r="T482" s="38">
        <f>IF(OR(R482="",R481=""),"",R482-R481)</f>
        <v/>
      </c>
      <c r="U482" s="38">
        <f>IF(OR(S482="",S481=""),"",S482-S481)</f>
        <v/>
      </c>
      <c r="V482" s="38">
        <f>IF(OR(U482="",P482=""),"",U482+P482)</f>
        <v/>
      </c>
      <c r="W482" s="38">
        <f>IF(OR(T482="",O482="",P482=""),"",T482-O482+P482)</f>
        <v/>
      </c>
    </row>
    <row r="483">
      <c r="A483" s="30" t="n">
        <v>46137</v>
      </c>
      <c r="B483" s="36" t="n">
        <v>1700831063.406063</v>
      </c>
      <c r="C483" s="36" t="n">
        <v>92234972.6876805</v>
      </c>
      <c r="D483" s="36" t="n">
        <v>317463935</v>
      </c>
      <c r="E483" s="36" t="n">
        <v>420523.08</v>
      </c>
      <c r="F483" s="36" t="n">
        <v>26377</v>
      </c>
      <c r="G483" s="36" t="n">
        <v>7370</v>
      </c>
      <c r="H483" s="36" t="n">
        <v>21311</v>
      </c>
      <c r="I483" s="36" t="n">
        <v>28026</v>
      </c>
      <c r="J483" s="36" t="n">
        <v>2575.353904557463</v>
      </c>
      <c r="K483" s="36" t="n">
        <v>0</v>
      </c>
      <c r="L483" s="37" t="n">
        <v>10174.42</v>
      </c>
      <c r="M483" s="36" t="n">
        <v>420523.08</v>
      </c>
      <c r="N483" s="37" t="n">
        <v>43631915.15255512</v>
      </c>
      <c r="O483" s="37" t="n">
        <v>26409.5577</v>
      </c>
      <c r="P483" s="37" t="n">
        <v>924.3055000000001</v>
      </c>
      <c r="Q483" s="36" t="n">
        <v>37925.64</v>
      </c>
      <c r="R483" s="37" t="n">
        <v>298756698.5192</v>
      </c>
      <c r="S483" s="37" t="n">
        <v>999249333.1344</v>
      </c>
      <c r="T483" s="38">
        <f>IF(OR(R483="",R482=""),"",R483-R482)</f>
        <v/>
      </c>
      <c r="U483" s="38">
        <f>IF(OR(S483="",S482=""),"",S483-S482)</f>
        <v/>
      </c>
      <c r="V483" s="38">
        <f>IF(OR(U483="",P483=""),"",U483+P483)</f>
        <v/>
      </c>
      <c r="W483" s="38">
        <f>IF(OR(T483="",O483="",P483=""),"",T483-O483+P483)</f>
        <v/>
      </c>
    </row>
    <row r="484">
      <c r="A484" s="30" t="n">
        <v>46138</v>
      </c>
      <c r="B484" s="36" t="n">
        <v>2708974103.863019</v>
      </c>
      <c r="C484" s="36" t="n">
        <v>45717665.66779094</v>
      </c>
      <c r="D484" s="36" t="n">
        <v>600112586</v>
      </c>
      <c r="E484" s="36" t="n">
        <v>674414.1</v>
      </c>
      <c r="F484" s="36" t="n">
        <v>61882</v>
      </c>
      <c r="G484" s="36" t="n">
        <v>23199</v>
      </c>
      <c r="H484" s="36" t="n">
        <v>27303</v>
      </c>
      <c r="I484" s="36" t="n">
        <v>38494</v>
      </c>
      <c r="J484" s="36" t="n">
        <v>3342.005660513506</v>
      </c>
      <c r="K484" s="36" t="n">
        <v>0</v>
      </c>
      <c r="L484" s="37" t="n">
        <v>16236.7</v>
      </c>
      <c r="M484" s="36" t="n">
        <v>674414.1</v>
      </c>
      <c r="N484" s="37" t="n">
        <v>43648827.96255512</v>
      </c>
      <c r="O484" s="37" t="n">
        <v>26388.9231</v>
      </c>
      <c r="P484" s="37" t="n">
        <v>207.8372</v>
      </c>
      <c r="Q484" s="36" t="n">
        <v>8597.08</v>
      </c>
      <c r="R484" s="37" t="n">
        <v>298757824.8433</v>
      </c>
      <c r="S484" s="37" t="n">
        <v>999249125.2972</v>
      </c>
      <c r="T484" s="38">
        <f>IF(OR(R484="",R483=""),"",R484-R483)</f>
        <v/>
      </c>
      <c r="U484" s="38">
        <f>IF(OR(S484="",S483=""),"",S484-S483)</f>
        <v/>
      </c>
      <c r="V484" s="38">
        <f>IF(OR(U484="",P484=""),"",U484+P484)</f>
        <v/>
      </c>
      <c r="W484" s="38">
        <f>IF(OR(T484="",O484="",P484=""),"",T484-O484+P484)</f>
        <v/>
      </c>
    </row>
    <row r="485">
      <c r="A485" s="30" t="n">
        <v>46139</v>
      </c>
      <c r="B485" s="36" t="n">
        <v>5721713351.4884</v>
      </c>
      <c r="C485" s="36" t="n">
        <v>77354686.38303907</v>
      </c>
      <c r="D485" s="36" t="n">
        <v>1708465194</v>
      </c>
      <c r="E485" s="36" t="n">
        <v>1313096.15</v>
      </c>
      <c r="F485" s="36" t="n">
        <v>87245</v>
      </c>
      <c r="G485" s="36" t="n">
        <v>31474</v>
      </c>
      <c r="H485" s="36" t="n">
        <v>40452</v>
      </c>
      <c r="I485" s="36" t="n">
        <v>58044</v>
      </c>
      <c r="J485" s="36" t="n">
        <v>7543.868745531192</v>
      </c>
      <c r="K485" s="36" t="n">
        <v>0</v>
      </c>
      <c r="L485" s="37" t="n">
        <v>31064.46</v>
      </c>
      <c r="M485" s="36" t="n">
        <v>1313096.15</v>
      </c>
      <c r="N485" s="37" t="n">
        <v>43678511.34255512</v>
      </c>
      <c r="O485" s="37" t="n">
        <v>26407.345</v>
      </c>
      <c r="P485" s="37" t="n">
        <v>283.5182</v>
      </c>
      <c r="Q485" s="36" t="n">
        <v>12046.12</v>
      </c>
      <c r="R485" s="37" t="n">
        <v>298752606.7237</v>
      </c>
      <c r="S485" s="37" t="n">
        <v>999248841.779</v>
      </c>
      <c r="T485" s="38">
        <f>IF(OR(R485="",R484=""),"",R485-R484)</f>
        <v/>
      </c>
      <c r="U485" s="38">
        <f>IF(OR(S485="",S484=""),"",S485-S484)</f>
        <v/>
      </c>
      <c r="V485" s="38">
        <f>IF(OR(U485="",P485=""),"",U485+P485)</f>
        <v/>
      </c>
      <c r="W485" s="38">
        <f>IF(OR(T485="",O485="",P485=""),"",T485-O485+P485)</f>
        <v/>
      </c>
    </row>
    <row r="486">
      <c r="A486" s="30" t="n">
        <v>46140</v>
      </c>
      <c r="B486" s="36" t="n">
        <v>5818332077.344572</v>
      </c>
      <c r="C486" s="36" t="n">
        <v>127110960.2871392</v>
      </c>
      <c r="D486" s="36" t="n">
        <v>2420248727</v>
      </c>
      <c r="E486" s="36" t="n">
        <v>1154158.92</v>
      </c>
      <c r="F486" s="36" t="n">
        <v>117406</v>
      </c>
      <c r="G486" s="36" t="n">
        <v>42497</v>
      </c>
      <c r="H486" s="36" t="n">
        <v>41351</v>
      </c>
      <c r="I486" s="36" t="n">
        <v>51372</v>
      </c>
      <c r="J486" s="36" t="n">
        <v>6028.578662241444</v>
      </c>
      <c r="K486" s="36" t="n">
        <v>0</v>
      </c>
      <c r="L486" s="37" t="n">
        <v>28585.59</v>
      </c>
      <c r="M486" s="36" t="n">
        <v>1154158.92</v>
      </c>
      <c r="N486" s="37" t="n">
        <v>43707525.31255512</v>
      </c>
      <c r="O486" s="37" t="n">
        <v>26404.9879</v>
      </c>
      <c r="P486" s="37" t="n">
        <v>938.8835</v>
      </c>
      <c r="Q486" s="36" t="n">
        <v>39130.32</v>
      </c>
      <c r="R486" s="37" t="n">
        <v>298733978.5624</v>
      </c>
      <c r="S486" s="37" t="n">
        <v>999247902.8954999</v>
      </c>
      <c r="T486" s="38">
        <f>IF(OR(R486="",R485=""),"",R486-R485)</f>
        <v/>
      </c>
      <c r="U486" s="38">
        <f>IF(OR(S486="",S485=""),"",S486-S485)</f>
        <v/>
      </c>
      <c r="V486" s="38">
        <f>IF(OR(U486="",P486=""),"",U486+P486)</f>
        <v/>
      </c>
      <c r="W486" s="38">
        <f>IF(OR(T486="",O486="",P486=""),"",T486-O486+P486)</f>
        <v/>
      </c>
    </row>
    <row r="487">
      <c r="A487" s="30" t="n">
        <v>46141</v>
      </c>
      <c r="B487" s="36" t="n">
        <v>7801708775.800292</v>
      </c>
      <c r="C487" s="36" t="n">
        <v>94847219.42316581</v>
      </c>
      <c r="D487" s="36" t="n">
        <v>2935442747</v>
      </c>
      <c r="E487" s="36" t="n">
        <v>1585554.2</v>
      </c>
      <c r="F487" s="36" t="n">
        <v>149590</v>
      </c>
      <c r="G487" s="36" t="n">
        <v>54832</v>
      </c>
      <c r="H487" s="36" t="n">
        <v>38117</v>
      </c>
      <c r="I487" s="36" t="n">
        <v>54836</v>
      </c>
      <c r="J487" s="36" t="n">
        <v>6346.323261222924</v>
      </c>
      <c r="K487" s="36" t="n">
        <v>0</v>
      </c>
      <c r="L487" s="37" t="n">
        <v>39692.08</v>
      </c>
      <c r="M487" s="36" t="n">
        <v>1585554.2</v>
      </c>
      <c r="N487" s="37" t="n">
        <v>43747331.68255512</v>
      </c>
      <c r="O487" s="37" t="n">
        <v>26395.1682</v>
      </c>
      <c r="P487" s="37" t="n">
        <v>538.9661</v>
      </c>
      <c r="Q487" s="36" t="n">
        <v>21546.52</v>
      </c>
      <c r="R487" s="37" t="n">
        <v>298716404.9677</v>
      </c>
      <c r="S487" s="37" t="n">
        <v>999247363.9294</v>
      </c>
      <c r="T487" s="38">
        <f>IF(OR(R487="",R486=""),"",R487-R486)</f>
        <v/>
      </c>
      <c r="U487" s="38">
        <f>IF(OR(S487="",S486=""),"",S487-S486)</f>
        <v/>
      </c>
      <c r="V487" s="38">
        <f>IF(OR(U487="",P487=""),"",U487+P487)</f>
        <v/>
      </c>
      <c r="W487" s="38">
        <f>IF(OR(T487="",O487="",P487=""),"",T487-O487+P487)</f>
        <v/>
      </c>
    </row>
    <row r="488">
      <c r="A488" s="30" t="n">
        <v>46142</v>
      </c>
      <c r="B488" s="36" t="n">
        <v>6474952900.989618</v>
      </c>
      <c r="C488" s="36" t="n">
        <v>120108432.0035411</v>
      </c>
      <c r="D488" s="36" t="n">
        <v>2846404489</v>
      </c>
      <c r="E488" s="36" t="n">
        <v>1087242.53</v>
      </c>
      <c r="F488" s="36" t="n">
        <v>140441</v>
      </c>
      <c r="G488" s="36" t="n">
        <v>49834</v>
      </c>
      <c r="H488" s="36" t="n">
        <v>33383</v>
      </c>
      <c r="I488" s="36" t="n">
        <v>44667</v>
      </c>
      <c r="J488" s="36" t="n">
        <v>3714.748926953404</v>
      </c>
      <c r="K488" s="36" t="n">
        <v>0</v>
      </c>
      <c r="L488" s="37" t="n">
        <v>27607.63</v>
      </c>
      <c r="M488" s="36" t="n">
        <v>1087242.53</v>
      </c>
      <c r="N488" s="37" t="n">
        <v>43774396.64255512</v>
      </c>
      <c r="O488" s="37" t="n">
        <v>26383.3908</v>
      </c>
      <c r="P488" s="37" t="n">
        <v>1196.8639</v>
      </c>
      <c r="Q488" s="36" t="n">
        <v>47721.96</v>
      </c>
      <c r="R488" s="37" t="n">
        <v>298687359.3563</v>
      </c>
      <c r="S488" s="37" t="n">
        <v>999246167.0655</v>
      </c>
      <c r="T488" s="38">
        <f>IF(OR(R488="",R487=""),"",R488-R487)</f>
        <v/>
      </c>
      <c r="U488" s="38">
        <f>IF(OR(S488="",S487=""),"",S488-S487)</f>
        <v/>
      </c>
      <c r="V488" s="38">
        <f>IF(OR(U488="",P488=""),"",U488+P488)</f>
        <v/>
      </c>
      <c r="W488" s="38">
        <f>IF(OR(T488="",O488="",P488=""),"",T488-O488+P488)</f>
        <v/>
      </c>
    </row>
    <row r="489">
      <c r="A489" s="30" t="n">
        <v>46143</v>
      </c>
      <c r="B489" s="36" t="n">
        <v>6215730793.005055</v>
      </c>
      <c r="C489" s="36" t="n">
        <v>108157330.5319127</v>
      </c>
      <c r="D489" s="36" t="n">
        <v>2323703914</v>
      </c>
      <c r="E489" s="36" t="n">
        <v>1346278.64</v>
      </c>
      <c r="F489" s="36" t="n">
        <v>115284</v>
      </c>
      <c r="G489" s="36" t="n">
        <v>41008</v>
      </c>
      <c r="H489" s="36" t="n">
        <v>40707</v>
      </c>
      <c r="I489" s="36" t="n">
        <v>56089</v>
      </c>
      <c r="J489" s="36" t="n">
        <v>4206.753062842559</v>
      </c>
      <c r="K489" s="36" t="n">
        <v>0</v>
      </c>
      <c r="L489" s="37" t="n">
        <v>33095.68</v>
      </c>
      <c r="M489" s="36" t="n">
        <v>1346278.64</v>
      </c>
      <c r="N489" s="37" t="n">
        <v>43808451.45255512</v>
      </c>
      <c r="O489" s="37" t="n">
        <v>26378.221</v>
      </c>
      <c r="P489" s="37" t="n">
        <v>1011.633</v>
      </c>
      <c r="Q489" s="36" t="n">
        <v>40341.9</v>
      </c>
      <c r="R489" s="37" t="n">
        <v>298671237.9801</v>
      </c>
      <c r="S489" s="37" t="n">
        <v>999245155.4325</v>
      </c>
      <c r="T489" s="38">
        <f>IF(OR(R489="",R488=""),"",R489-R488)</f>
        <v/>
      </c>
      <c r="U489" s="38">
        <f>IF(OR(S489="",S488=""),"",S489-S488)</f>
        <v/>
      </c>
      <c r="V489" s="38">
        <f>IF(OR(U489="",P489=""),"",U489+P489)</f>
        <v/>
      </c>
      <c r="W489" s="38">
        <f>IF(OR(T489="",O489="",P489=""),"",T489-O489+P489)</f>
        <v/>
      </c>
    </row>
    <row r="490">
      <c r="A490" s="30" t="n">
        <v>46144</v>
      </c>
      <c r="B490" s="36" t="n">
        <v>1962805143.481194</v>
      </c>
      <c r="C490" s="36" t="n">
        <v>117949188.3306083</v>
      </c>
      <c r="D490" s="36" t="n">
        <v>230045975</v>
      </c>
      <c r="E490" s="36" t="n">
        <v>554995.4300000001</v>
      </c>
      <c r="F490" s="36" t="n">
        <v>26162</v>
      </c>
      <c r="G490" s="36" t="n">
        <v>5558</v>
      </c>
      <c r="H490" s="36" t="n">
        <v>24289</v>
      </c>
      <c r="I490" s="36" t="n">
        <v>29270</v>
      </c>
      <c r="J490" s="36" t="n">
        <v>2585.464050852146</v>
      </c>
      <c r="K490" s="36" t="n">
        <v>0</v>
      </c>
      <c r="L490" s="37" t="n">
        <v>13368.7</v>
      </c>
      <c r="M490" s="36" t="n">
        <v>554995.4300000001</v>
      </c>
      <c r="N490" s="37" t="n">
        <v>43821103.22255512</v>
      </c>
      <c r="O490" s="37" t="n">
        <v>26480.6541</v>
      </c>
      <c r="P490" s="37" t="n">
        <v>493.8365</v>
      </c>
      <c r="Q490" s="36" t="n">
        <v>20291</v>
      </c>
      <c r="R490" s="37" t="n">
        <v>298648753.9313</v>
      </c>
      <c r="S490" s="37" t="n">
        <v>999244661.596</v>
      </c>
      <c r="T490" s="38">
        <f>IF(OR(R490="",R489=""),"",R490-R489)</f>
        <v/>
      </c>
      <c r="U490" s="38">
        <f>IF(OR(S490="",S489=""),"",S490-S489)</f>
        <v/>
      </c>
      <c r="V490" s="38">
        <f>IF(OR(U490="",P490=""),"",U490+P490)</f>
        <v/>
      </c>
      <c r="W490" s="38">
        <f>IF(OR(T490="",O490="",P490=""),"",T490-O490+P490)</f>
        <v/>
      </c>
    </row>
    <row r="491">
      <c r="A491" s="30" t="n">
        <v>46145</v>
      </c>
      <c r="B491" s="36" t="n">
        <v>2960972498.93068</v>
      </c>
      <c r="C491" s="36" t="n">
        <v>68110382.20351072</v>
      </c>
      <c r="D491" s="36" t="n">
        <v>689094133</v>
      </c>
      <c r="E491" s="36" t="n">
        <v>727226.9399999999</v>
      </c>
      <c r="F491" s="36" t="n">
        <v>58285</v>
      </c>
      <c r="G491" s="36" t="n">
        <v>14368</v>
      </c>
      <c r="H491" s="36" t="n">
        <v>24716</v>
      </c>
      <c r="I491" s="36" t="n">
        <v>32707</v>
      </c>
      <c r="J491" s="36" t="n">
        <v>2255.680675941935</v>
      </c>
      <c r="K491" s="36" t="n">
        <v>0</v>
      </c>
      <c r="L491" s="37" t="n">
        <v>17662.43</v>
      </c>
      <c r="M491" s="36" t="n">
        <v>727226.9399999999</v>
      </c>
      <c r="N491" s="37" t="n">
        <v>43839831.02255512</v>
      </c>
      <c r="O491" s="37" t="n">
        <v>26491.9497</v>
      </c>
      <c r="P491" s="37" t="n">
        <v>336.579</v>
      </c>
      <c r="Q491" s="36" t="n">
        <v>13908.29</v>
      </c>
      <c r="R491" s="37" t="n">
        <v>298647835.288</v>
      </c>
      <c r="S491" s="37" t="n">
        <v>999244325.0168999</v>
      </c>
      <c r="T491" s="38">
        <f>IF(OR(R491="",R490=""),"",R491-R490)</f>
        <v/>
      </c>
      <c r="U491" s="38">
        <f>IF(OR(S491="",S490=""),"",S491-S490)</f>
        <v/>
      </c>
      <c r="V491" s="38">
        <f>IF(OR(U491="",P491=""),"",U491+P491)</f>
        <v/>
      </c>
      <c r="W491" s="38">
        <f>IF(OR(T491="",O491="",P491=""),"",T491-O491+P491)</f>
        <v/>
      </c>
    </row>
    <row r="492">
      <c r="A492" s="30" t="n">
        <v>46146</v>
      </c>
      <c r="B492" s="36" t="n">
        <v>9319516400.96073</v>
      </c>
      <c r="C492" s="36" t="n">
        <v>114888326.4425076</v>
      </c>
      <c r="D492" s="36" t="n">
        <v>3319107020</v>
      </c>
      <c r="E492" s="36" t="n">
        <v>1908903.31</v>
      </c>
      <c r="F492" s="36" t="n">
        <v>160885</v>
      </c>
      <c r="G492" s="36" t="n">
        <v>57608</v>
      </c>
      <c r="H492" s="36" t="n">
        <v>49812</v>
      </c>
      <c r="I492" s="36" t="n">
        <v>68796</v>
      </c>
      <c r="J492" s="36" t="n">
        <v>6941.697392663881</v>
      </c>
      <c r="K492" s="36" t="n">
        <v>0</v>
      </c>
      <c r="L492" s="37" t="n">
        <v>45885.24</v>
      </c>
      <c r="M492" s="36" t="n">
        <v>1908903.31</v>
      </c>
      <c r="N492" s="37" t="n">
        <v>43885214.42255512</v>
      </c>
      <c r="O492" s="37" t="n">
        <v>26492.991</v>
      </c>
      <c r="P492" s="37" t="n">
        <v>830.7372</v>
      </c>
      <c r="Q492" s="36" t="n">
        <v>34269.16</v>
      </c>
      <c r="R492" s="37" t="n">
        <v>298640350.2025</v>
      </c>
      <c r="S492" s="37" t="n">
        <v>999243494.2798001</v>
      </c>
      <c r="T492" s="38">
        <f>IF(OR(R492="",R491=""),"",R492-R491)</f>
        <v/>
      </c>
      <c r="U492" s="38">
        <f>IF(OR(S492="",S491=""),"",S492-S491)</f>
        <v/>
      </c>
      <c r="V492" s="38">
        <f>IF(OR(U492="",P492=""),"",U492+P492)</f>
        <v/>
      </c>
      <c r="W492" s="38">
        <f>IF(OR(T492="",O492="",P492=""),"",T492-O492+P492)</f>
        <v/>
      </c>
    </row>
    <row r="493">
      <c r="A493" s="30" t="n">
        <v>46147</v>
      </c>
      <c r="B493" s="36" t="n">
        <v>7306700728.411302</v>
      </c>
      <c r="C493" s="36" t="n">
        <v>151600204.1456126</v>
      </c>
      <c r="D493" s="36" t="n">
        <v>2364574289</v>
      </c>
      <c r="E493" s="36" t="n">
        <v>1636317.05</v>
      </c>
      <c r="F493" s="36" t="n">
        <v>118614</v>
      </c>
      <c r="G493" s="36" t="n">
        <v>41776</v>
      </c>
      <c r="H493" s="36" t="n">
        <v>55602</v>
      </c>
      <c r="I493" s="36" t="n">
        <v>70963</v>
      </c>
      <c r="J493" s="36" t="n">
        <v>6431.871938815751</v>
      </c>
      <c r="K493" s="36" t="n">
        <v>0</v>
      </c>
      <c r="L493" s="37" t="n">
        <v>37568.98</v>
      </c>
      <c r="M493" s="36" t="n">
        <v>1636317.05</v>
      </c>
      <c r="N493" s="37" t="n">
        <v>43923183.10255512</v>
      </c>
      <c r="O493" s="37" t="n">
        <v>26499.8887</v>
      </c>
      <c r="P493" s="37" t="n">
        <v>839.074</v>
      </c>
      <c r="Q493" s="36" t="n">
        <v>35062.81</v>
      </c>
      <c r="R493" s="37" t="n">
        <v>298606205.1701</v>
      </c>
      <c r="S493" s="37" t="n">
        <v>999242655.2057</v>
      </c>
      <c r="T493" s="38">
        <f>IF(OR(R493="",R492=""),"",R493-R492)</f>
        <v/>
      </c>
      <c r="U493" s="38">
        <f>IF(OR(S493="",S492=""),"",S493-S492)</f>
        <v/>
      </c>
      <c r="V493" s="38">
        <f>IF(OR(U493="",P493=""),"",U493+P493)</f>
        <v/>
      </c>
      <c r="W493" s="38">
        <f>IF(OR(T493="",O493="",P493=""),"",T493-O493+P493)</f>
        <v/>
      </c>
    </row>
    <row r="494">
      <c r="A494" s="30" t="n">
        <v>46148</v>
      </c>
      <c r="B494" s="36" t="n">
        <v>9565477245.484392</v>
      </c>
      <c r="C494" s="36" t="n">
        <v>166682273.7658749</v>
      </c>
      <c r="D494" s="36" t="n">
        <v>3561033304</v>
      </c>
      <c r="E494" s="36" t="n">
        <v>1962791.95</v>
      </c>
      <c r="F494" s="36" t="n">
        <v>172316</v>
      </c>
      <c r="G494" s="36" t="n">
        <v>63142</v>
      </c>
      <c r="H494" s="36" t="n">
        <v>48312</v>
      </c>
      <c r="I494" s="36" t="n">
        <v>62363</v>
      </c>
      <c r="J494" s="36" t="n">
        <v>6759.073798727839</v>
      </c>
      <c r="K494" s="36" t="n">
        <v>0</v>
      </c>
      <c r="L494" s="37" t="n">
        <v>44694.09</v>
      </c>
      <c r="M494" s="36" t="n">
        <v>1962791.95</v>
      </c>
      <c r="N494" s="37" t="n">
        <v>43967293.59255512</v>
      </c>
      <c r="O494" s="37" t="n">
        <v>26556.0013</v>
      </c>
      <c r="P494" s="37" t="n">
        <v>1357.3483</v>
      </c>
      <c r="Q494" s="36" t="n">
        <v>59505.47</v>
      </c>
      <c r="R494" s="37" t="n">
        <v>298579039.0024</v>
      </c>
      <c r="S494" s="37" t="n">
        <v>999241297.8573999</v>
      </c>
      <c r="T494" s="38">
        <f>IF(OR(R494="",R493=""),"",R494-R493)</f>
        <v/>
      </c>
      <c r="U494" s="38">
        <f>IF(OR(S494="",S493=""),"",S494-S493)</f>
        <v/>
      </c>
      <c r="V494" s="38">
        <f>IF(OR(U494="",P494=""),"",U494+P494)</f>
        <v/>
      </c>
      <c r="W494" s="38">
        <f>IF(OR(T494="",O494="",P494=""),"",T494-O494+P494)</f>
        <v/>
      </c>
    </row>
    <row r="495">
      <c r="A495" s="30" t="n">
        <v>46149</v>
      </c>
      <c r="B495" s="36" t="n">
        <v>8629956198.304195</v>
      </c>
      <c r="C495" s="36" t="n">
        <v>181142114.3006114</v>
      </c>
      <c r="D495" s="36" t="n">
        <v>3650186230</v>
      </c>
      <c r="E495" s="36" t="n">
        <v>1614943.04</v>
      </c>
      <c r="F495" s="36" t="n">
        <v>163228</v>
      </c>
      <c r="G495" s="36" t="n">
        <v>61884</v>
      </c>
      <c r="H495" s="36" t="n">
        <v>38455</v>
      </c>
      <c r="I495" s="36" t="n">
        <v>51769</v>
      </c>
      <c r="J495" s="36" t="n">
        <v>5298.360199875602</v>
      </c>
      <c r="K495" s="36" t="n">
        <v>0</v>
      </c>
      <c r="L495" s="37" t="n">
        <v>37930.16</v>
      </c>
      <c r="M495" s="36" t="n">
        <v>1614943.04</v>
      </c>
      <c r="N495" s="37" t="n">
        <v>44004836.83255512</v>
      </c>
      <c r="O495" s="37" t="n">
        <v>26566.7638</v>
      </c>
      <c r="P495" s="37" t="n">
        <v>1003.4753</v>
      </c>
      <c r="Q495" s="36" t="n">
        <v>43067.66</v>
      </c>
      <c r="R495" s="37" t="n">
        <v>298967994.0757</v>
      </c>
      <c r="S495" s="37" t="n">
        <v>999240294.3821</v>
      </c>
      <c r="T495" s="38">
        <f>IF(OR(R495="",R494=""),"",R495-R494)</f>
        <v/>
      </c>
      <c r="U495" s="38">
        <f>IF(OR(S495="",S494=""),"",S495-S494)</f>
        <v/>
      </c>
      <c r="V495" s="38">
        <f>IF(OR(U495="",P495=""),"",U495+P495)</f>
        <v/>
      </c>
      <c r="W495" s="38">
        <f>IF(OR(T495="",O495="",P495=""),"",T495-O495+P495)</f>
        <v/>
      </c>
    </row>
    <row r="496">
      <c r="A496" s="30" t="n">
        <v>46150</v>
      </c>
      <c r="B496" s="36" t="n">
        <v>6688555846.349567</v>
      </c>
      <c r="C496" s="36" t="n">
        <v>140153430.8084117</v>
      </c>
      <c r="D496" s="36" t="n">
        <v>2412480014</v>
      </c>
      <c r="E496" s="36" t="n">
        <v>1353339.61</v>
      </c>
      <c r="F496" s="36" t="n">
        <v>121091</v>
      </c>
      <c r="G496" s="36" t="n">
        <v>42084</v>
      </c>
      <c r="H496" s="36" t="n">
        <v>29153</v>
      </c>
      <c r="I496" s="36" t="n">
        <v>41401</v>
      </c>
      <c r="J496" s="36" t="n">
        <v>4425.628351036708</v>
      </c>
      <c r="K496" s="36" t="n">
        <v>0</v>
      </c>
      <c r="L496" s="37" t="n">
        <v>31682.1</v>
      </c>
      <c r="M496" s="36" t="n">
        <v>1353339.61</v>
      </c>
      <c r="N496" s="37" t="n">
        <v>44036284.02255512</v>
      </c>
      <c r="O496" s="37" t="n">
        <v>26584.0171</v>
      </c>
      <c r="P496" s="37" t="n">
        <v>2068.2801</v>
      </c>
      <c r="Q496" s="36" t="n">
        <v>88275.23</v>
      </c>
      <c r="R496" s="37" t="n">
        <v>298940591.2991</v>
      </c>
      <c r="S496" s="37" t="n">
        <v>999238226.102</v>
      </c>
      <c r="T496" s="38">
        <f>IF(OR(R496="",R495=""),"",R496-R495)</f>
        <v/>
      </c>
      <c r="U496" s="38">
        <f>IF(OR(S496="",S495=""),"",S496-S495)</f>
        <v/>
      </c>
      <c r="V496" s="38">
        <f>IF(OR(U496="",P496=""),"",U496+P496)</f>
        <v/>
      </c>
      <c r="W496" s="38">
        <f>IF(OR(T496="",O496="",P496=""),"",T496-O496+P496)</f>
        <v/>
      </c>
    </row>
    <row r="497">
      <c r="A497" s="30" t="n">
        <v>46151</v>
      </c>
      <c r="B497" s="36" t="n">
        <v>2895648687.395101</v>
      </c>
      <c r="C497" s="36" t="n">
        <v>101417892.0863487</v>
      </c>
      <c r="D497" s="36" t="n">
        <v>311628203</v>
      </c>
      <c r="E497" s="36" t="n">
        <v>839949.0699999999</v>
      </c>
      <c r="F497" s="36" t="n">
        <v>31739</v>
      </c>
      <c r="G497" s="36" t="n">
        <v>8834</v>
      </c>
      <c r="H497" s="36" t="n">
        <v>29565</v>
      </c>
      <c r="I497" s="36" t="n">
        <v>36744</v>
      </c>
      <c r="J497" s="36" t="n">
        <v>5394.016303383018</v>
      </c>
      <c r="K497" s="36" t="n">
        <v>0</v>
      </c>
      <c r="L497" s="37" t="n">
        <v>19300.73</v>
      </c>
      <c r="M497" s="36" t="n">
        <v>839949.0699999999</v>
      </c>
      <c r="N497" s="37" t="n">
        <v>44056402.03255512</v>
      </c>
      <c r="O497" s="37" t="n">
        <v>26600.8439</v>
      </c>
      <c r="P497" s="37" t="n">
        <v>814.8742999999999</v>
      </c>
      <c r="Q497" s="36" t="n">
        <v>35340.69</v>
      </c>
      <c r="R497" s="37" t="n">
        <v>298920562.3335</v>
      </c>
      <c r="S497" s="37" t="n">
        <v>999237411.2277</v>
      </c>
      <c r="T497" s="38">
        <f>IF(OR(R497="",R496=""),"",R497-R496)</f>
        <v/>
      </c>
      <c r="U497" s="38">
        <f>IF(OR(S497="",S496=""),"",S497-S496)</f>
        <v/>
      </c>
      <c r="V497" s="38">
        <f>IF(OR(U497="",P497=""),"",U497+P497)</f>
        <v/>
      </c>
      <c r="W497" s="38">
        <f>IF(OR(T497="",O497="",P497=""),"",T497-O497+P497)</f>
        <v/>
      </c>
    </row>
    <row r="498">
      <c r="A498" s="30" t="n">
        <v>46152</v>
      </c>
      <c r="B498" s="36" t="n">
        <v>4577188890.740312</v>
      </c>
      <c r="C498" s="36" t="n">
        <v>81335192.2177619</v>
      </c>
      <c r="D498" s="36" t="n">
        <v>835126724</v>
      </c>
      <c r="E498" s="36" t="n">
        <v>1107992.98</v>
      </c>
      <c r="F498" s="36" t="n">
        <v>57956</v>
      </c>
      <c r="G498" s="36" t="n">
        <v>19544</v>
      </c>
      <c r="H498" s="36" t="n">
        <v>29726</v>
      </c>
      <c r="I498" s="36" t="n">
        <v>37280</v>
      </c>
      <c r="J498" s="36" t="n">
        <v>4284.61452895567</v>
      </c>
      <c r="K498" s="36" t="n">
        <v>0</v>
      </c>
      <c r="L498" s="37" t="n">
        <v>25784.42</v>
      </c>
      <c r="M498" s="36" t="n">
        <v>1107992.98</v>
      </c>
      <c r="N498" s="37" t="n">
        <v>44084955.45255512</v>
      </c>
      <c r="O498" s="37" t="n">
        <v>26614.6055</v>
      </c>
      <c r="P498" s="37" t="n">
        <v>1133.6262</v>
      </c>
      <c r="Q498" s="36" t="n">
        <v>48496.53</v>
      </c>
      <c r="R498" s="37" t="n">
        <v>298911552.903</v>
      </c>
      <c r="S498" s="37" t="n">
        <v>999236277.6014</v>
      </c>
      <c r="T498" s="38">
        <f>IF(OR(R498="",R497=""),"",R498-R497)</f>
        <v/>
      </c>
      <c r="U498" s="38">
        <f>IF(OR(S498="",S497=""),"",S498-S497)</f>
        <v/>
      </c>
      <c r="V498" s="38">
        <f>IF(OR(U498="",P498=""),"",U498+P498)</f>
        <v/>
      </c>
      <c r="W498" s="38">
        <f>IF(OR(T498="",O498="",P498=""),"",T498-O498+P498)</f>
        <v/>
      </c>
    </row>
    <row r="499">
      <c r="A499" s="30" t="n">
        <v>46153</v>
      </c>
      <c r="B499" s="36" t="n">
        <v>6947410686.643287</v>
      </c>
      <c r="C499" s="36" t="n">
        <v>89993478.36728664</v>
      </c>
      <c r="D499" s="36" t="n">
        <v>2545256246</v>
      </c>
      <c r="E499" s="36" t="n">
        <v>1503455.78</v>
      </c>
      <c r="F499" s="36" t="n">
        <v>132361</v>
      </c>
      <c r="G499" s="36" t="n">
        <v>48153</v>
      </c>
      <c r="H499" s="36" t="n">
        <v>32988</v>
      </c>
      <c r="I499" s="36" t="n">
        <v>44212</v>
      </c>
      <c r="J499" s="36" t="n">
        <v>4776.564113413137</v>
      </c>
      <c r="K499" s="36" t="n">
        <v>0</v>
      </c>
      <c r="L499" s="37" t="n">
        <v>35854.16</v>
      </c>
      <c r="M499" s="36" t="n">
        <v>1503455.78</v>
      </c>
      <c r="N499" s="37" t="n">
        <v>44118026.48255512</v>
      </c>
      <c r="O499" s="37" t="n">
        <v>26610.2038</v>
      </c>
      <c r="P499" s="37" t="n">
        <v>579.2063000000001</v>
      </c>
      <c r="Q499" s="36" t="n">
        <v>24902.69</v>
      </c>
      <c r="R499" s="37" t="n">
        <v>298894655.4852</v>
      </c>
      <c r="S499" s="37" t="n">
        <v>999235698.3951</v>
      </c>
      <c r="T499" s="38">
        <f>IF(OR(R499="",R498=""),"",R499-R498)</f>
        <v/>
      </c>
      <c r="U499" s="38">
        <f>IF(OR(S499="",S498=""),"",S499-S498)</f>
        <v/>
      </c>
      <c r="V499" s="38">
        <f>IF(OR(U499="",P499=""),"",U499+P499)</f>
        <v/>
      </c>
      <c r="W499" s="38">
        <f>IF(OR(T499="",O499="",P499=""),"",T499-O499+P499)</f>
        <v/>
      </c>
    </row>
    <row r="500">
      <c r="A500" s="30" t="n">
        <v>46154</v>
      </c>
      <c r="B500" s="36" t="n">
        <v>6295445359.929083</v>
      </c>
      <c r="C500" s="36" t="n">
        <v>104068488.0561991</v>
      </c>
      <c r="D500" s="36" t="n">
        <v>2473916223</v>
      </c>
      <c r="E500" s="36" t="n">
        <v>1301986.49</v>
      </c>
      <c r="F500" s="36" t="n">
        <v>120857</v>
      </c>
      <c r="G500" s="36" t="n">
        <v>43025</v>
      </c>
      <c r="H500" s="36" t="n">
        <v>37575</v>
      </c>
      <c r="I500" s="36" t="n">
        <v>47865</v>
      </c>
      <c r="J500" s="36" t="n">
        <v>4902.0212589886</v>
      </c>
      <c r="K500" s="36" t="n">
        <v>0</v>
      </c>
      <c r="L500" s="37" t="n">
        <v>31952.45</v>
      </c>
      <c r="M500" s="36" t="n">
        <v>1301986.49</v>
      </c>
      <c r="N500" s="37" t="n">
        <v>44149672.24255512</v>
      </c>
      <c r="O500" s="37" t="n">
        <v>26614.0178</v>
      </c>
      <c r="P500" s="37" t="n">
        <v>1471.4833</v>
      </c>
      <c r="Q500" s="36" t="n">
        <v>61521.98</v>
      </c>
      <c r="R500" s="37" t="n">
        <v>298872352.7935</v>
      </c>
      <c r="S500" s="37" t="n">
        <v>999234226.9118</v>
      </c>
      <c r="T500" s="38">
        <f>IF(OR(R500="",R499=""),"",R500-R499)</f>
        <v/>
      </c>
      <c r="U500" s="38">
        <f>IF(OR(S500="",S499=""),"",S500-S499)</f>
        <v/>
      </c>
      <c r="V500" s="38">
        <f>IF(OR(U500="",P500=""),"",U500+P500)</f>
        <v/>
      </c>
      <c r="W500" s="38">
        <f>IF(OR(T500="",O500="",P500=""),"",T500-O500+P500)</f>
        <v/>
      </c>
    </row>
    <row r="501">
      <c r="A501" s="30" t="n">
        <v>46155</v>
      </c>
      <c r="B501" s="36" t="n">
        <v>6536252898.062632</v>
      </c>
      <c r="C501" s="36" t="n">
        <v>115173178.0022728</v>
      </c>
      <c r="D501" s="36" t="n">
        <v>2379224166</v>
      </c>
      <c r="E501" s="36" t="n">
        <v>1387474.39</v>
      </c>
      <c r="F501" s="36" t="n">
        <v>124511</v>
      </c>
      <c r="G501" s="36" t="n">
        <v>43920</v>
      </c>
      <c r="H501" s="36" t="n">
        <v>41602</v>
      </c>
      <c r="I501" s="36" t="n">
        <v>52693</v>
      </c>
      <c r="J501" s="36" t="n">
        <v>5587.262890372446</v>
      </c>
      <c r="K501" s="36" t="n">
        <v>0</v>
      </c>
      <c r="L501" s="37" t="n">
        <v>35195.46</v>
      </c>
      <c r="M501" s="36" t="n">
        <v>1387474.39</v>
      </c>
      <c r="N501" s="37" t="n">
        <v>44185039.26255512</v>
      </c>
      <c r="O501" s="37" t="n">
        <v>26616.4908</v>
      </c>
      <c r="P501" s="37" t="n">
        <v>902.4404</v>
      </c>
      <c r="Q501" s="36" t="n">
        <v>36181.54</v>
      </c>
      <c r="R501" s="37" t="n">
        <v>298852048.1747</v>
      </c>
      <c r="S501" s="37" t="n">
        <v>999233324.4715</v>
      </c>
      <c r="T501" s="38">
        <f>IF(OR(R501="",R500=""),"",R501-R500)</f>
        <v/>
      </c>
      <c r="U501" s="38">
        <f>IF(OR(S501="",S500=""),"",S501-S500)</f>
        <v/>
      </c>
      <c r="V501" s="38">
        <f>IF(OR(U501="",P501=""),"",U501+P501)</f>
        <v/>
      </c>
      <c r="W501" s="38">
        <f>IF(OR(T501="",O501="",P501=""),"",T501-O501+P501)</f>
        <v/>
      </c>
    </row>
    <row r="502">
      <c r="A502" s="30" t="n">
        <v>46156</v>
      </c>
      <c r="B502" s="36" t="n">
        <v>8089740069.820742</v>
      </c>
      <c r="C502" s="36" t="n">
        <v>135621684.8130482</v>
      </c>
      <c r="D502" s="36" t="n">
        <v>2779947750</v>
      </c>
      <c r="E502" s="36" t="n">
        <v>1748781.04</v>
      </c>
      <c r="F502" s="36" t="n">
        <v>138079</v>
      </c>
      <c r="G502" s="36" t="n">
        <v>47947</v>
      </c>
      <c r="H502" s="36" t="n">
        <v>90313</v>
      </c>
      <c r="I502" s="36" t="n">
        <v>103348</v>
      </c>
      <c r="J502" s="36" t="n">
        <v>33086.83666207616</v>
      </c>
      <c r="K502" s="36" t="n">
        <v>0</v>
      </c>
      <c r="L502" s="37" t="n">
        <v>41200.4</v>
      </c>
      <c r="M502" s="36" t="n">
        <v>1748781.04</v>
      </c>
      <c r="N502" s="37" t="n">
        <v>44226023.88255512</v>
      </c>
      <c r="O502" s="37" t="n">
        <v>26607.3908</v>
      </c>
      <c r="P502" s="37" t="n">
        <v>1385.9429</v>
      </c>
      <c r="Q502" s="36" t="n">
        <v>53760.03</v>
      </c>
      <c r="R502" s="37" t="n">
        <v>298827527.2622</v>
      </c>
      <c r="S502" s="37" t="n">
        <v>999231938.5286</v>
      </c>
      <c r="T502" s="38">
        <f>IF(OR(R502="",R501=""),"",R502-R501)</f>
        <v/>
      </c>
      <c r="U502" s="38">
        <f>IF(OR(S502="",S501=""),"",S502-S501)</f>
        <v/>
      </c>
      <c r="V502" s="38">
        <f>IF(OR(U502="",P502=""),"",U502+P502)</f>
        <v/>
      </c>
      <c r="W502" s="38">
        <f>IF(OR(T502="",O502="",P502=""),"",T502-O502+P502)</f>
        <v/>
      </c>
    </row>
    <row r="503">
      <c r="A503" s="30" t="n">
        <v>46157</v>
      </c>
      <c r="B503" s="36" t="n">
        <v>8112238431.116097</v>
      </c>
      <c r="C503" s="36" t="n">
        <v>244203830.9344203</v>
      </c>
      <c r="D503" s="36" t="n">
        <v>2943036195</v>
      </c>
      <c r="E503" s="36" t="n">
        <v>1737412.39</v>
      </c>
      <c r="F503" s="36" t="n">
        <v>142714</v>
      </c>
      <c r="G503" s="36" t="n">
        <v>51664</v>
      </c>
      <c r="H503" s="36" t="n">
        <v>84143</v>
      </c>
      <c r="I503" s="36" t="n">
        <v>94867</v>
      </c>
      <c r="J503" s="36" t="n">
        <v>56910.89217132915</v>
      </c>
      <c r="K503" s="36" t="n">
        <v>0</v>
      </c>
      <c r="L503" s="37" t="n">
        <v>38942.45</v>
      </c>
      <c r="M503" s="36" t="n">
        <v>1737412.39</v>
      </c>
      <c r="N503" s="37" t="n">
        <v>44264838.12255512</v>
      </c>
      <c r="O503" s="37" t="n">
        <v>25631.4399</v>
      </c>
      <c r="P503" s="37" t="n">
        <v>1654.86</v>
      </c>
      <c r="Q503" s="36" t="n">
        <v>74201.44</v>
      </c>
      <c r="R503" s="37" t="n">
        <v>298796189.0613</v>
      </c>
      <c r="S503" s="37" t="n">
        <v>999230283.6686</v>
      </c>
      <c r="T503" s="38">
        <f>IF(OR(R503="",R502=""),"",R503-R502)</f>
        <v/>
      </c>
      <c r="U503" s="38">
        <f>IF(OR(S503="",S502=""),"",S503-S502)</f>
        <v/>
      </c>
      <c r="V503" s="38">
        <f>IF(OR(U503="",P503=""),"",U503+P503)</f>
        <v/>
      </c>
      <c r="W503" s="38">
        <f>IF(OR(T503="",O503="",P503=""),"",T503-O503+P503)</f>
        <v/>
      </c>
    </row>
    <row r="504">
      <c r="A504" s="30" t="n">
        <v>46158</v>
      </c>
      <c r="B504" s="36" t="n">
        <v>3449055735.010816</v>
      </c>
      <c r="C504" s="36" t="n">
        <v>208127883.1026363</v>
      </c>
      <c r="D504" s="36" t="n">
        <v>303261829</v>
      </c>
      <c r="E504" s="36" t="n">
        <v>985592.61</v>
      </c>
      <c r="F504" s="36" t="n">
        <v>31983</v>
      </c>
      <c r="G504" s="36" t="n">
        <v>9785</v>
      </c>
      <c r="H504" s="36" t="n">
        <v>54626</v>
      </c>
      <c r="I504" s="36" t="n">
        <v>60919</v>
      </c>
      <c r="J504" s="36" t="n">
        <v>24980.3079939444</v>
      </c>
      <c r="K504" s="36" t="n">
        <v>0</v>
      </c>
      <c r="L504" s="37" t="n">
        <v>23679.72</v>
      </c>
      <c r="M504" s="36" t="n">
        <v>985592.61</v>
      </c>
      <c r="N504" s="37" t="n">
        <v>44288634.98255512</v>
      </c>
      <c r="O504" s="37" t="n">
        <v>25664.8527</v>
      </c>
      <c r="P504" s="37" t="n">
        <v>1916.8977</v>
      </c>
      <c r="Q504" s="36" t="n">
        <v>84793.00999999999</v>
      </c>
      <c r="R504" s="37" t="n">
        <v>298766836.6974</v>
      </c>
      <c r="S504" s="37" t="n">
        <v>999228366.7708</v>
      </c>
      <c r="T504" s="38">
        <f>IF(OR(R504="",R503=""),"",R504-R503)</f>
        <v/>
      </c>
      <c r="U504" s="38">
        <f>IF(OR(S504="",S503=""),"",S504-S503)</f>
        <v/>
      </c>
      <c r="V504" s="38">
        <f>IF(OR(U504="",P504=""),"",U504+P504)</f>
        <v/>
      </c>
      <c r="W504" s="38">
        <f>IF(OR(T504="",O504="",P504=""),"",T504-O504+P504)</f>
        <v/>
      </c>
    </row>
    <row r="505">
      <c r="A505" s="30" t="n">
        <v>46159</v>
      </c>
      <c r="B505" s="36" t="n">
        <v>3983876998.735862</v>
      </c>
      <c r="C505" s="36" t="n">
        <v>141001529.8350937</v>
      </c>
      <c r="D505" s="36" t="n">
        <v>481797307</v>
      </c>
      <c r="E505" s="36" t="n">
        <v>1092883.03</v>
      </c>
      <c r="F505" s="36" t="n">
        <v>34159</v>
      </c>
      <c r="G505" s="36" t="n">
        <v>10075</v>
      </c>
      <c r="H505" s="36" t="n">
        <v>66106</v>
      </c>
      <c r="I505" s="36" t="n">
        <v>74652</v>
      </c>
      <c r="J505" s="36" t="n">
        <v>48359.77412216016</v>
      </c>
      <c r="K505" s="36" t="n">
        <v>0</v>
      </c>
      <c r="L505" s="37" t="n">
        <v>24689.87</v>
      </c>
      <c r="M505" s="36" t="n">
        <v>1092883.03</v>
      </c>
      <c r="N505" s="37" t="n">
        <v>44313760.83255512</v>
      </c>
      <c r="O505" s="37" t="n">
        <v>26298.559</v>
      </c>
      <c r="P505" s="37" t="n">
        <v>1340.9038</v>
      </c>
      <c r="Q505" s="36" t="n">
        <v>56264.33</v>
      </c>
      <c r="R505" s="37" t="n">
        <v>298753621.1191</v>
      </c>
      <c r="S505" s="37" t="n">
        <v>999227025.867</v>
      </c>
      <c r="T505" s="38">
        <f>IF(OR(R505="",R504=""),"",R505-R504)</f>
        <v/>
      </c>
      <c r="U505" s="38">
        <f>IF(OR(S505="",S504=""),"",S505-S504)</f>
        <v/>
      </c>
      <c r="V505" s="38">
        <f>IF(OR(U505="",P505=""),"",U505+P505)</f>
        <v/>
      </c>
      <c r="W505" s="38">
        <f>IF(OR(T505="",O505="",P505=""),"",T505-O505+P505)</f>
        <v/>
      </c>
    </row>
    <row r="506">
      <c r="A506" s="30" t="n">
        <v>46160</v>
      </c>
      <c r="B506" s="36" t="n">
        <v>8807848693.823898</v>
      </c>
      <c r="C506" s="36" t="n">
        <v>174221542.4659849</v>
      </c>
      <c r="D506" s="36" t="n">
        <v>3474360784</v>
      </c>
      <c r="E506" s="36" t="n">
        <v>1728259.86</v>
      </c>
      <c r="F506" s="36" t="n">
        <v>150603</v>
      </c>
      <c r="G506" s="36" t="n">
        <v>54984</v>
      </c>
      <c r="H506" s="36" t="n">
        <v>70649</v>
      </c>
      <c r="I506" s="36" t="n">
        <v>81857</v>
      </c>
      <c r="J506" s="36" t="n">
        <v>44307.3132510822</v>
      </c>
      <c r="K506" s="36" t="n">
        <v>22656.8</v>
      </c>
      <c r="L506" s="37" t="n">
        <v>37853.12</v>
      </c>
      <c r="M506" s="36" t="n">
        <v>1728259.86</v>
      </c>
      <c r="N506" s="37" t="n">
        <v>44350736.80255512</v>
      </c>
      <c r="O506" s="37" t="n">
        <v>26279.7806</v>
      </c>
      <c r="P506" s="37" t="n">
        <v>1626.2893</v>
      </c>
      <c r="Q506" s="36" t="n">
        <v>74911.77</v>
      </c>
      <c r="R506" s="37" t="n">
        <v>298738766.9608</v>
      </c>
      <c r="S506" s="37" t="n">
        <v>999225399.5777</v>
      </c>
      <c r="T506" s="38">
        <f>IF(OR(R506="",R505=""),"",R506-R505)</f>
        <v/>
      </c>
      <c r="U506" s="38">
        <f>IF(OR(S506="",S505=""),"",S506-S505)</f>
        <v/>
      </c>
      <c r="V506" s="38">
        <f>IF(OR(U506="",P506=""),"",U506+P506)</f>
        <v/>
      </c>
      <c r="W506" s="38">
        <f>IF(OR(T506="",O506="",P506=""),"",T506-O506+P506)</f>
        <v/>
      </c>
    </row>
    <row r="507">
      <c r="A507" s="30" t="n">
        <v>46161</v>
      </c>
      <c r="B507" s="36" t="n">
        <v>6096747792.716187</v>
      </c>
      <c r="C507" s="36" t="n">
        <v>191591052.4506435</v>
      </c>
      <c r="D507" s="36" t="n">
        <v>2810077104</v>
      </c>
      <c r="E507" s="36" t="n">
        <v>1177698.13</v>
      </c>
      <c r="F507" s="36" t="n">
        <v>181907</v>
      </c>
      <c r="G507" s="36" t="n">
        <v>76157</v>
      </c>
      <c r="H507" s="36" t="n">
        <v>64462</v>
      </c>
      <c r="I507" s="36" t="n">
        <v>71739</v>
      </c>
      <c r="J507" s="36" t="n">
        <v>26167.70206471928</v>
      </c>
      <c r="K507" s="36" t="n">
        <v>27897.72</v>
      </c>
      <c r="L507" s="37" t="n">
        <v>24597.4</v>
      </c>
      <c r="M507" s="36" t="n">
        <v>1177698.13</v>
      </c>
      <c r="N507" s="37" t="n">
        <v>44376098.84255512</v>
      </c>
      <c r="O507" s="37" t="n">
        <v>26262.5039</v>
      </c>
      <c r="P507" s="37" t="n">
        <v>2206.8993</v>
      </c>
      <c r="Q507" s="36" t="n">
        <v>106624.13</v>
      </c>
      <c r="R507" s="37" t="n">
        <v>298711498.8698</v>
      </c>
      <c r="S507" s="37" t="n">
        <v>999223192.6783</v>
      </c>
      <c r="T507" s="38">
        <f>IF(OR(R507="",R506=""),"",R507-R506)</f>
        <v/>
      </c>
      <c r="U507" s="38">
        <f>IF(OR(S507="",S506=""),"",S507-S506)</f>
        <v/>
      </c>
      <c r="V507" s="38">
        <f>IF(OR(U507="",P507=""),"",U507+P507)</f>
        <v/>
      </c>
      <c r="W507" s="38">
        <f>IF(OR(T507="",O507="",P507=""),"",T507-O507+P507)</f>
        <v/>
      </c>
    </row>
    <row r="508">
      <c r="A508" s="30" t="n">
        <v>46162</v>
      </c>
      <c r="B508" s="36" t="n">
        <v>7335684007.788606</v>
      </c>
      <c r="C508" s="36" t="n">
        <v>163748420.5698046</v>
      </c>
      <c r="D508" s="36" t="n">
        <v>162338930</v>
      </c>
      <c r="E508" s="36" t="n">
        <v>1430631.52</v>
      </c>
      <c r="F508" s="36" t="n">
        <v>7922</v>
      </c>
      <c r="G508" s="36" t="n">
        <v>3098</v>
      </c>
      <c r="H508" s="36" t="n">
        <v>89934</v>
      </c>
      <c r="I508" s="36" t="n">
        <v>101035</v>
      </c>
      <c r="J508" s="36" t="n">
        <v>25850.59732692321</v>
      </c>
      <c r="K508" s="36" t="n">
        <v>0</v>
      </c>
      <c r="L508" s="37" t="n">
        <v>28292.52</v>
      </c>
      <c r="M508" s="36" t="n">
        <v>1430631.52</v>
      </c>
      <c r="N508" s="37" t="n">
        <v>44403626.72255512</v>
      </c>
      <c r="O508" s="37" t="n">
        <v>26231.8736</v>
      </c>
      <c r="P508" s="37" t="n">
        <v>2166.9293</v>
      </c>
      <c r="Q508" s="36" t="n">
        <v>103052.66</v>
      </c>
      <c r="R508" s="37" t="n">
        <v>298695930.4932</v>
      </c>
      <c r="S508" s="37" t="n">
        <v>999221025.749</v>
      </c>
      <c r="T508" s="38">
        <f>IF(OR(R508="",R507=""),"",R508-R507)</f>
        <v/>
      </c>
      <c r="U508" s="38">
        <f>IF(OR(S508="",S507=""),"",S508-S507)</f>
        <v/>
      </c>
      <c r="V508" s="38">
        <f>IF(OR(U508="",P508=""),"",U508+P508)</f>
        <v/>
      </c>
      <c r="W508" s="38">
        <f>IF(OR(T508="",O508="",P508=""),"",T508-O508+P508)</f>
        <v/>
      </c>
    </row>
  </sheetData>
  <autoFilter ref="A3:W508"/>
  <mergeCells count="1">
    <mergeCell ref="A1:W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40" customWidth="1" min="3" max="3"/>
    <col width="50" customWidth="1" min="4" max="4"/>
  </cols>
  <sheetData>
    <row r="1">
      <c r="A1" s="24" t="inlineStr">
        <is>
          <t>SOURCES</t>
        </is>
      </c>
    </row>
    <row r="2">
      <c r="A2" s="13" t="inlineStr">
        <is>
          <t>Data</t>
        </is>
      </c>
      <c r="B2" s="13" t="inlineStr">
        <is>
          <t>Source</t>
        </is>
      </c>
      <c r="C2" s="13" t="inlineStr">
        <is>
          <t>Endpoint / reference</t>
        </is>
      </c>
      <c r="D2" s="13" t="inlineStr">
        <is>
          <t>Notes</t>
        </is>
      </c>
    </row>
    <row r="3" ht="38" customHeight="1">
      <c r="A3" s="39" t="inlineStr">
        <is>
          <t>Total perp &amp; spot volume</t>
        </is>
      </c>
      <c r="B3" s="39" t="inlineStr">
        <is>
          <t>hyperscreener.asxn.xyz</t>
        </is>
      </c>
      <c r="C3" s="39" t="inlineStr">
        <is>
          <t>API /cloudfront/total_volume, /spot-ecosystem</t>
        </is>
      </c>
      <c r="D3" s="39" t="inlineStr">
        <is>
          <t>Daily.</t>
        </is>
      </c>
    </row>
    <row r="4" ht="38" customHeight="1">
      <c r="A4" s="39" t="inlineStr">
        <is>
          <t>HyperCore revenue (NORTH STAR)</t>
        </is>
      </c>
      <c r="B4" s="39" t="inlineStr">
        <is>
          <t>hyperscreener.asxn.xyz</t>
        </is>
      </c>
      <c r="C4" s="39" t="inlineStr">
        <is>
          <t>API /buyback/revenues</t>
        </is>
      </c>
      <c r="D4" s="39" t="inlineStr">
        <is>
          <t>Actual protocol revenue / buyback. From 2025-03-20.</t>
        </is>
      </c>
    </row>
    <row r="5" ht="38" customHeight="1">
      <c r="A5" s="39" t="inlineStr">
        <is>
          <t>Buyback, AF, emissions, burns, supply</t>
        </is>
      </c>
      <c r="B5" s="39" t="inlineStr">
        <is>
          <t>hyperscreener.asxn.xyz</t>
        </is>
      </c>
      <c r="C5" s="39" t="inlineStr">
        <is>
          <t>API /buyback/*, /validators/daily-emissions</t>
        </is>
      </c>
      <c r="D5" s="39" t="inlineStr">
        <is>
          <t>On the Daily Data tab.</t>
        </is>
      </c>
    </row>
    <row r="6" ht="38" customHeight="1">
      <c r="A6" s="39" t="inlineStr">
        <is>
          <t>HIP-3 volume, gross fees, deployer fees</t>
        </is>
      </c>
      <c r="B6" s="39" t="inlineStr">
        <is>
          <t>Loris</t>
        </is>
      </c>
      <c r="C6" s="39" t="inlineStr">
        <is>
          <t>loris.tools/hip3 (via v3 workbook)</t>
        </is>
      </c>
      <c r="D6" s="39" t="inlineStr">
        <is>
          <t>Daily. HIP-3 fees from 2025-10-13; deployer fees from 2026-03-21.</t>
        </is>
      </c>
    </row>
    <row r="7" ht="38" customHeight="1">
      <c r="A7" s="39" t="inlineStr">
        <is>
          <t>Spot revenue &amp; spot fees</t>
        </is>
      </c>
      <c r="B7" s="39" t="inlineStr">
        <is>
          <t>DefiLlama</t>
        </is>
      </c>
      <c r="C7" s="39" t="inlineStr">
        <is>
          <t>api.llama.fi /summary/fees/hyperliquid-spot-orderbook</t>
        </is>
      </c>
      <c r="D7" s="39" t="inlineStr">
        <is>
          <t>dailyHoldersRevenue &amp; dailyFees. Daily.</t>
        </is>
      </c>
    </row>
    <row r="8" ht="38" customHeight="1">
      <c r="A8" s="39" t="inlineStr">
        <is>
          <t>HLP share rule (1% / 3%)</t>
        </is>
      </c>
      <c r="B8" s="39" t="inlineStr">
        <is>
          <t>DefiLlama</t>
        </is>
      </c>
      <c r="C8" s="39" t="inlineStr">
        <is>
          <t>Hyperliquid fees methodology</t>
        </is>
      </c>
      <c r="D8" s="39" t="inlineStr">
        <is>
          <t>HLP got 3% of perp fees before 2025-08-30, 1% after.</t>
        </is>
      </c>
    </row>
    <row r="9" ht="38" customHeight="1">
      <c r="A9" s="39" t="inlineStr">
        <is>
          <t>Builder code fees</t>
        </is>
      </c>
      <c r="B9" s="39" t="inlineStr">
        <is>
          <t>hyperscreener.asxn.xyz</t>
        </is>
      </c>
      <c r="C9" s="39" t="inlineStr">
        <is>
          <t>API /node/builders/*</t>
        </is>
      </c>
      <c r="D9" s="39" t="inlineStr">
        <is>
          <t>$75.3M all-time. Modelled as a rate on volume (Assumptions).</t>
        </is>
      </c>
    </row>
    <row r="10" ht="38" customHeight="1">
      <c r="A10" s="39" t="inlineStr">
        <is>
          <t>HIP-3 fee structure</t>
        </is>
      </c>
      <c r="B10" s="39" t="inlineStr">
        <is>
          <t>Hyperliquid docs</t>
        </is>
      </c>
      <c r="C10" s="39" t="inlineStr">
        <is>
          <t>HIP-3 builder-deployed perpetuals</t>
        </is>
      </c>
      <c r="D10" s="39" t="inlineStr">
        <is>
          <t>Users pay ~2x; markets currently in growth mode (low realised fees).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2026-05-21T10:01:16Z</dcterms:created>
  <dcterms:modified xsi:type="dcterms:W3CDTF">2026-05-21T10:01:17Z</dcterms:modified>
</cp:coreProperties>
</file>